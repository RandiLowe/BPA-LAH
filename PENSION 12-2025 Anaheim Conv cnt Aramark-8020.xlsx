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amark365-my.sharepoint.com/personal/gil-gilda_aramark_com/Documents/Desktop/"/>
    </mc:Choice>
  </mc:AlternateContent>
  <xr:revisionPtr revIDLastSave="4" documentId="8_{9CD0B140-4B37-4424-90C7-463CC0B3792E}" xr6:coauthVersionLast="47" xr6:coauthVersionMax="47" xr10:uidLastSave="{12E7BB4F-144B-43C3-9D3D-D9C1FA91DCA3}"/>
  <bookViews>
    <workbookView xWindow="-120" yWindow="-120" windowWidth="25440" windowHeight="15270" xr2:uid="{C2690675-51F5-4BF7-B548-CAEBF0CBA72C}"/>
  </bookViews>
  <sheets>
    <sheet name="H&amp;W DEC 2025" sheetId="1" r:id="rId1"/>
  </sheets>
  <definedNames>
    <definedName name="_xlnm.Print_Titles" localSheetId="0">'H&amp;W DEC 2025'!$5:$5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6" i="1"/>
  <c r="G308" i="1"/>
  <c r="F308" i="1"/>
  <c r="E308" i="1"/>
  <c r="H308" i="1" l="1"/>
</calcChain>
</file>

<file path=xl/sharedStrings.xml><?xml version="1.0" encoding="utf-8"?>
<sst xmlns="http://schemas.openxmlformats.org/spreadsheetml/2006/main" count="917" uniqueCount="620">
  <si>
    <t>DATE - From: 12/01/2025  Thru: 12/31/2025</t>
  </si>
  <si>
    <t>Person</t>
  </si>
  <si>
    <t>Rate</t>
  </si>
  <si>
    <t>Hours Worked</t>
  </si>
  <si>
    <t>Total Hours</t>
  </si>
  <si>
    <t>CCBEV</t>
  </si>
  <si>
    <t>ALPORQUE / KAI</t>
  </si>
  <si>
    <t>030-11-3321</t>
  </si>
  <si>
    <t>ALVARADO / CINDY</t>
  </si>
  <si>
    <t>032-18-7470</t>
  </si>
  <si>
    <t>ARTEAGA / CARLOS</t>
  </si>
  <si>
    <t>032-29-5515</t>
  </si>
  <si>
    <t>BARLA / SAI</t>
  </si>
  <si>
    <t>032-18-9320</t>
  </si>
  <si>
    <t>CASEY / JIM</t>
  </si>
  <si>
    <t>032-29-5526</t>
  </si>
  <si>
    <t>CHAVEZ / MARIO</t>
  </si>
  <si>
    <t>020-27-6144</t>
  </si>
  <si>
    <t>CHIGUANO / VICENTE</t>
  </si>
  <si>
    <t>000-86-7382</t>
  </si>
  <si>
    <t>CHIMALPOPOCA / JOHNNY</t>
  </si>
  <si>
    <t>001-15-6213</t>
  </si>
  <si>
    <t>CONTRERAS / JESUS</t>
  </si>
  <si>
    <t>030-36-9815</t>
  </si>
  <si>
    <t>CRUZ / ROGELIO</t>
  </si>
  <si>
    <t>000-86-7268</t>
  </si>
  <si>
    <t>CULLIE / MACKENZIE</t>
  </si>
  <si>
    <t>020-33-4881</t>
  </si>
  <si>
    <t>DIAZ / SEBASTIAN</t>
  </si>
  <si>
    <t>032-18-7535</t>
  </si>
  <si>
    <t>GUTIERREZ / RUBEN</t>
  </si>
  <si>
    <t>030-36-0167</t>
  </si>
  <si>
    <t>HAH / HIDEKUN</t>
  </si>
  <si>
    <t>032-18-9314</t>
  </si>
  <si>
    <t>HERNANDEZ / JAIME</t>
  </si>
  <si>
    <t>030-27-9700</t>
  </si>
  <si>
    <t>HILL / TIFFANI</t>
  </si>
  <si>
    <t>001-47-7744</t>
  </si>
  <si>
    <t>HOLGUIN / SARAH</t>
  </si>
  <si>
    <t>000-98-9079</t>
  </si>
  <si>
    <t>JACKSON / CHRISTINE</t>
  </si>
  <si>
    <t>001-05-2014</t>
  </si>
  <si>
    <t>JENNINGS / JOSHUA</t>
  </si>
  <si>
    <t>020-14-2146</t>
  </si>
  <si>
    <t>JOHNSON / ALANA</t>
  </si>
  <si>
    <t>032-11-6039</t>
  </si>
  <si>
    <t>JUAREZ / FERNANDO</t>
  </si>
  <si>
    <t>030-14-9810</t>
  </si>
  <si>
    <t>LARREA / BRANDEN</t>
  </si>
  <si>
    <t>020-45-9026</t>
  </si>
  <si>
    <t>LINDSEY / LOYD</t>
  </si>
  <si>
    <t>001-42-6749</t>
  </si>
  <si>
    <t>LOPEZ / NORMA</t>
  </si>
  <si>
    <t>000-86-7375</t>
  </si>
  <si>
    <t>MACIAS / ANDY</t>
  </si>
  <si>
    <t>032-02-3239</t>
  </si>
  <si>
    <t>MARTINEZ / JERRED</t>
  </si>
  <si>
    <t>032-18-7530</t>
  </si>
  <si>
    <t>MAXWELL / MARC</t>
  </si>
  <si>
    <t>032-02-3383</t>
  </si>
  <si>
    <t>MONTES / JUAN</t>
  </si>
  <si>
    <t>020-32-2359</t>
  </si>
  <si>
    <t>MURO / FIDEL</t>
  </si>
  <si>
    <t>000-86-7326</t>
  </si>
  <si>
    <t>ORTIZ GONZALEZ / YAIR</t>
  </si>
  <si>
    <t>032-18-9304</t>
  </si>
  <si>
    <t>SALCEDO / DAVID</t>
  </si>
  <si>
    <t>020-45-9019</t>
  </si>
  <si>
    <t>SANTIAGO / EDUARDO</t>
  </si>
  <si>
    <t>020-26-2351</t>
  </si>
  <si>
    <t>TUCKER / TERRY</t>
  </si>
  <si>
    <t>032-07-1430</t>
  </si>
  <si>
    <t>VAZQUEZ / VICTORIA</t>
  </si>
  <si>
    <t>032-18-7528</t>
  </si>
  <si>
    <t>CCCAT</t>
  </si>
  <si>
    <t>ACEVES / MARIA</t>
  </si>
  <si>
    <t>001-03-2421</t>
  </si>
  <si>
    <t>ALCANTAR DIAZ / JESUS</t>
  </si>
  <si>
    <t>000-86-7122</t>
  </si>
  <si>
    <t>ALMERCO / JOSE</t>
  </si>
  <si>
    <t>000-86-7340</t>
  </si>
  <si>
    <t>ALVARADO / WILLIAM</t>
  </si>
  <si>
    <t>020-26-2308</t>
  </si>
  <si>
    <t>ALVAREZ / JORGE</t>
  </si>
  <si>
    <t>000-86-7260</t>
  </si>
  <si>
    <t>ARMSTRONG / AMANDA</t>
  </si>
  <si>
    <t>032-11-4731</t>
  </si>
  <si>
    <t>ATTIA / MARIAM</t>
  </si>
  <si>
    <t>020-39-0220</t>
  </si>
  <si>
    <t>BARRAGAN / DANIEL</t>
  </si>
  <si>
    <t>020-19-1501</t>
  </si>
  <si>
    <t>BARRON / PATRICIA</t>
  </si>
  <si>
    <t>020-26-3708</t>
  </si>
  <si>
    <t>BOHORQUEZ / MILTON BOH</t>
  </si>
  <si>
    <t>032-02-9669</t>
  </si>
  <si>
    <t>CAMPOS / ENRIQUE</t>
  </si>
  <si>
    <t>000-86-7301</t>
  </si>
  <si>
    <t>CARLOS / SANTOS</t>
  </si>
  <si>
    <t>030-33-5071</t>
  </si>
  <si>
    <t>CISNEROS / GREGORIO</t>
  </si>
  <si>
    <t>001-05-1597</t>
  </si>
  <si>
    <t>CONTRERAS / ROXANA</t>
  </si>
  <si>
    <t>020-26-2354</t>
  </si>
  <si>
    <t>COVARRUBIAS / MICHAEL</t>
  </si>
  <si>
    <t>001-34-6670</t>
  </si>
  <si>
    <t>CRUZ / CARMEN</t>
  </si>
  <si>
    <t>000-86-7464</t>
  </si>
  <si>
    <t>CRUZ / VICTOR</t>
  </si>
  <si>
    <t>000-86-7633</t>
  </si>
  <si>
    <t>CURTIS / MARLYN</t>
  </si>
  <si>
    <t>000-86-7232</t>
  </si>
  <si>
    <t>D'ALOISIO / CHARLES</t>
  </si>
  <si>
    <t>020-12-6131</t>
  </si>
  <si>
    <t>DE SANCHEZ / JOSELLIN</t>
  </si>
  <si>
    <t>001-23-2715</t>
  </si>
  <si>
    <t>DELACRUZ / ABIGAIL</t>
  </si>
  <si>
    <t>000-86-7376</t>
  </si>
  <si>
    <t>DELAROSA / STEPHANIE</t>
  </si>
  <si>
    <t>020-19-9906</t>
  </si>
  <si>
    <t>DEVIA / FERNANDO</t>
  </si>
  <si>
    <t>020-35-4988</t>
  </si>
  <si>
    <t>ELGUERA GONZALES / CARLOS</t>
  </si>
  <si>
    <t>032-11-3986</t>
  </si>
  <si>
    <t>ELIAS / SANTIAGO</t>
  </si>
  <si>
    <t>000-86-7486</t>
  </si>
  <si>
    <t>ESTRADA / GABRIELA</t>
  </si>
  <si>
    <t>020-12-3425</t>
  </si>
  <si>
    <t>ESTRADA / OBDULIA</t>
  </si>
  <si>
    <t>000-86-6974</t>
  </si>
  <si>
    <t>ESTRELLA OSORIO / BRAYAN</t>
  </si>
  <si>
    <t>032-02-6502</t>
  </si>
  <si>
    <t>FARWELL / LAURIE</t>
  </si>
  <si>
    <t>020-27-9250</t>
  </si>
  <si>
    <t>FERNANDEZ / LORENIA</t>
  </si>
  <si>
    <t>020-12-3362</t>
  </si>
  <si>
    <t>GAMBOA / MARIE</t>
  </si>
  <si>
    <t>000-89-6339</t>
  </si>
  <si>
    <t>GARCIA / GREGORIO</t>
  </si>
  <si>
    <t>000-86-7451</t>
  </si>
  <si>
    <t>GARCIA / JOSE</t>
  </si>
  <si>
    <t>020-19-6525</t>
  </si>
  <si>
    <t>GARCIA / MARIA</t>
  </si>
  <si>
    <t>001-03-2608</t>
  </si>
  <si>
    <t>GARDUNO / MANUEL</t>
  </si>
  <si>
    <t>000-86-7308</t>
  </si>
  <si>
    <t>GHAFFARI / ABDUL</t>
  </si>
  <si>
    <t>000-86-7062</t>
  </si>
  <si>
    <t>GOMEZ / ALBERTO</t>
  </si>
  <si>
    <t>000-86-7300</t>
  </si>
  <si>
    <t>GOMEZ / CESAR</t>
  </si>
  <si>
    <t>000-86-7570</t>
  </si>
  <si>
    <t>GOMEZ RAMIREZ / ERIKA</t>
  </si>
  <si>
    <t>020-42-2892</t>
  </si>
  <si>
    <t>GONZALEZ / JUAN</t>
  </si>
  <si>
    <t>000-86-7277</t>
  </si>
  <si>
    <t>GONZALEZ / ROBERTO</t>
  </si>
  <si>
    <t>020-12-4132</t>
  </si>
  <si>
    <t>GUERRA / GUSTAVO</t>
  </si>
  <si>
    <t>000-86-7566</t>
  </si>
  <si>
    <t>GUITRON-CEJA / ALFREDO</t>
  </si>
  <si>
    <t>000-86-6979</t>
  </si>
  <si>
    <t>GUTIERREZ-LOPEZ / BENJAMIN</t>
  </si>
  <si>
    <t>020-32-4095</t>
  </si>
  <si>
    <t>GUZMAN / ARTURO</t>
  </si>
  <si>
    <t>000-86-7305</t>
  </si>
  <si>
    <t>HECHT / ALICIA</t>
  </si>
  <si>
    <t>020-12-7146</t>
  </si>
  <si>
    <t>HEPNER / CLAUDIA</t>
  </si>
  <si>
    <t>030-35-0815</t>
  </si>
  <si>
    <t>HERNANDEZ / BENJAMIN</t>
  </si>
  <si>
    <t>000-86-7381</t>
  </si>
  <si>
    <t>HERNANDEZ / JESUS</t>
  </si>
  <si>
    <t>000-89-6099</t>
  </si>
  <si>
    <t>HERNANDEZ / PEDRO</t>
  </si>
  <si>
    <t>000-86-7380</t>
  </si>
  <si>
    <t>HOLLAND / BRENDA</t>
  </si>
  <si>
    <t>020-13-8224</t>
  </si>
  <si>
    <t>JAIMES / MONICA</t>
  </si>
  <si>
    <t>001-03-2525</t>
  </si>
  <si>
    <t>JULIANI / ROSA</t>
  </si>
  <si>
    <t>000-95-1627</t>
  </si>
  <si>
    <t>KURD / GHALEB</t>
  </si>
  <si>
    <t>000-86-7324</t>
  </si>
  <si>
    <t>LAMBERT / PAUL</t>
  </si>
  <si>
    <t>020-26-3730</t>
  </si>
  <si>
    <t>LARA / CARMEN</t>
  </si>
  <si>
    <t>000-86-7114</t>
  </si>
  <si>
    <t>LARITA / ANSELMO</t>
  </si>
  <si>
    <t>001-09-2317</t>
  </si>
  <si>
    <t>LEIVA / JOSE</t>
  </si>
  <si>
    <t>000-86-7390</t>
  </si>
  <si>
    <t>LIMON / SILVIA</t>
  </si>
  <si>
    <t>001-05-1639</t>
  </si>
  <si>
    <t>LLACSA / ROSENDO</t>
  </si>
  <si>
    <t>001-07-4235</t>
  </si>
  <si>
    <t>LOPEZ / ADRIAN</t>
  </si>
  <si>
    <t>020-26-4093</t>
  </si>
  <si>
    <t>LOPEZ / CARLOS</t>
  </si>
  <si>
    <t>000-86-7470</t>
  </si>
  <si>
    <t>LOPEZ / GUILLERMO</t>
  </si>
  <si>
    <t>000-92-2171</t>
  </si>
  <si>
    <t>LUZARDO FLORES / ANA</t>
  </si>
  <si>
    <t>020-26-3747</t>
  </si>
  <si>
    <t>MALDONADO / JEANNINE</t>
  </si>
  <si>
    <t>000-86-7112</t>
  </si>
  <si>
    <t>MARQUEZ / ADRIANA</t>
  </si>
  <si>
    <t>020-12-3298</t>
  </si>
  <si>
    <t>MARQUEZ / EMILIA</t>
  </si>
  <si>
    <t>000-86-7378</t>
  </si>
  <si>
    <t>MARQUEZ / MARIA</t>
  </si>
  <si>
    <t>000-86-7462</t>
  </si>
  <si>
    <t>MARQUEZ / SALVADOR</t>
  </si>
  <si>
    <t>000-86-7586</t>
  </si>
  <si>
    <t>MARQUEZ / SAMANTHA</t>
  </si>
  <si>
    <t>020-42-3444</t>
  </si>
  <si>
    <t>MARQUEZ GALVEZ / ARTURO</t>
  </si>
  <si>
    <t>030-32-3300</t>
  </si>
  <si>
    <t>MARTINEZ / JORGE</t>
  </si>
  <si>
    <t>000-86-7383</t>
  </si>
  <si>
    <t>MARTINEZ / JOSE</t>
  </si>
  <si>
    <t>000-86-7248</t>
  </si>
  <si>
    <t>MARTINEZ / YELTZIN</t>
  </si>
  <si>
    <t>020-19-3118</t>
  </si>
  <si>
    <t>MATUS / BEVERLY</t>
  </si>
  <si>
    <t>020-19-1608</t>
  </si>
  <si>
    <t>MEDINA / LETICIA</t>
  </si>
  <si>
    <t>001-07-5082</t>
  </si>
  <si>
    <t>MEDINA / MARTIN</t>
  </si>
  <si>
    <t>000-86-7650</t>
  </si>
  <si>
    <t>MEJIA / CONSUELO</t>
  </si>
  <si>
    <t>000-86-7276</t>
  </si>
  <si>
    <t>MEJIA / MOISES</t>
  </si>
  <si>
    <t>000-86-7534</t>
  </si>
  <si>
    <t>MENA / JULIO</t>
  </si>
  <si>
    <t>030-16-7877</t>
  </si>
  <si>
    <t>MENDEZ / ALFREDO</t>
  </si>
  <si>
    <t>020-35-2422</t>
  </si>
  <si>
    <t>000-86-7412</t>
  </si>
  <si>
    <t>MENDEZ / BONIFACIO</t>
  </si>
  <si>
    <t>000-86-7556</t>
  </si>
  <si>
    <t>MENDEZ / CARMINA</t>
  </si>
  <si>
    <t>020-32-5437</t>
  </si>
  <si>
    <t>MICHEL / JESUS</t>
  </si>
  <si>
    <t>020-26-3737</t>
  </si>
  <si>
    <t>MIRAMONTES / SAMUEL</t>
  </si>
  <si>
    <t>000-86-7179</t>
  </si>
  <si>
    <t>MONARES / FRANCISCO</t>
  </si>
  <si>
    <t>000-86-7454</t>
  </si>
  <si>
    <t>MONTOYA / IBIS</t>
  </si>
  <si>
    <t>000-86-7471</t>
  </si>
  <si>
    <t>MORALES / DUNIA</t>
  </si>
  <si>
    <t>020-35-2423</t>
  </si>
  <si>
    <t>MUNOZ / MARIA</t>
  </si>
  <si>
    <t>000-86-6972</t>
  </si>
  <si>
    <t>NAVARRO / MARIA</t>
  </si>
  <si>
    <t>000-86-7609</t>
  </si>
  <si>
    <t>NUSBAUM / REBE</t>
  </si>
  <si>
    <t>030-11-1573</t>
  </si>
  <si>
    <t>OBANNON / MASUD</t>
  </si>
  <si>
    <t>030-36-4410</t>
  </si>
  <si>
    <t>OLIVARES / ERNESTINA</t>
  </si>
  <si>
    <t>000-86-7573</t>
  </si>
  <si>
    <t>OLIVARES / INES</t>
  </si>
  <si>
    <t>000-95-6198</t>
  </si>
  <si>
    <t>ORTIZ / MACRINO</t>
  </si>
  <si>
    <t>000-86-7261</t>
  </si>
  <si>
    <t>OWENS / MIREYA</t>
  </si>
  <si>
    <t>020-12-4361</t>
  </si>
  <si>
    <t>PEREZ / EUGENIA</t>
  </si>
  <si>
    <t>001-05-1666</t>
  </si>
  <si>
    <t>PEREZ / ISMAEL</t>
  </si>
  <si>
    <t>000-86-7572</t>
  </si>
  <si>
    <t>PEREZ / MARCO</t>
  </si>
  <si>
    <t>001-03-3973</t>
  </si>
  <si>
    <t>PEREZ / MARISELA</t>
  </si>
  <si>
    <t>001-03-3976</t>
  </si>
  <si>
    <t>PINCKNEY / DANIEL</t>
  </si>
  <si>
    <t>032-11-3424</t>
  </si>
  <si>
    <t>PINTOR / BRIANA</t>
  </si>
  <si>
    <t>030-32-3298</t>
  </si>
  <si>
    <t>PLASCENCIA / ROSALBA</t>
  </si>
  <si>
    <t>020-19-1562</t>
  </si>
  <si>
    <t>RABADAN / MARTIN</t>
  </si>
  <si>
    <t>000-86-7507</t>
  </si>
  <si>
    <t>RABADAN / PEDRO</t>
  </si>
  <si>
    <t>000-86-7522</t>
  </si>
  <si>
    <t>RAMIREZ / ISIDRO</t>
  </si>
  <si>
    <t>032-02-3248</t>
  </si>
  <si>
    <t>RAMIREZ / VERONICA</t>
  </si>
  <si>
    <t>000-95-1612</t>
  </si>
  <si>
    <t>RAMOS / ALFREDO</t>
  </si>
  <si>
    <t>000-86-7588</t>
  </si>
  <si>
    <t>RAMOS / JOSE</t>
  </si>
  <si>
    <t>020-12-3432</t>
  </si>
  <si>
    <t>RAMOS / JOSECARLOS</t>
  </si>
  <si>
    <t>020-03-9958</t>
  </si>
  <si>
    <t>RAMOS-NORIZ / JOSE R.</t>
  </si>
  <si>
    <t>000-86-6924</t>
  </si>
  <si>
    <t>REES / LESLIE</t>
  </si>
  <si>
    <t>000-97-2486</t>
  </si>
  <si>
    <t>REYES-CORNEJO / SAMUEL</t>
  </si>
  <si>
    <t>000-86-7440</t>
  </si>
  <si>
    <t>RIOS / EDUARDO</t>
  </si>
  <si>
    <t>000-86-7339</t>
  </si>
  <si>
    <t>RIVERA / MARGARITA</t>
  </si>
  <si>
    <t>030-30-4971</t>
  </si>
  <si>
    <t>RODRIGUEZ / CRISTINA</t>
  </si>
  <si>
    <t>001-03-2453</t>
  </si>
  <si>
    <t>RODRIGUEZ / JESSICA</t>
  </si>
  <si>
    <t>000-86-7618</t>
  </si>
  <si>
    <t>ROJAS / HENRY</t>
  </si>
  <si>
    <t>020-39-0270</t>
  </si>
  <si>
    <t>ROMERO / MARIA</t>
  </si>
  <si>
    <t>000-86-7373</t>
  </si>
  <si>
    <t>ROSADO / EDGAR</t>
  </si>
  <si>
    <t>000-86-7278</t>
  </si>
  <si>
    <t>SAAD / HAYAT</t>
  </si>
  <si>
    <t>020-24-5242</t>
  </si>
  <si>
    <t>SANCHEZ / NATHAN</t>
  </si>
  <si>
    <t>030-10-9780</t>
  </si>
  <si>
    <t>SANCHEZDELRIO / EDUARDO</t>
  </si>
  <si>
    <t>020-33-4869</t>
  </si>
  <si>
    <t>SEGURA / DIANA</t>
  </si>
  <si>
    <t>020-32-5459</t>
  </si>
  <si>
    <t>SEGURA / ROBERTO</t>
  </si>
  <si>
    <t>000-86-7563</t>
  </si>
  <si>
    <t>SHAHEED / NOEL</t>
  </si>
  <si>
    <t>000-92-2318</t>
  </si>
  <si>
    <t>SILVA / ROCIO</t>
  </si>
  <si>
    <t>001-05-1674</t>
  </si>
  <si>
    <t>SMITH / CHRISTOPHE</t>
  </si>
  <si>
    <t>000-89-6118</t>
  </si>
  <si>
    <t>SOTO / EDGAR</t>
  </si>
  <si>
    <t>020-32-4338</t>
  </si>
  <si>
    <t>TANENBAUM / MARTHA</t>
  </si>
  <si>
    <t>000-86-7034</t>
  </si>
  <si>
    <t>TODD / TRINH</t>
  </si>
  <si>
    <t>000-86-6993</t>
  </si>
  <si>
    <t>TORRES / ESMERALDA</t>
  </si>
  <si>
    <t>000-86-7516</t>
  </si>
  <si>
    <t>TORRES / MARIA</t>
  </si>
  <si>
    <t>020-35-2442</t>
  </si>
  <si>
    <t>TORRES / ROSENDO</t>
  </si>
  <si>
    <t>000-86-6990</t>
  </si>
  <si>
    <t>TROCHE / ROSARIO</t>
  </si>
  <si>
    <t>000-86-7552</t>
  </si>
  <si>
    <t>VACA / VIVIAN</t>
  </si>
  <si>
    <t>001-07-4238</t>
  </si>
  <si>
    <t>VALLADOLID / ESTHER</t>
  </si>
  <si>
    <t>001-32-2330</t>
  </si>
  <si>
    <t>VARGAS / MARCO</t>
  </si>
  <si>
    <t>000-86-7465</t>
  </si>
  <si>
    <t>VELAZQUEZ / MA</t>
  </si>
  <si>
    <t>001-03-3980</t>
  </si>
  <si>
    <t>WHEELOCK / ELIAZER</t>
  </si>
  <si>
    <t>020-21-7306</t>
  </si>
  <si>
    <t>WILE / MARY</t>
  </si>
  <si>
    <t>020-52-4614</t>
  </si>
  <si>
    <t>WOO / KELVIN</t>
  </si>
  <si>
    <t>000-86-7457</t>
  </si>
  <si>
    <t>YURIVILCA / EARL</t>
  </si>
  <si>
    <t>030-35-9143</t>
  </si>
  <si>
    <t>YURIVILCA / JOSHUA</t>
  </si>
  <si>
    <t>032-11-2762</t>
  </si>
  <si>
    <t>ZUNIGA / JOSE</t>
  </si>
  <si>
    <t>000-86-7411</t>
  </si>
  <si>
    <t>CCKIT</t>
  </si>
  <si>
    <t>ACEVEDO / ANA</t>
  </si>
  <si>
    <t>000-89-6075</t>
  </si>
  <si>
    <t>ALVA / MARIO</t>
  </si>
  <si>
    <t>000-89-6407</t>
  </si>
  <si>
    <t>AMADA / MARK JOSEP</t>
  </si>
  <si>
    <t>001-17-2704</t>
  </si>
  <si>
    <t>ARELLANO / ROSALINDA</t>
  </si>
  <si>
    <t>000-86-7032</t>
  </si>
  <si>
    <t>BEHRENS / BRIAN</t>
  </si>
  <si>
    <t>032-01-2572</t>
  </si>
  <si>
    <t>BOLIN / ROBERT</t>
  </si>
  <si>
    <t>032-18-7963</t>
  </si>
  <si>
    <t>BROUSSARD / GREGORY</t>
  </si>
  <si>
    <t>001-04-0048</t>
  </si>
  <si>
    <t>CORDERO / RUTH</t>
  </si>
  <si>
    <t>000-92-1359</t>
  </si>
  <si>
    <t>CRUZ / ADRIAN</t>
  </si>
  <si>
    <t>032-24-6497</t>
  </si>
  <si>
    <t>DE LA ROSA / MARIA</t>
  </si>
  <si>
    <t>020-28-2850</t>
  </si>
  <si>
    <t>DELGADO / ROBERT MAN</t>
  </si>
  <si>
    <t>001-17-2737</t>
  </si>
  <si>
    <t>FLORES / EMMA</t>
  </si>
  <si>
    <t>000-98-9073</t>
  </si>
  <si>
    <t>FLORES / HECTOR</t>
  </si>
  <si>
    <t>001-20-1398</t>
  </si>
  <si>
    <t>FLORES / LILY</t>
  </si>
  <si>
    <t>000-86-7649</t>
  </si>
  <si>
    <t>GAMEZ / MARIA</t>
  </si>
  <si>
    <t>020-05-2646</t>
  </si>
  <si>
    <t>GAMEZ BARRIOS / VALERIA</t>
  </si>
  <si>
    <t>032-21-1870</t>
  </si>
  <si>
    <t>GUDINO / LILIA</t>
  </si>
  <si>
    <t>001-08-8973</t>
  </si>
  <si>
    <t>HIGUERA / FRANK</t>
  </si>
  <si>
    <t>032-18-7964</t>
  </si>
  <si>
    <t>HUAMAN / VANESA</t>
  </si>
  <si>
    <t>032-02-5576</t>
  </si>
  <si>
    <t>IGNACIO / ALEXANDER</t>
  </si>
  <si>
    <t>000-86-7577</t>
  </si>
  <si>
    <t>IGNACIO / MARYLOU</t>
  </si>
  <si>
    <t>000-86-7575</t>
  </si>
  <si>
    <t>KARNADI / RINI</t>
  </si>
  <si>
    <t>000-86-7554</t>
  </si>
  <si>
    <t>LOEZA / MELISSA</t>
  </si>
  <si>
    <t>020-46-5284</t>
  </si>
  <si>
    <t>LOPEZ / ESPERANZA</t>
  </si>
  <si>
    <t>001-32-2301</t>
  </si>
  <si>
    <t>LOPEZ / JOSE</t>
  </si>
  <si>
    <t>032-18-7985</t>
  </si>
  <si>
    <t>MENDOZA / HECTOR</t>
  </si>
  <si>
    <t>000-86-7553</t>
  </si>
  <si>
    <t>MIRANDA / JAMES</t>
  </si>
  <si>
    <t>032-27-3592</t>
  </si>
  <si>
    <t>MONROY / MARIA</t>
  </si>
  <si>
    <t>000-96-8570</t>
  </si>
  <si>
    <t>MONTANO / LUIS</t>
  </si>
  <si>
    <t>030-34-8580</t>
  </si>
  <si>
    <t>NUNEZ / ANGIE</t>
  </si>
  <si>
    <t>030-11-1580</t>
  </si>
  <si>
    <t>PAEZ / ANDREA</t>
  </si>
  <si>
    <t>032-29-5502</t>
  </si>
  <si>
    <t>ROSE / CARLY</t>
  </si>
  <si>
    <t>030-31-6041</t>
  </si>
  <si>
    <t>SEPULVEDA / ANDREW</t>
  </si>
  <si>
    <t>032-29-5504</t>
  </si>
  <si>
    <t>SOLANO-PALOMARES / JUANA</t>
  </si>
  <si>
    <t>000-86-7536</t>
  </si>
  <si>
    <t>TRAN / HUONG</t>
  </si>
  <si>
    <t>000-86-7622</t>
  </si>
  <si>
    <t>TRUONG / ANH</t>
  </si>
  <si>
    <t>001-11-4879</t>
  </si>
  <si>
    <t>VARGAS / JOSEFINA</t>
  </si>
  <si>
    <t>030-13-8564</t>
  </si>
  <si>
    <t>VASSALLO / DANIEL</t>
  </si>
  <si>
    <t>030-32-3288</t>
  </si>
  <si>
    <t>VELASQUEZ / ELENA</t>
  </si>
  <si>
    <t>020-42-6620</t>
  </si>
  <si>
    <t>VELIZ / MARIA</t>
  </si>
  <si>
    <t>001-08-8974</t>
  </si>
  <si>
    <t>VOONG / PHONG</t>
  </si>
  <si>
    <t>032-18-7570</t>
  </si>
  <si>
    <t>VU / CHRISTINE</t>
  </si>
  <si>
    <t>020-38-0351</t>
  </si>
  <si>
    <t>WILLYARD / PATRICK</t>
  </si>
  <si>
    <t>032-11-3425</t>
  </si>
  <si>
    <t>CCPRT</t>
  </si>
  <si>
    <t>DELATORRE / LAURA</t>
  </si>
  <si>
    <t>030-10-9554</t>
  </si>
  <si>
    <t>ENTWISTLE / EMMA</t>
  </si>
  <si>
    <t>032-29-5544</t>
  </si>
  <si>
    <t>PHAM / BRENDA</t>
  </si>
  <si>
    <t>032-30-0795</t>
  </si>
  <si>
    <t>ROMERO MORA / GABRIEL</t>
  </si>
  <si>
    <t>030-33-5064</t>
  </si>
  <si>
    <t>CCRF</t>
  </si>
  <si>
    <t>ALFARO / LISAMARIE</t>
  </si>
  <si>
    <t>020-35-0484</t>
  </si>
  <si>
    <t>BAEZ / ANA</t>
  </si>
  <si>
    <t>030-35-9636</t>
  </si>
  <si>
    <t>CARBAJAL / GABRIELA</t>
  </si>
  <si>
    <t>032-11-3998</t>
  </si>
  <si>
    <t>CARRILLO / XIOMARA</t>
  </si>
  <si>
    <t>000-97-7551</t>
  </si>
  <si>
    <t>CHAVEZ / JONATHAN</t>
  </si>
  <si>
    <t>020-45-9029</t>
  </si>
  <si>
    <t>CISNEROS / SARAH</t>
  </si>
  <si>
    <t>020-35-0481</t>
  </si>
  <si>
    <t>COE / ELIZA</t>
  </si>
  <si>
    <t>032-29-5553</t>
  </si>
  <si>
    <t>DELATORRE / MARIA</t>
  </si>
  <si>
    <t>000-86-7521</t>
  </si>
  <si>
    <t>DELGRECO / EVAN</t>
  </si>
  <si>
    <t>032-29-5581</t>
  </si>
  <si>
    <t>GARCIA / DOREEN</t>
  </si>
  <si>
    <t>032-04-6199</t>
  </si>
  <si>
    <t>GARCIA CASTRO / SULEIMA</t>
  </si>
  <si>
    <t>032-29-5567</t>
  </si>
  <si>
    <t>GIRGIS / SAMIR GIRG</t>
  </si>
  <si>
    <t>032-29-5542</t>
  </si>
  <si>
    <t>GONZALEZ-GUERRA / SAYMI</t>
  </si>
  <si>
    <t>032-29-8604</t>
  </si>
  <si>
    <t>GRANT / SHANE</t>
  </si>
  <si>
    <t>032-18-7989</t>
  </si>
  <si>
    <t>GUEVARA / CARLOS</t>
  </si>
  <si>
    <t>001-15-8725</t>
  </si>
  <si>
    <t>HAGER / DWAYNE</t>
  </si>
  <si>
    <t>000-16-1947</t>
  </si>
  <si>
    <t>HALL / ANGELA</t>
  </si>
  <si>
    <t>020-31-7239</t>
  </si>
  <si>
    <t>HAMBY / GERALD</t>
  </si>
  <si>
    <t>032-18-7553</t>
  </si>
  <si>
    <t>HEREDIA / RAYMOND HE</t>
  </si>
  <si>
    <t>030-35-9445</t>
  </si>
  <si>
    <t>020-34-8131</t>
  </si>
  <si>
    <t>HERNANDEZ / VIVIANA</t>
  </si>
  <si>
    <t>032-11-2835</t>
  </si>
  <si>
    <t>HITE / RENATE</t>
  </si>
  <si>
    <t>032-03-0342</t>
  </si>
  <si>
    <t>HIVELY / NICHOLAS</t>
  </si>
  <si>
    <t>030-10-9783</t>
  </si>
  <si>
    <t>HONMA / BELINDA</t>
  </si>
  <si>
    <t>032-02-3254</t>
  </si>
  <si>
    <t>KHA / DE</t>
  </si>
  <si>
    <t>000-86-7178</t>
  </si>
  <si>
    <t>KIMMEL / JODI</t>
  </si>
  <si>
    <t>001-42-7735</t>
  </si>
  <si>
    <t>LAMAS / DORIS</t>
  </si>
  <si>
    <t>001-16-0976</t>
  </si>
  <si>
    <t>LANTZ / DONALD</t>
  </si>
  <si>
    <t>032-18-7578</t>
  </si>
  <si>
    <t>LIMA / ERICK</t>
  </si>
  <si>
    <t>000-86-7242</t>
  </si>
  <si>
    <t>MARTINEZ / DAISEY</t>
  </si>
  <si>
    <t>020-05-3107</t>
  </si>
  <si>
    <t>MARTINEZ / KEVIN</t>
  </si>
  <si>
    <t>032-18-7599</t>
  </si>
  <si>
    <t>MARTINEZ / LILIANA</t>
  </si>
  <si>
    <t>000-86-7363</t>
  </si>
  <si>
    <t>MARTINEZ / MELISSA</t>
  </si>
  <si>
    <t>032-11-3327</t>
  </si>
  <si>
    <t>MARTINEZ-A / GABRIELA</t>
  </si>
  <si>
    <t>000-86-7154</t>
  </si>
  <si>
    <t>MORELL / JACOB</t>
  </si>
  <si>
    <t>030-33-4736</t>
  </si>
  <si>
    <t>NAVARRO / MELINDA</t>
  </si>
  <si>
    <t>020-12-3893</t>
  </si>
  <si>
    <t>NGUYEN / MICHAEL</t>
  </si>
  <si>
    <t>030-35-9638</t>
  </si>
  <si>
    <t>ORTIZ / PAULA</t>
  </si>
  <si>
    <t>020-45-8896</t>
  </si>
  <si>
    <t>PADILLA / JEREMIAH</t>
  </si>
  <si>
    <t>032-11-4006</t>
  </si>
  <si>
    <t>PENA / ALEXANDER</t>
  </si>
  <si>
    <t>032-18-7552</t>
  </si>
  <si>
    <t>PEREA / JAMES</t>
  </si>
  <si>
    <t>032-11-3428</t>
  </si>
  <si>
    <t>PIPPIN / ANA</t>
  </si>
  <si>
    <t>000-86-7531</t>
  </si>
  <si>
    <t>RAZO / LAURA</t>
  </si>
  <si>
    <t>020-48-2579</t>
  </si>
  <si>
    <t>RIOS / KRISTAN</t>
  </si>
  <si>
    <t>020-45-9018</t>
  </si>
  <si>
    <t>RIVERA / JILLIAN</t>
  </si>
  <si>
    <t>020-12-3256</t>
  </si>
  <si>
    <t>SALGADO / JOHANNA</t>
  </si>
  <si>
    <t>020-12-3257</t>
  </si>
  <si>
    <t>SANCHEZ LEYVA / GLENDA</t>
  </si>
  <si>
    <t>032-29-5555</t>
  </si>
  <si>
    <t>SMITH / MARIA</t>
  </si>
  <si>
    <t>032-11-3429</t>
  </si>
  <si>
    <t>TANG / ELVIS</t>
  </si>
  <si>
    <t>032-11-2836</t>
  </si>
  <si>
    <t>WASOWSKI / PAM</t>
  </si>
  <si>
    <t>000-92-1692</t>
  </si>
  <si>
    <t>WONG / AMY</t>
  </si>
  <si>
    <t>000-86-7513</t>
  </si>
  <si>
    <t>YOUNG / MONICA</t>
  </si>
  <si>
    <t>000-89-6237</t>
  </si>
  <si>
    <t>CCSTW</t>
  </si>
  <si>
    <t>ALVAREZ / ANA</t>
  </si>
  <si>
    <t>000-86-7587</t>
  </si>
  <si>
    <t>BARKEMEYER / SKY</t>
  </si>
  <si>
    <t>032-18-7576</t>
  </si>
  <si>
    <t>BRYANT / TANTALYN</t>
  </si>
  <si>
    <t>032-18-7986</t>
  </si>
  <si>
    <t>CABRERA ZANABRIA / MARCOS</t>
  </si>
  <si>
    <t>030-34-0099</t>
  </si>
  <si>
    <t>CACERES-CRUZ / IRINALDA</t>
  </si>
  <si>
    <t>000-86-7569</t>
  </si>
  <si>
    <t>CHANDLER / CONDER</t>
  </si>
  <si>
    <t>030-30-0727</t>
  </si>
  <si>
    <t>CORREA / JOEL</t>
  </si>
  <si>
    <t>032-04-6201</t>
  </si>
  <si>
    <t>FIGUEROA AYALA / RAUL</t>
  </si>
  <si>
    <t>001-07-4056</t>
  </si>
  <si>
    <t>GOMEZ / GREGORIO</t>
  </si>
  <si>
    <t>001-28-4975</t>
  </si>
  <si>
    <t>HARVEY / DARLENE</t>
  </si>
  <si>
    <t>020-12-3430</t>
  </si>
  <si>
    <t>JAIME / ANA</t>
  </si>
  <si>
    <t>000-86-7281</t>
  </si>
  <si>
    <t>LOPEZ / BENITO</t>
  </si>
  <si>
    <t>000-86-7257</t>
  </si>
  <si>
    <t>MARINES / LILIANA</t>
  </si>
  <si>
    <t>001-29-0879</t>
  </si>
  <si>
    <t>MARTINEZ / ERNESTO</t>
  </si>
  <si>
    <t>032-11-3304</t>
  </si>
  <si>
    <t>ORIHUELA / CARMEN</t>
  </si>
  <si>
    <t>020-12-3412</t>
  </si>
  <si>
    <t>ORTIZ / JUAN</t>
  </si>
  <si>
    <t>001-15-4719</t>
  </si>
  <si>
    <t>PENA / ELIZABETH</t>
  </si>
  <si>
    <t>030-27-9699</t>
  </si>
  <si>
    <t>RAMIREZ ZEPEDA / MARIA</t>
  </si>
  <si>
    <t>032-18-7566</t>
  </si>
  <si>
    <t>SANTOYO / JAIME</t>
  </si>
  <si>
    <t>001-32-1301</t>
  </si>
  <si>
    <t>TAPIA / REYNA</t>
  </si>
  <si>
    <t>000-86-7422</t>
  </si>
  <si>
    <t>TORRES / URANIA</t>
  </si>
  <si>
    <t>032-05-2826</t>
  </si>
  <si>
    <t>ZACARIAS / MARCO</t>
  </si>
  <si>
    <t>032-11-3306</t>
  </si>
  <si>
    <t>CCWHS</t>
  </si>
  <si>
    <t>ALVA / JULIO</t>
  </si>
  <si>
    <t>020-34-2894</t>
  </si>
  <si>
    <t>Dept</t>
  </si>
  <si>
    <t>EE ID</t>
  </si>
  <si>
    <t>Vacation Hours</t>
  </si>
  <si>
    <t>Amount Due</t>
  </si>
  <si>
    <t xml:space="preserve">HEALTH &amp; WELFARE REPORT  </t>
  </si>
  <si>
    <t>ARAMARK - ANAHEIM CONVENTION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</si>
</sst>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2" fontId="0" fillId="0" borderId="0" xfId="0" applyNumberFormat="1"/>
    <xf numFmtId="0" fontId="16" fillId="0" borderId="10" xfId="0" applyFont="1" applyBorder="1" applyAlignment="1">
      <alignment horizontal="center" wrapText="1"/>
    </xf>
    <xf numFmtId="2" fontId="16" fillId="0" borderId="10" xfId="0" applyNumberFormat="1" applyFont="1" applyBorder="1" applyAlignment="1">
      <alignment horizontal="center" wrapText="1"/>
    </xf>
    <xf numFmtId="0" fontId="0" fillId="0" borderId="10" xfId="0" applyBorder="1"/>
    <xf numFmtId="2" fontId="0" fillId="0" borderId="10" xfId="0" applyNumberFormat="1" applyBorder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41BF4-0A48-434E-90FD-65F00185F612}">
  <dimension ref="A1:H308"/>
  <sheetViews>
    <sheetView tabSelected="1" topLeftCell="A279" zoomScaleNormal="100" workbookViewId="0">
      <selection activeCell="K302" sqref="K302"/>
    </sheetView>
  </sheetViews>
  <sheetFormatPr defaultRowHeight="15" x14ac:dyDescent="0.25"/>
  <cols>
    <col min="2" max="2" width="28.5703125" customWidth="1"/>
    <col min="3" max="3" width="14.28515625" customWidth="1"/>
    <col min="4" max="8" width="9.140625" style="1"/>
  </cols>
  <sheetData>
    <row r="1" spans="1:8" ht="15.75" x14ac:dyDescent="0.25">
      <c r="A1" s="6" t="s">
        <v>618</v>
      </c>
      <c r="B1" s="6"/>
    </row>
    <row r="2" spans="1:8" ht="15.75" x14ac:dyDescent="0.25">
      <c r="A2" s="6" t="s">
        <v>0</v>
      </c>
      <c r="B2" s="6"/>
    </row>
    <row r="3" spans="1:8" ht="15.75" x14ac:dyDescent="0.25">
      <c r="A3" s="6" t="s">
        <v>619</v>
      </c>
      <c r="B3" s="6"/>
    </row>
    <row r="5" spans="1:8" ht="30" x14ac:dyDescent="0.25">
      <c r="A5" s="2" t="s">
        <v>614</v>
      </c>
      <c r="B5" s="2" t="s">
        <v>1</v>
      </c>
      <c r="C5" s="2" t="s">
        <v>615</v>
      </c>
      <c r="D5" s="3" t="s">
        <v>2</v>
      </c>
      <c r="E5" s="3" t="s">
        <v>3</v>
      </c>
      <c r="F5" s="3" t="s">
        <v>616</v>
      </c>
      <c r="G5" s="3" t="s">
        <v>4</v>
      </c>
      <c r="H5" s="3" t="s">
        <v>617</v>
      </c>
    </row>
    <row r="6" spans="1:8" x14ac:dyDescent="0.25">
      <c r="A6" s="4" t="s">
        <v>366</v>
      </c>
      <c r="B6" s="4" t="s">
        <v>367</v>
      </c>
      <c r="C6" s="4" t="s">
        <v>368</v>
      </c>
      <c r="D6" s="5">
        <v>0.42</v>
      </c>
      <c r="E6" s="5">
        <v>96.48</v>
      </c>
      <c r="F6" s="5">
        <v>63</v>
      </c>
      <c r="G6" s="5">
        <v>159.47999999999999</v>
      </c>
      <c r="H6" s="5">
        <f>SUM(G6*D6)</f>
        <v>66.9816</v>
      </c>
    </row>
    <row r="7" spans="1:8" x14ac:dyDescent="0.25">
      <c r="A7" s="4" t="s">
        <v>74</v>
      </c>
      <c r="B7" s="4" t="s">
        <v>75</v>
      </c>
      <c r="C7" s="4" t="s">
        <v>76</v>
      </c>
      <c r="D7" s="5">
        <v>0.42</v>
      </c>
      <c r="E7" s="5">
        <v>24.11</v>
      </c>
      <c r="F7" s="5">
        <v>0</v>
      </c>
      <c r="G7" s="5">
        <v>24.11</v>
      </c>
      <c r="H7" s="5">
        <f t="shared" ref="H7:H70" si="0">SUM(G7*D7)</f>
        <v>10.126199999999999</v>
      </c>
    </row>
    <row r="8" spans="1:8" x14ac:dyDescent="0.25">
      <c r="A8" s="4" t="s">
        <v>74</v>
      </c>
      <c r="B8" s="4" t="s">
        <v>77</v>
      </c>
      <c r="C8" s="4" t="s">
        <v>78</v>
      </c>
      <c r="D8" s="5">
        <v>0.42</v>
      </c>
      <c r="E8" s="5">
        <v>8</v>
      </c>
      <c r="F8" s="5">
        <v>30</v>
      </c>
      <c r="G8" s="5">
        <v>38</v>
      </c>
      <c r="H8" s="5">
        <f t="shared" si="0"/>
        <v>15.959999999999999</v>
      </c>
    </row>
    <row r="9" spans="1:8" x14ac:dyDescent="0.25">
      <c r="A9" s="4" t="s">
        <v>462</v>
      </c>
      <c r="B9" s="4" t="s">
        <v>463</v>
      </c>
      <c r="C9" s="4" t="s">
        <v>464</v>
      </c>
      <c r="D9" s="5">
        <v>0.42</v>
      </c>
      <c r="E9" s="5">
        <v>9.85</v>
      </c>
      <c r="F9" s="5">
        <v>0</v>
      </c>
      <c r="G9" s="5">
        <v>9.85</v>
      </c>
      <c r="H9" s="5">
        <f t="shared" si="0"/>
        <v>4.1369999999999996</v>
      </c>
    </row>
    <row r="10" spans="1:8" x14ac:dyDescent="0.25">
      <c r="A10" s="4" t="s">
        <v>74</v>
      </c>
      <c r="B10" s="4" t="s">
        <v>79</v>
      </c>
      <c r="C10" s="4" t="s">
        <v>80</v>
      </c>
      <c r="D10" s="5">
        <v>0.42</v>
      </c>
      <c r="E10" s="5">
        <v>22.09</v>
      </c>
      <c r="F10" s="5">
        <v>0</v>
      </c>
      <c r="G10" s="5">
        <v>22.09</v>
      </c>
      <c r="H10" s="5">
        <f t="shared" si="0"/>
        <v>9.2777999999999992</v>
      </c>
    </row>
    <row r="11" spans="1:8" x14ac:dyDescent="0.25">
      <c r="A11" s="4" t="s">
        <v>5</v>
      </c>
      <c r="B11" s="4" t="s">
        <v>6</v>
      </c>
      <c r="C11" s="4" t="s">
        <v>7</v>
      </c>
      <c r="D11" s="5">
        <v>0.42</v>
      </c>
      <c r="E11" s="5">
        <v>32.08</v>
      </c>
      <c r="F11" s="5">
        <v>0</v>
      </c>
      <c r="G11" s="5">
        <v>32.08</v>
      </c>
      <c r="H11" s="5">
        <f t="shared" si="0"/>
        <v>13.473599999999999</v>
      </c>
    </row>
    <row r="12" spans="1:8" x14ac:dyDescent="0.25">
      <c r="A12" s="4" t="s">
        <v>611</v>
      </c>
      <c r="B12" s="4" t="s">
        <v>612</v>
      </c>
      <c r="C12" s="4" t="s">
        <v>613</v>
      </c>
      <c r="D12" s="5">
        <v>0.42</v>
      </c>
      <c r="E12" s="5">
        <v>121.04</v>
      </c>
      <c r="F12" s="5">
        <v>40</v>
      </c>
      <c r="G12" s="5">
        <v>161.04</v>
      </c>
      <c r="H12" s="5">
        <f t="shared" si="0"/>
        <v>67.636799999999994</v>
      </c>
    </row>
    <row r="13" spans="1:8" x14ac:dyDescent="0.25">
      <c r="A13" s="4" t="s">
        <v>366</v>
      </c>
      <c r="B13" s="4" t="s">
        <v>369</v>
      </c>
      <c r="C13" s="4" t="s">
        <v>370</v>
      </c>
      <c r="D13" s="5">
        <v>0.42</v>
      </c>
      <c r="E13" s="5">
        <v>88.63</v>
      </c>
      <c r="F13" s="5">
        <v>0</v>
      </c>
      <c r="G13" s="5">
        <v>88.63</v>
      </c>
      <c r="H13" s="5">
        <f t="shared" si="0"/>
        <v>37.224599999999995</v>
      </c>
    </row>
    <row r="14" spans="1:8" x14ac:dyDescent="0.25">
      <c r="A14" s="4" t="s">
        <v>5</v>
      </c>
      <c r="B14" s="4" t="s">
        <v>8</v>
      </c>
      <c r="C14" s="4" t="s">
        <v>9</v>
      </c>
      <c r="D14" s="5">
        <v>0.42</v>
      </c>
      <c r="E14" s="5">
        <v>29.18</v>
      </c>
      <c r="F14" s="5">
        <v>0</v>
      </c>
      <c r="G14" s="5">
        <v>29.18</v>
      </c>
      <c r="H14" s="5">
        <f t="shared" si="0"/>
        <v>12.255599999999999</v>
      </c>
    </row>
    <row r="15" spans="1:8" x14ac:dyDescent="0.25">
      <c r="A15" s="4" t="s">
        <v>74</v>
      </c>
      <c r="B15" s="4" t="s">
        <v>81</v>
      </c>
      <c r="C15" s="4" t="s">
        <v>82</v>
      </c>
      <c r="D15" s="5">
        <v>0.42</v>
      </c>
      <c r="E15" s="5">
        <v>20.079999999999998</v>
      </c>
      <c r="F15" s="5">
        <v>0</v>
      </c>
      <c r="G15" s="5">
        <v>20.079999999999998</v>
      </c>
      <c r="H15" s="5">
        <f t="shared" si="0"/>
        <v>8.4335999999999984</v>
      </c>
    </row>
    <row r="16" spans="1:8" x14ac:dyDescent="0.25">
      <c r="A16" s="4" t="s">
        <v>566</v>
      </c>
      <c r="B16" s="4" t="s">
        <v>567</v>
      </c>
      <c r="C16" s="4" t="s">
        <v>568</v>
      </c>
      <c r="D16" s="5">
        <v>0.42</v>
      </c>
      <c r="E16" s="5">
        <v>96.12</v>
      </c>
      <c r="F16" s="5">
        <v>94.5</v>
      </c>
      <c r="G16" s="5">
        <v>190.62</v>
      </c>
      <c r="H16" s="5">
        <f t="shared" si="0"/>
        <v>80.060400000000001</v>
      </c>
    </row>
    <row r="17" spans="1:8" x14ac:dyDescent="0.25">
      <c r="A17" s="4" t="s">
        <v>74</v>
      </c>
      <c r="B17" s="4" t="s">
        <v>83</v>
      </c>
      <c r="C17" s="4" t="s">
        <v>84</v>
      </c>
      <c r="D17" s="5">
        <v>0.42</v>
      </c>
      <c r="E17" s="5">
        <v>56.4</v>
      </c>
      <c r="F17" s="5">
        <v>0</v>
      </c>
      <c r="G17" s="5">
        <v>56.4</v>
      </c>
      <c r="H17" s="5">
        <f t="shared" si="0"/>
        <v>23.687999999999999</v>
      </c>
    </row>
    <row r="18" spans="1:8" x14ac:dyDescent="0.25">
      <c r="A18" s="4" t="s">
        <v>366</v>
      </c>
      <c r="B18" s="4" t="s">
        <v>371</v>
      </c>
      <c r="C18" s="4" t="s">
        <v>372</v>
      </c>
      <c r="D18" s="5">
        <v>0.42</v>
      </c>
      <c r="E18" s="5">
        <v>95.86</v>
      </c>
      <c r="F18" s="5">
        <v>0</v>
      </c>
      <c r="G18" s="5">
        <v>95.86</v>
      </c>
      <c r="H18" s="5">
        <f t="shared" si="0"/>
        <v>40.261199999999995</v>
      </c>
    </row>
    <row r="19" spans="1:8" x14ac:dyDescent="0.25">
      <c r="A19" s="4" t="s">
        <v>366</v>
      </c>
      <c r="B19" s="4" t="s">
        <v>373</v>
      </c>
      <c r="C19" s="4" t="s">
        <v>374</v>
      </c>
      <c r="D19" s="5">
        <v>0.42</v>
      </c>
      <c r="E19" s="5">
        <v>96.57</v>
      </c>
      <c r="F19" s="5">
        <v>0</v>
      </c>
      <c r="G19" s="5">
        <v>96.57</v>
      </c>
      <c r="H19" s="5">
        <f t="shared" si="0"/>
        <v>40.559399999999997</v>
      </c>
    </row>
    <row r="20" spans="1:8" x14ac:dyDescent="0.25">
      <c r="A20" s="4" t="s">
        <v>74</v>
      </c>
      <c r="B20" s="4" t="s">
        <v>85</v>
      </c>
      <c r="C20" s="4" t="s">
        <v>86</v>
      </c>
      <c r="D20" s="5">
        <v>0.42</v>
      </c>
      <c r="E20" s="5">
        <v>24.02</v>
      </c>
      <c r="F20" s="5">
        <v>0</v>
      </c>
      <c r="G20" s="5">
        <v>24.02</v>
      </c>
      <c r="H20" s="5">
        <f t="shared" si="0"/>
        <v>10.0884</v>
      </c>
    </row>
    <row r="21" spans="1:8" x14ac:dyDescent="0.25">
      <c r="A21" s="4" t="s">
        <v>5</v>
      </c>
      <c r="B21" s="4" t="s">
        <v>10</v>
      </c>
      <c r="C21" s="4" t="s">
        <v>11</v>
      </c>
      <c r="D21" s="5">
        <v>0.42</v>
      </c>
      <c r="E21" s="5">
        <v>8.0399999999999991</v>
      </c>
      <c r="F21" s="5">
        <v>0</v>
      </c>
      <c r="G21" s="5">
        <v>8.0399999999999991</v>
      </c>
      <c r="H21" s="5">
        <f t="shared" si="0"/>
        <v>3.3767999999999994</v>
      </c>
    </row>
    <row r="22" spans="1:8" x14ac:dyDescent="0.25">
      <c r="A22" s="4" t="s">
        <v>74</v>
      </c>
      <c r="B22" s="4" t="s">
        <v>87</v>
      </c>
      <c r="C22" s="4" t="s">
        <v>88</v>
      </c>
      <c r="D22" s="5">
        <v>0.42</v>
      </c>
      <c r="E22" s="5">
        <v>6.06</v>
      </c>
      <c r="F22" s="5">
        <v>0</v>
      </c>
      <c r="G22" s="5">
        <v>6.06</v>
      </c>
      <c r="H22" s="5">
        <f t="shared" si="0"/>
        <v>2.5451999999999999</v>
      </c>
    </row>
    <row r="23" spans="1:8" x14ac:dyDescent="0.25">
      <c r="A23" s="4" t="s">
        <v>462</v>
      </c>
      <c r="B23" s="4" t="s">
        <v>465</v>
      </c>
      <c r="C23" s="4" t="s">
        <v>466</v>
      </c>
      <c r="D23" s="5">
        <v>0.42</v>
      </c>
      <c r="E23" s="5">
        <v>43.04</v>
      </c>
      <c r="F23" s="5">
        <v>0</v>
      </c>
      <c r="G23" s="5">
        <v>43.04</v>
      </c>
      <c r="H23" s="5">
        <f t="shared" si="0"/>
        <v>18.076799999999999</v>
      </c>
    </row>
    <row r="24" spans="1:8" x14ac:dyDescent="0.25">
      <c r="A24" s="4" t="s">
        <v>566</v>
      </c>
      <c r="B24" s="4" t="s">
        <v>569</v>
      </c>
      <c r="C24" s="4" t="s">
        <v>570</v>
      </c>
      <c r="D24" s="5">
        <v>0.42</v>
      </c>
      <c r="E24" s="5">
        <v>32.03</v>
      </c>
      <c r="F24" s="5">
        <v>0</v>
      </c>
      <c r="G24" s="5">
        <v>32.03</v>
      </c>
      <c r="H24" s="5">
        <f t="shared" si="0"/>
        <v>13.4526</v>
      </c>
    </row>
    <row r="25" spans="1:8" x14ac:dyDescent="0.25">
      <c r="A25" s="4" t="s">
        <v>5</v>
      </c>
      <c r="B25" s="4" t="s">
        <v>12</v>
      </c>
      <c r="C25" s="4" t="s">
        <v>13</v>
      </c>
      <c r="D25" s="5">
        <v>0.42</v>
      </c>
      <c r="E25" s="5">
        <v>17.32</v>
      </c>
      <c r="F25" s="5">
        <v>0</v>
      </c>
      <c r="G25" s="5">
        <v>17.32</v>
      </c>
      <c r="H25" s="5">
        <f t="shared" si="0"/>
        <v>7.2744</v>
      </c>
    </row>
    <row r="26" spans="1:8" x14ac:dyDescent="0.25">
      <c r="A26" s="4" t="s">
        <v>74</v>
      </c>
      <c r="B26" s="4" t="s">
        <v>89</v>
      </c>
      <c r="C26" s="4" t="s">
        <v>90</v>
      </c>
      <c r="D26" s="5">
        <v>0.42</v>
      </c>
      <c r="E26" s="5">
        <v>38.08</v>
      </c>
      <c r="F26" s="5">
        <v>0</v>
      </c>
      <c r="G26" s="5">
        <v>38.08</v>
      </c>
      <c r="H26" s="5">
        <f t="shared" si="0"/>
        <v>15.993599999999999</v>
      </c>
    </row>
    <row r="27" spans="1:8" x14ac:dyDescent="0.25">
      <c r="A27" s="4" t="s">
        <v>74</v>
      </c>
      <c r="B27" s="4" t="s">
        <v>91</v>
      </c>
      <c r="C27" s="4" t="s">
        <v>92</v>
      </c>
      <c r="D27" s="5">
        <v>0.42</v>
      </c>
      <c r="E27" s="5">
        <v>83.28</v>
      </c>
      <c r="F27" s="5">
        <v>0</v>
      </c>
      <c r="G27" s="5">
        <v>83.28</v>
      </c>
      <c r="H27" s="5">
        <f t="shared" si="0"/>
        <v>34.977600000000002</v>
      </c>
    </row>
    <row r="28" spans="1:8" x14ac:dyDescent="0.25">
      <c r="A28" s="4" t="s">
        <v>366</v>
      </c>
      <c r="B28" s="4" t="s">
        <v>375</v>
      </c>
      <c r="C28" s="4" t="s">
        <v>376</v>
      </c>
      <c r="D28" s="5">
        <v>0.42</v>
      </c>
      <c r="E28" s="5">
        <v>38.68</v>
      </c>
      <c r="F28" s="5">
        <v>0</v>
      </c>
      <c r="G28" s="5">
        <v>38.68</v>
      </c>
      <c r="H28" s="5">
        <f t="shared" si="0"/>
        <v>16.2456</v>
      </c>
    </row>
    <row r="29" spans="1:8" x14ac:dyDescent="0.25">
      <c r="A29" s="4" t="s">
        <v>74</v>
      </c>
      <c r="B29" s="4" t="s">
        <v>93</v>
      </c>
      <c r="C29" s="4" t="s">
        <v>94</v>
      </c>
      <c r="D29" s="5">
        <v>0.42</v>
      </c>
      <c r="E29" s="5">
        <v>14.93</v>
      </c>
      <c r="F29" s="5">
        <v>0</v>
      </c>
      <c r="G29" s="5">
        <v>14.93</v>
      </c>
      <c r="H29" s="5">
        <f t="shared" si="0"/>
        <v>6.2706</v>
      </c>
    </row>
    <row r="30" spans="1:8" x14ac:dyDescent="0.25">
      <c r="A30" s="4" t="s">
        <v>366</v>
      </c>
      <c r="B30" s="4" t="s">
        <v>377</v>
      </c>
      <c r="C30" s="4" t="s">
        <v>378</v>
      </c>
      <c r="D30" s="5">
        <v>0.42</v>
      </c>
      <c r="E30" s="5">
        <v>25.99</v>
      </c>
      <c r="F30" s="5">
        <v>0</v>
      </c>
      <c r="G30" s="5">
        <v>25.99</v>
      </c>
      <c r="H30" s="5">
        <f t="shared" si="0"/>
        <v>10.915799999999999</v>
      </c>
    </row>
    <row r="31" spans="1:8" x14ac:dyDescent="0.25">
      <c r="A31" s="4" t="s">
        <v>366</v>
      </c>
      <c r="B31" s="4" t="s">
        <v>379</v>
      </c>
      <c r="C31" s="4" t="s">
        <v>380</v>
      </c>
      <c r="D31" s="5">
        <v>0.42</v>
      </c>
      <c r="E31" s="5">
        <v>14</v>
      </c>
      <c r="F31" s="5">
        <v>0</v>
      </c>
      <c r="G31" s="5">
        <v>14</v>
      </c>
      <c r="H31" s="5">
        <f t="shared" si="0"/>
        <v>5.88</v>
      </c>
    </row>
    <row r="32" spans="1:8" x14ac:dyDescent="0.25">
      <c r="A32" s="4" t="s">
        <v>566</v>
      </c>
      <c r="B32" s="4" t="s">
        <v>571</v>
      </c>
      <c r="C32" s="4" t="s">
        <v>572</v>
      </c>
      <c r="D32" s="5">
        <v>0.42</v>
      </c>
      <c r="E32" s="5">
        <v>8</v>
      </c>
      <c r="F32" s="5">
        <v>0</v>
      </c>
      <c r="G32" s="5">
        <v>8</v>
      </c>
      <c r="H32" s="5">
        <f t="shared" si="0"/>
        <v>3.36</v>
      </c>
    </row>
    <row r="33" spans="1:8" x14ac:dyDescent="0.25">
      <c r="A33" s="4" t="s">
        <v>566</v>
      </c>
      <c r="B33" s="4" t="s">
        <v>573</v>
      </c>
      <c r="C33" s="4" t="s">
        <v>574</v>
      </c>
      <c r="D33" s="5">
        <v>0.42</v>
      </c>
      <c r="E33" s="5">
        <v>14.01</v>
      </c>
      <c r="F33" s="5">
        <v>0</v>
      </c>
      <c r="G33" s="5">
        <v>14.01</v>
      </c>
      <c r="H33" s="5">
        <f t="shared" si="0"/>
        <v>5.8841999999999999</v>
      </c>
    </row>
    <row r="34" spans="1:8" x14ac:dyDescent="0.25">
      <c r="A34" s="4" t="s">
        <v>566</v>
      </c>
      <c r="B34" s="4" t="s">
        <v>575</v>
      </c>
      <c r="C34" s="4" t="s">
        <v>576</v>
      </c>
      <c r="D34" s="5">
        <v>0.42</v>
      </c>
      <c r="E34" s="5">
        <v>102.13</v>
      </c>
      <c r="F34" s="5">
        <v>0</v>
      </c>
      <c r="G34" s="5">
        <v>102.13</v>
      </c>
      <c r="H34" s="5">
        <f t="shared" si="0"/>
        <v>42.894599999999997</v>
      </c>
    </row>
    <row r="35" spans="1:8" x14ac:dyDescent="0.25">
      <c r="A35" s="4" t="s">
        <v>74</v>
      </c>
      <c r="B35" s="4" t="s">
        <v>95</v>
      </c>
      <c r="C35" s="4" t="s">
        <v>96</v>
      </c>
      <c r="D35" s="5">
        <v>0.42</v>
      </c>
      <c r="E35" s="5">
        <v>8.0500000000000007</v>
      </c>
      <c r="F35" s="5">
        <v>0</v>
      </c>
      <c r="G35" s="5">
        <v>8.0500000000000007</v>
      </c>
      <c r="H35" s="5">
        <f t="shared" si="0"/>
        <v>3.3810000000000002</v>
      </c>
    </row>
    <row r="36" spans="1:8" x14ac:dyDescent="0.25">
      <c r="A36" s="4" t="s">
        <v>462</v>
      </c>
      <c r="B36" s="4" t="s">
        <v>467</v>
      </c>
      <c r="C36" s="4" t="s">
        <v>468</v>
      </c>
      <c r="D36" s="5">
        <v>0.42</v>
      </c>
      <c r="E36" s="5">
        <v>5.87</v>
      </c>
      <c r="F36" s="5">
        <v>0</v>
      </c>
      <c r="G36" s="5">
        <v>5.87</v>
      </c>
      <c r="H36" s="5">
        <f t="shared" si="0"/>
        <v>2.4653999999999998</v>
      </c>
    </row>
    <row r="37" spans="1:8" x14ac:dyDescent="0.25">
      <c r="A37" s="4" t="s">
        <v>74</v>
      </c>
      <c r="B37" s="4" t="s">
        <v>97</v>
      </c>
      <c r="C37" s="4" t="s">
        <v>98</v>
      </c>
      <c r="D37" s="5">
        <v>0.42</v>
      </c>
      <c r="E37" s="5">
        <v>7.96</v>
      </c>
      <c r="F37" s="5">
        <v>0</v>
      </c>
      <c r="G37" s="5">
        <v>7.96</v>
      </c>
      <c r="H37" s="5">
        <f t="shared" si="0"/>
        <v>3.3431999999999999</v>
      </c>
    </row>
    <row r="38" spans="1:8" x14ac:dyDescent="0.25">
      <c r="A38" s="4" t="s">
        <v>462</v>
      </c>
      <c r="B38" s="4" t="s">
        <v>469</v>
      </c>
      <c r="C38" s="4" t="s">
        <v>470</v>
      </c>
      <c r="D38" s="5">
        <v>0.42</v>
      </c>
      <c r="E38" s="5">
        <v>56.63</v>
      </c>
      <c r="F38" s="5">
        <v>40</v>
      </c>
      <c r="G38" s="5">
        <v>96.63</v>
      </c>
      <c r="H38" s="5">
        <f t="shared" si="0"/>
        <v>40.584599999999995</v>
      </c>
    </row>
    <row r="39" spans="1:8" x14ac:dyDescent="0.25">
      <c r="A39" s="4" t="s">
        <v>5</v>
      </c>
      <c r="B39" s="4" t="s">
        <v>14</v>
      </c>
      <c r="C39" s="4" t="s">
        <v>15</v>
      </c>
      <c r="D39" s="5">
        <v>0.42</v>
      </c>
      <c r="E39" s="5">
        <v>8.02</v>
      </c>
      <c r="F39" s="5">
        <v>0</v>
      </c>
      <c r="G39" s="5">
        <v>8.02</v>
      </c>
      <c r="H39" s="5">
        <f t="shared" si="0"/>
        <v>3.3683999999999998</v>
      </c>
    </row>
    <row r="40" spans="1:8" x14ac:dyDescent="0.25">
      <c r="A40" s="4" t="s">
        <v>566</v>
      </c>
      <c r="B40" s="4" t="s">
        <v>577</v>
      </c>
      <c r="C40" s="4" t="s">
        <v>578</v>
      </c>
      <c r="D40" s="5">
        <v>0.42</v>
      </c>
      <c r="E40" s="5">
        <v>12.78</v>
      </c>
      <c r="F40" s="5">
        <v>0</v>
      </c>
      <c r="G40" s="5">
        <v>12.78</v>
      </c>
      <c r="H40" s="5">
        <f t="shared" si="0"/>
        <v>5.3675999999999995</v>
      </c>
    </row>
    <row r="41" spans="1:8" x14ac:dyDescent="0.25">
      <c r="A41" s="4" t="s">
        <v>462</v>
      </c>
      <c r="B41" s="4" t="s">
        <v>471</v>
      </c>
      <c r="C41" s="4" t="s">
        <v>472</v>
      </c>
      <c r="D41" s="5">
        <v>0.42</v>
      </c>
      <c r="E41" s="5">
        <v>88.94</v>
      </c>
      <c r="F41" s="5">
        <v>0</v>
      </c>
      <c r="G41" s="5">
        <v>88.94</v>
      </c>
      <c r="H41" s="5">
        <f t="shared" si="0"/>
        <v>37.354799999999997</v>
      </c>
    </row>
    <row r="42" spans="1:8" x14ac:dyDescent="0.25">
      <c r="A42" s="4" t="s">
        <v>5</v>
      </c>
      <c r="B42" s="4" t="s">
        <v>16</v>
      </c>
      <c r="C42" s="4" t="s">
        <v>17</v>
      </c>
      <c r="D42" s="5">
        <v>0.42</v>
      </c>
      <c r="E42" s="5">
        <v>40.26</v>
      </c>
      <c r="F42" s="5">
        <v>0</v>
      </c>
      <c r="G42" s="5">
        <v>40.26</v>
      </c>
      <c r="H42" s="5">
        <f t="shared" si="0"/>
        <v>16.909199999999998</v>
      </c>
    </row>
    <row r="43" spans="1:8" x14ac:dyDescent="0.25">
      <c r="A43" s="4" t="s">
        <v>5</v>
      </c>
      <c r="B43" s="4" t="s">
        <v>18</v>
      </c>
      <c r="C43" s="4" t="s">
        <v>19</v>
      </c>
      <c r="D43" s="5">
        <v>0.42</v>
      </c>
      <c r="E43" s="5">
        <v>25.05</v>
      </c>
      <c r="F43" s="5">
        <v>0</v>
      </c>
      <c r="G43" s="5">
        <v>25.05</v>
      </c>
      <c r="H43" s="5">
        <f t="shared" si="0"/>
        <v>10.521000000000001</v>
      </c>
    </row>
    <row r="44" spans="1:8" x14ac:dyDescent="0.25">
      <c r="A44" s="4" t="s">
        <v>5</v>
      </c>
      <c r="B44" s="4" t="s">
        <v>20</v>
      </c>
      <c r="C44" s="4" t="s">
        <v>21</v>
      </c>
      <c r="D44" s="5">
        <v>0.42</v>
      </c>
      <c r="E44" s="5">
        <v>43.19</v>
      </c>
      <c r="F44" s="5">
        <v>0</v>
      </c>
      <c r="G44" s="5">
        <v>43.19</v>
      </c>
      <c r="H44" s="5">
        <f t="shared" si="0"/>
        <v>18.139799999999997</v>
      </c>
    </row>
    <row r="45" spans="1:8" x14ac:dyDescent="0.25">
      <c r="A45" s="4" t="s">
        <v>74</v>
      </c>
      <c r="B45" s="4" t="s">
        <v>99</v>
      </c>
      <c r="C45" s="4" t="s">
        <v>100</v>
      </c>
      <c r="D45" s="5">
        <v>0.42</v>
      </c>
      <c r="E45" s="5">
        <v>58.22</v>
      </c>
      <c r="F45" s="5">
        <v>0</v>
      </c>
      <c r="G45" s="5">
        <v>58.22</v>
      </c>
      <c r="H45" s="5">
        <f t="shared" si="0"/>
        <v>24.452399999999997</v>
      </c>
    </row>
    <row r="46" spans="1:8" x14ac:dyDescent="0.25">
      <c r="A46" s="4" t="s">
        <v>462</v>
      </c>
      <c r="B46" s="4" t="s">
        <v>473</v>
      </c>
      <c r="C46" s="4" t="s">
        <v>474</v>
      </c>
      <c r="D46" s="5">
        <v>0.42</v>
      </c>
      <c r="E46" s="5">
        <v>44.67</v>
      </c>
      <c r="F46" s="5">
        <v>13</v>
      </c>
      <c r="G46" s="5">
        <v>57.67</v>
      </c>
      <c r="H46" s="5">
        <f t="shared" si="0"/>
        <v>24.221399999999999</v>
      </c>
    </row>
    <row r="47" spans="1:8" x14ac:dyDescent="0.25">
      <c r="A47" s="4" t="s">
        <v>462</v>
      </c>
      <c r="B47" s="4" t="s">
        <v>475</v>
      </c>
      <c r="C47" s="4" t="s">
        <v>476</v>
      </c>
      <c r="D47" s="5">
        <v>0.42</v>
      </c>
      <c r="E47" s="5">
        <v>4.08</v>
      </c>
      <c r="F47" s="5">
        <v>0</v>
      </c>
      <c r="G47" s="5">
        <v>4.08</v>
      </c>
      <c r="H47" s="5">
        <f t="shared" si="0"/>
        <v>1.7136</v>
      </c>
    </row>
    <row r="48" spans="1:8" x14ac:dyDescent="0.25">
      <c r="A48" s="4" t="s">
        <v>5</v>
      </c>
      <c r="B48" s="4" t="s">
        <v>22</v>
      </c>
      <c r="C48" s="4" t="s">
        <v>23</v>
      </c>
      <c r="D48" s="5">
        <v>0.42</v>
      </c>
      <c r="E48" s="5">
        <v>8</v>
      </c>
      <c r="F48" s="5">
        <v>0</v>
      </c>
      <c r="G48" s="5">
        <v>8</v>
      </c>
      <c r="H48" s="5">
        <f t="shared" si="0"/>
        <v>3.36</v>
      </c>
    </row>
    <row r="49" spans="1:8" x14ac:dyDescent="0.25">
      <c r="A49" s="4" t="s">
        <v>74</v>
      </c>
      <c r="B49" s="4" t="s">
        <v>101</v>
      </c>
      <c r="C49" s="4" t="s">
        <v>102</v>
      </c>
      <c r="D49" s="5">
        <v>0.42</v>
      </c>
      <c r="E49" s="5">
        <v>40.26</v>
      </c>
      <c r="F49" s="5">
        <v>0</v>
      </c>
      <c r="G49" s="5">
        <v>40.26</v>
      </c>
      <c r="H49" s="5">
        <f t="shared" si="0"/>
        <v>16.909199999999998</v>
      </c>
    </row>
    <row r="50" spans="1:8" x14ac:dyDescent="0.25">
      <c r="A50" s="4" t="s">
        <v>366</v>
      </c>
      <c r="B50" s="4" t="s">
        <v>381</v>
      </c>
      <c r="C50" s="4" t="s">
        <v>382</v>
      </c>
      <c r="D50" s="5">
        <v>0.42</v>
      </c>
      <c r="E50" s="5">
        <v>112.41</v>
      </c>
      <c r="F50" s="5">
        <v>80</v>
      </c>
      <c r="G50" s="5">
        <v>192.41</v>
      </c>
      <c r="H50" s="5">
        <f t="shared" si="0"/>
        <v>80.81219999999999</v>
      </c>
    </row>
    <row r="51" spans="1:8" x14ac:dyDescent="0.25">
      <c r="A51" s="4" t="s">
        <v>566</v>
      </c>
      <c r="B51" s="4" t="s">
        <v>579</v>
      </c>
      <c r="C51" s="4" t="s">
        <v>580</v>
      </c>
      <c r="D51" s="5">
        <v>0.42</v>
      </c>
      <c r="E51" s="5">
        <v>40.049999999999997</v>
      </c>
      <c r="F51" s="5">
        <v>0</v>
      </c>
      <c r="G51" s="5">
        <v>40.049999999999997</v>
      </c>
      <c r="H51" s="5">
        <f t="shared" si="0"/>
        <v>16.820999999999998</v>
      </c>
    </row>
    <row r="52" spans="1:8" x14ac:dyDescent="0.25">
      <c r="A52" s="4" t="s">
        <v>74</v>
      </c>
      <c r="B52" s="4" t="s">
        <v>103</v>
      </c>
      <c r="C52" s="4" t="s">
        <v>104</v>
      </c>
      <c r="D52" s="5">
        <v>0.42</v>
      </c>
      <c r="E52" s="5">
        <v>6.15</v>
      </c>
      <c r="F52" s="5">
        <v>0</v>
      </c>
      <c r="G52" s="5">
        <v>6.15</v>
      </c>
      <c r="H52" s="5">
        <f t="shared" si="0"/>
        <v>2.5830000000000002</v>
      </c>
    </row>
    <row r="53" spans="1:8" x14ac:dyDescent="0.25">
      <c r="A53" s="4" t="s">
        <v>366</v>
      </c>
      <c r="B53" s="4" t="s">
        <v>383</v>
      </c>
      <c r="C53" s="4" t="s">
        <v>384</v>
      </c>
      <c r="D53" s="5">
        <v>0.42</v>
      </c>
      <c r="E53" s="5">
        <v>5.28</v>
      </c>
      <c r="F53" s="5">
        <v>0</v>
      </c>
      <c r="G53" s="5">
        <v>5.28</v>
      </c>
      <c r="H53" s="5">
        <f t="shared" si="0"/>
        <v>2.2176</v>
      </c>
    </row>
    <row r="54" spans="1:8" x14ac:dyDescent="0.25">
      <c r="A54" s="4" t="s">
        <v>74</v>
      </c>
      <c r="B54" s="4" t="s">
        <v>105</v>
      </c>
      <c r="C54" s="4" t="s">
        <v>106</v>
      </c>
      <c r="D54" s="5">
        <v>0.42</v>
      </c>
      <c r="E54" s="5">
        <v>24.06</v>
      </c>
      <c r="F54" s="5">
        <v>0</v>
      </c>
      <c r="G54" s="5">
        <v>24.06</v>
      </c>
      <c r="H54" s="5">
        <f t="shared" si="0"/>
        <v>10.1052</v>
      </c>
    </row>
    <row r="55" spans="1:8" x14ac:dyDescent="0.25">
      <c r="A55" s="4" t="s">
        <v>5</v>
      </c>
      <c r="B55" s="4" t="s">
        <v>24</v>
      </c>
      <c r="C55" s="4" t="s">
        <v>25</v>
      </c>
      <c r="D55" s="5">
        <v>0.42</v>
      </c>
      <c r="E55" s="5">
        <v>17.36</v>
      </c>
      <c r="F55" s="5">
        <v>0</v>
      </c>
      <c r="G55" s="5">
        <v>17.36</v>
      </c>
      <c r="H55" s="5">
        <f t="shared" si="0"/>
        <v>7.2911999999999999</v>
      </c>
    </row>
    <row r="56" spans="1:8" x14ac:dyDescent="0.25">
      <c r="A56" s="4" t="s">
        <v>74</v>
      </c>
      <c r="B56" s="4" t="s">
        <v>107</v>
      </c>
      <c r="C56" s="4" t="s">
        <v>108</v>
      </c>
      <c r="D56" s="5">
        <v>0.42</v>
      </c>
      <c r="E56" s="5">
        <v>24.02</v>
      </c>
      <c r="F56" s="5">
        <v>0</v>
      </c>
      <c r="G56" s="5">
        <v>24.02</v>
      </c>
      <c r="H56" s="5">
        <f t="shared" si="0"/>
        <v>10.0884</v>
      </c>
    </row>
    <row r="57" spans="1:8" x14ac:dyDescent="0.25">
      <c r="A57" s="4" t="s">
        <v>5</v>
      </c>
      <c r="B57" s="4" t="s">
        <v>26</v>
      </c>
      <c r="C57" s="4" t="s">
        <v>27</v>
      </c>
      <c r="D57" s="5">
        <v>0.42</v>
      </c>
      <c r="E57" s="5">
        <v>3</v>
      </c>
      <c r="F57" s="5">
        <v>0</v>
      </c>
      <c r="G57" s="5">
        <v>3</v>
      </c>
      <c r="H57" s="5">
        <f t="shared" si="0"/>
        <v>1.26</v>
      </c>
    </row>
    <row r="58" spans="1:8" x14ac:dyDescent="0.25">
      <c r="A58" s="4" t="s">
        <v>74</v>
      </c>
      <c r="B58" s="4" t="s">
        <v>109</v>
      </c>
      <c r="C58" s="4" t="s">
        <v>110</v>
      </c>
      <c r="D58" s="5">
        <v>0.42</v>
      </c>
      <c r="E58" s="5">
        <v>46.02</v>
      </c>
      <c r="F58" s="5">
        <v>0</v>
      </c>
      <c r="G58" s="5">
        <v>46.02</v>
      </c>
      <c r="H58" s="5">
        <f t="shared" si="0"/>
        <v>19.328400000000002</v>
      </c>
    </row>
    <row r="59" spans="1:8" x14ac:dyDescent="0.25">
      <c r="A59" s="4" t="s">
        <v>74</v>
      </c>
      <c r="B59" s="4" t="s">
        <v>111</v>
      </c>
      <c r="C59" s="4" t="s">
        <v>112</v>
      </c>
      <c r="D59" s="5">
        <v>0.42</v>
      </c>
      <c r="E59" s="5">
        <v>26</v>
      </c>
      <c r="F59" s="5">
        <v>0</v>
      </c>
      <c r="G59" s="5">
        <v>26</v>
      </c>
      <c r="H59" s="5">
        <f t="shared" si="0"/>
        <v>10.92</v>
      </c>
    </row>
    <row r="60" spans="1:8" x14ac:dyDescent="0.25">
      <c r="A60" s="4" t="s">
        <v>366</v>
      </c>
      <c r="B60" s="4" t="s">
        <v>385</v>
      </c>
      <c r="C60" s="4" t="s">
        <v>386</v>
      </c>
      <c r="D60" s="5">
        <v>0.42</v>
      </c>
      <c r="E60" s="5">
        <v>77.95</v>
      </c>
      <c r="F60" s="5">
        <v>0</v>
      </c>
      <c r="G60" s="5">
        <v>77.95</v>
      </c>
      <c r="H60" s="5">
        <f t="shared" si="0"/>
        <v>32.738999999999997</v>
      </c>
    </row>
    <row r="61" spans="1:8" x14ac:dyDescent="0.25">
      <c r="A61" s="4" t="s">
        <v>74</v>
      </c>
      <c r="B61" s="4" t="s">
        <v>113</v>
      </c>
      <c r="C61" s="4" t="s">
        <v>114</v>
      </c>
      <c r="D61" s="5">
        <v>0.42</v>
      </c>
      <c r="E61" s="5">
        <v>37.85</v>
      </c>
      <c r="F61" s="5">
        <v>0</v>
      </c>
      <c r="G61" s="5">
        <v>37.85</v>
      </c>
      <c r="H61" s="5">
        <f t="shared" si="0"/>
        <v>15.897</v>
      </c>
    </row>
    <row r="62" spans="1:8" x14ac:dyDescent="0.25">
      <c r="A62" s="4" t="s">
        <v>74</v>
      </c>
      <c r="B62" s="4" t="s">
        <v>115</v>
      </c>
      <c r="C62" s="4" t="s">
        <v>116</v>
      </c>
      <c r="D62" s="5">
        <v>0.42</v>
      </c>
      <c r="E62" s="5">
        <v>6.09</v>
      </c>
      <c r="F62" s="5">
        <v>0</v>
      </c>
      <c r="G62" s="5">
        <v>6.09</v>
      </c>
      <c r="H62" s="5">
        <f t="shared" si="0"/>
        <v>2.5577999999999999</v>
      </c>
    </row>
    <row r="63" spans="1:8" x14ac:dyDescent="0.25">
      <c r="A63" s="4" t="s">
        <v>74</v>
      </c>
      <c r="B63" s="4" t="s">
        <v>117</v>
      </c>
      <c r="C63" s="4" t="s">
        <v>118</v>
      </c>
      <c r="D63" s="5">
        <v>0.42</v>
      </c>
      <c r="E63" s="5">
        <v>8.01</v>
      </c>
      <c r="F63" s="5">
        <v>0</v>
      </c>
      <c r="G63" s="5">
        <v>8.01</v>
      </c>
      <c r="H63" s="5">
        <f t="shared" si="0"/>
        <v>3.3641999999999999</v>
      </c>
    </row>
    <row r="64" spans="1:8" x14ac:dyDescent="0.25">
      <c r="A64" s="4" t="s">
        <v>453</v>
      </c>
      <c r="B64" s="4" t="s">
        <v>454</v>
      </c>
      <c r="C64" s="4" t="s">
        <v>455</v>
      </c>
      <c r="D64" s="5">
        <v>0.42</v>
      </c>
      <c r="E64" s="5">
        <v>58.26</v>
      </c>
      <c r="F64" s="5">
        <v>0</v>
      </c>
      <c r="G64" s="5">
        <v>58.26</v>
      </c>
      <c r="H64" s="5">
        <f t="shared" si="0"/>
        <v>24.469199999999997</v>
      </c>
    </row>
    <row r="65" spans="1:8" x14ac:dyDescent="0.25">
      <c r="A65" s="4" t="s">
        <v>462</v>
      </c>
      <c r="B65" s="4" t="s">
        <v>477</v>
      </c>
      <c r="C65" s="4" t="s">
        <v>478</v>
      </c>
      <c r="D65" s="5">
        <v>0.42</v>
      </c>
      <c r="E65" s="5">
        <v>94.83</v>
      </c>
      <c r="F65" s="5">
        <v>0</v>
      </c>
      <c r="G65" s="5">
        <v>94.83</v>
      </c>
      <c r="H65" s="5">
        <f t="shared" si="0"/>
        <v>39.828599999999994</v>
      </c>
    </row>
    <row r="66" spans="1:8" x14ac:dyDescent="0.25">
      <c r="A66" s="4" t="s">
        <v>366</v>
      </c>
      <c r="B66" s="4" t="s">
        <v>387</v>
      </c>
      <c r="C66" s="4" t="s">
        <v>388</v>
      </c>
      <c r="D66" s="5">
        <v>0.42</v>
      </c>
      <c r="E66" s="5">
        <v>112.41</v>
      </c>
      <c r="F66" s="5">
        <v>0</v>
      </c>
      <c r="G66" s="5">
        <v>112.41</v>
      </c>
      <c r="H66" s="5">
        <f t="shared" si="0"/>
        <v>47.212199999999996</v>
      </c>
    </row>
    <row r="67" spans="1:8" x14ac:dyDescent="0.25">
      <c r="A67" s="4" t="s">
        <v>462</v>
      </c>
      <c r="B67" s="4" t="s">
        <v>479</v>
      </c>
      <c r="C67" s="4" t="s">
        <v>480</v>
      </c>
      <c r="D67" s="5">
        <v>0.42</v>
      </c>
      <c r="E67" s="5">
        <v>7.07</v>
      </c>
      <c r="F67" s="5">
        <v>0</v>
      </c>
      <c r="G67" s="5">
        <v>7.07</v>
      </c>
      <c r="H67" s="5">
        <f t="shared" si="0"/>
        <v>2.9693999999999998</v>
      </c>
    </row>
    <row r="68" spans="1:8" x14ac:dyDescent="0.25">
      <c r="A68" s="4" t="s">
        <v>74</v>
      </c>
      <c r="B68" s="4" t="s">
        <v>119</v>
      </c>
      <c r="C68" s="4" t="s">
        <v>120</v>
      </c>
      <c r="D68" s="5">
        <v>0.42</v>
      </c>
      <c r="E68" s="5">
        <v>6</v>
      </c>
      <c r="F68" s="5">
        <v>0</v>
      </c>
      <c r="G68" s="5">
        <v>6</v>
      </c>
      <c r="H68" s="5">
        <f t="shared" si="0"/>
        <v>2.52</v>
      </c>
    </row>
    <row r="69" spans="1:8" x14ac:dyDescent="0.25">
      <c r="A69" s="4" t="s">
        <v>5</v>
      </c>
      <c r="B69" s="4" t="s">
        <v>28</v>
      </c>
      <c r="C69" s="4" t="s">
        <v>29</v>
      </c>
      <c r="D69" s="5">
        <v>0.42</v>
      </c>
      <c r="E69" s="5">
        <v>23.23</v>
      </c>
      <c r="F69" s="5">
        <v>0</v>
      </c>
      <c r="G69" s="5">
        <v>23.23</v>
      </c>
      <c r="H69" s="5">
        <f t="shared" si="0"/>
        <v>9.7566000000000006</v>
      </c>
    </row>
    <row r="70" spans="1:8" x14ac:dyDescent="0.25">
      <c r="A70" s="4" t="s">
        <v>74</v>
      </c>
      <c r="B70" s="4" t="s">
        <v>121</v>
      </c>
      <c r="C70" s="4" t="s">
        <v>122</v>
      </c>
      <c r="D70" s="5">
        <v>0.42</v>
      </c>
      <c r="E70" s="5">
        <v>4.8600000000000003</v>
      </c>
      <c r="F70" s="5">
        <v>0</v>
      </c>
      <c r="G70" s="5">
        <v>4.8600000000000003</v>
      </c>
      <c r="H70" s="5">
        <f t="shared" si="0"/>
        <v>2.0411999999999999</v>
      </c>
    </row>
    <row r="71" spans="1:8" x14ac:dyDescent="0.25">
      <c r="A71" s="4" t="s">
        <v>74</v>
      </c>
      <c r="B71" s="4" t="s">
        <v>123</v>
      </c>
      <c r="C71" s="4" t="s">
        <v>124</v>
      </c>
      <c r="D71" s="5">
        <v>0.42</v>
      </c>
      <c r="E71" s="5">
        <v>104.61</v>
      </c>
      <c r="F71" s="5">
        <v>0</v>
      </c>
      <c r="G71" s="5">
        <v>104.61</v>
      </c>
      <c r="H71" s="5">
        <f t="shared" ref="H71:H134" si="1">SUM(G71*D71)</f>
        <v>43.936199999999999</v>
      </c>
    </row>
    <row r="72" spans="1:8" x14ac:dyDescent="0.25">
      <c r="A72" s="4" t="s">
        <v>453</v>
      </c>
      <c r="B72" s="4" t="s">
        <v>456</v>
      </c>
      <c r="C72" s="4" t="s">
        <v>457</v>
      </c>
      <c r="D72" s="5">
        <v>0.42</v>
      </c>
      <c r="E72" s="5">
        <v>21.11</v>
      </c>
      <c r="F72" s="5">
        <v>0</v>
      </c>
      <c r="G72" s="5">
        <v>21.11</v>
      </c>
      <c r="H72" s="5">
        <f t="shared" si="1"/>
        <v>8.8661999999999992</v>
      </c>
    </row>
    <row r="73" spans="1:8" x14ac:dyDescent="0.25">
      <c r="A73" s="4" t="s">
        <v>74</v>
      </c>
      <c r="B73" s="4" t="s">
        <v>125</v>
      </c>
      <c r="C73" s="4" t="s">
        <v>126</v>
      </c>
      <c r="D73" s="5">
        <v>0.42</v>
      </c>
      <c r="E73" s="5">
        <v>14.15</v>
      </c>
      <c r="F73" s="5">
        <v>0</v>
      </c>
      <c r="G73" s="5">
        <v>14.15</v>
      </c>
      <c r="H73" s="5">
        <f t="shared" si="1"/>
        <v>5.9429999999999996</v>
      </c>
    </row>
    <row r="74" spans="1:8" x14ac:dyDescent="0.25">
      <c r="A74" s="4" t="s">
        <v>74</v>
      </c>
      <c r="B74" s="4" t="s">
        <v>127</v>
      </c>
      <c r="C74" s="4" t="s">
        <v>128</v>
      </c>
      <c r="D74" s="5">
        <v>0.42</v>
      </c>
      <c r="E74" s="5">
        <v>38.049999999999997</v>
      </c>
      <c r="F74" s="5">
        <v>0</v>
      </c>
      <c r="G74" s="5">
        <v>38.049999999999997</v>
      </c>
      <c r="H74" s="5">
        <f t="shared" si="1"/>
        <v>15.980999999999998</v>
      </c>
    </row>
    <row r="75" spans="1:8" x14ac:dyDescent="0.25">
      <c r="A75" s="4" t="s">
        <v>74</v>
      </c>
      <c r="B75" s="4" t="s">
        <v>129</v>
      </c>
      <c r="C75" s="4" t="s">
        <v>130</v>
      </c>
      <c r="D75" s="5">
        <v>0.42</v>
      </c>
      <c r="E75" s="5">
        <v>19.899999999999999</v>
      </c>
      <c r="F75" s="5">
        <v>0</v>
      </c>
      <c r="G75" s="5">
        <v>19.899999999999999</v>
      </c>
      <c r="H75" s="5">
        <f t="shared" si="1"/>
        <v>8.3579999999999988</v>
      </c>
    </row>
    <row r="76" spans="1:8" x14ac:dyDescent="0.25">
      <c r="A76" s="4" t="s">
        <v>74</v>
      </c>
      <c r="B76" s="4" t="s">
        <v>131</v>
      </c>
      <c r="C76" s="4" t="s">
        <v>132</v>
      </c>
      <c r="D76" s="5">
        <v>0.42</v>
      </c>
      <c r="E76" s="5">
        <v>22.76</v>
      </c>
      <c r="F76" s="5">
        <v>0</v>
      </c>
      <c r="G76" s="5">
        <v>22.76</v>
      </c>
      <c r="H76" s="5">
        <f t="shared" si="1"/>
        <v>9.5592000000000006</v>
      </c>
    </row>
    <row r="77" spans="1:8" x14ac:dyDescent="0.25">
      <c r="A77" s="4" t="s">
        <v>74</v>
      </c>
      <c r="B77" s="4" t="s">
        <v>133</v>
      </c>
      <c r="C77" s="4" t="s">
        <v>134</v>
      </c>
      <c r="D77" s="5">
        <v>0.42</v>
      </c>
      <c r="E77" s="5">
        <v>9.83</v>
      </c>
      <c r="F77" s="5">
        <v>0</v>
      </c>
      <c r="G77" s="5">
        <v>9.83</v>
      </c>
      <c r="H77" s="5">
        <f t="shared" si="1"/>
        <v>4.1285999999999996</v>
      </c>
    </row>
    <row r="78" spans="1:8" x14ac:dyDescent="0.25">
      <c r="A78" s="4" t="s">
        <v>566</v>
      </c>
      <c r="B78" s="4" t="s">
        <v>581</v>
      </c>
      <c r="C78" s="4" t="s">
        <v>582</v>
      </c>
      <c r="D78" s="5">
        <v>0.42</v>
      </c>
      <c r="E78" s="5">
        <v>23.98</v>
      </c>
      <c r="F78" s="5">
        <v>0</v>
      </c>
      <c r="G78" s="5">
        <v>23.98</v>
      </c>
      <c r="H78" s="5">
        <f t="shared" si="1"/>
        <v>10.0716</v>
      </c>
    </row>
    <row r="79" spans="1:8" x14ac:dyDescent="0.25">
      <c r="A79" s="4" t="s">
        <v>366</v>
      </c>
      <c r="B79" s="4" t="s">
        <v>389</v>
      </c>
      <c r="C79" s="4" t="s">
        <v>390</v>
      </c>
      <c r="D79" s="5">
        <v>0.42</v>
      </c>
      <c r="E79" s="5">
        <v>16.11</v>
      </c>
      <c r="F79" s="5">
        <v>0</v>
      </c>
      <c r="G79" s="5">
        <v>16.11</v>
      </c>
      <c r="H79" s="5">
        <f t="shared" si="1"/>
        <v>6.7661999999999995</v>
      </c>
    </row>
    <row r="80" spans="1:8" x14ac:dyDescent="0.25">
      <c r="A80" s="4" t="s">
        <v>366</v>
      </c>
      <c r="B80" s="4" t="s">
        <v>391</v>
      </c>
      <c r="C80" s="4" t="s">
        <v>392</v>
      </c>
      <c r="D80" s="5">
        <v>0.42</v>
      </c>
      <c r="E80" s="5">
        <v>48.35</v>
      </c>
      <c r="F80" s="5">
        <v>0</v>
      </c>
      <c r="G80" s="5">
        <v>48.35</v>
      </c>
      <c r="H80" s="5">
        <f t="shared" si="1"/>
        <v>20.306999999999999</v>
      </c>
    </row>
    <row r="81" spans="1:8" x14ac:dyDescent="0.25">
      <c r="A81" s="4" t="s">
        <v>366</v>
      </c>
      <c r="B81" s="4" t="s">
        <v>393</v>
      </c>
      <c r="C81" s="4" t="s">
        <v>394</v>
      </c>
      <c r="D81" s="5">
        <v>0.42</v>
      </c>
      <c r="E81" s="5">
        <v>56.37</v>
      </c>
      <c r="F81" s="5">
        <v>120</v>
      </c>
      <c r="G81" s="5">
        <v>176.37</v>
      </c>
      <c r="H81" s="5">
        <f t="shared" si="1"/>
        <v>74.075400000000002</v>
      </c>
    </row>
    <row r="82" spans="1:8" x14ac:dyDescent="0.25">
      <c r="A82" s="4" t="s">
        <v>74</v>
      </c>
      <c r="B82" s="4" t="s">
        <v>135</v>
      </c>
      <c r="C82" s="4" t="s">
        <v>136</v>
      </c>
      <c r="D82" s="5">
        <v>0.42</v>
      </c>
      <c r="E82" s="5">
        <v>53.9</v>
      </c>
      <c r="F82" s="5">
        <v>0</v>
      </c>
      <c r="G82" s="5">
        <v>53.9</v>
      </c>
      <c r="H82" s="5">
        <f t="shared" si="1"/>
        <v>22.637999999999998</v>
      </c>
    </row>
    <row r="83" spans="1:8" x14ac:dyDescent="0.25">
      <c r="A83" s="4" t="s">
        <v>366</v>
      </c>
      <c r="B83" s="4" t="s">
        <v>395</v>
      </c>
      <c r="C83" s="4" t="s">
        <v>396</v>
      </c>
      <c r="D83" s="5">
        <v>0.42</v>
      </c>
      <c r="E83" s="5">
        <v>104.42</v>
      </c>
      <c r="F83" s="5">
        <v>0</v>
      </c>
      <c r="G83" s="5">
        <v>104.42</v>
      </c>
      <c r="H83" s="5">
        <f t="shared" si="1"/>
        <v>43.856400000000001</v>
      </c>
    </row>
    <row r="84" spans="1:8" x14ac:dyDescent="0.25">
      <c r="A84" s="4" t="s">
        <v>366</v>
      </c>
      <c r="B84" s="4" t="s">
        <v>397</v>
      </c>
      <c r="C84" s="4" t="s">
        <v>398</v>
      </c>
      <c r="D84" s="5">
        <v>0.42</v>
      </c>
      <c r="E84" s="5">
        <v>24</v>
      </c>
      <c r="F84" s="5">
        <v>0</v>
      </c>
      <c r="G84" s="5">
        <v>24</v>
      </c>
      <c r="H84" s="5">
        <f t="shared" si="1"/>
        <v>10.08</v>
      </c>
    </row>
    <row r="85" spans="1:8" x14ac:dyDescent="0.25">
      <c r="A85" s="4" t="s">
        <v>462</v>
      </c>
      <c r="B85" s="4" t="s">
        <v>481</v>
      </c>
      <c r="C85" s="4" t="s">
        <v>482</v>
      </c>
      <c r="D85" s="5">
        <v>0.42</v>
      </c>
      <c r="E85" s="5">
        <v>27.73</v>
      </c>
      <c r="F85" s="5">
        <v>0</v>
      </c>
      <c r="G85" s="5">
        <v>27.73</v>
      </c>
      <c r="H85" s="5">
        <f t="shared" si="1"/>
        <v>11.646599999999999</v>
      </c>
    </row>
    <row r="86" spans="1:8" x14ac:dyDescent="0.25">
      <c r="A86" s="4" t="s">
        <v>74</v>
      </c>
      <c r="B86" s="4" t="s">
        <v>137</v>
      </c>
      <c r="C86" s="4" t="s">
        <v>138</v>
      </c>
      <c r="D86" s="5">
        <v>0.42</v>
      </c>
      <c r="E86" s="5">
        <v>8.02</v>
      </c>
      <c r="F86" s="5">
        <v>0</v>
      </c>
      <c r="G86" s="5">
        <v>8.02</v>
      </c>
      <c r="H86" s="5">
        <f t="shared" si="1"/>
        <v>3.3683999999999998</v>
      </c>
    </row>
    <row r="87" spans="1:8" x14ac:dyDescent="0.25">
      <c r="A87" s="4" t="s">
        <v>74</v>
      </c>
      <c r="B87" s="4" t="s">
        <v>139</v>
      </c>
      <c r="C87" s="4" t="s">
        <v>140</v>
      </c>
      <c r="D87" s="5">
        <v>0.42</v>
      </c>
      <c r="E87" s="5">
        <v>38.090000000000003</v>
      </c>
      <c r="F87" s="5">
        <v>0</v>
      </c>
      <c r="G87" s="5">
        <v>38.090000000000003</v>
      </c>
      <c r="H87" s="5">
        <f t="shared" si="1"/>
        <v>15.997800000000002</v>
      </c>
    </row>
    <row r="88" spans="1:8" x14ac:dyDescent="0.25">
      <c r="A88" s="4" t="s">
        <v>74</v>
      </c>
      <c r="B88" s="4" t="s">
        <v>141</v>
      </c>
      <c r="C88" s="4" t="s">
        <v>142</v>
      </c>
      <c r="D88" s="5">
        <v>0.42</v>
      </c>
      <c r="E88" s="5">
        <v>102.51</v>
      </c>
      <c r="F88" s="5">
        <v>0</v>
      </c>
      <c r="G88" s="5">
        <v>102.51</v>
      </c>
      <c r="H88" s="5">
        <f t="shared" si="1"/>
        <v>43.054200000000002</v>
      </c>
    </row>
    <row r="89" spans="1:8" x14ac:dyDescent="0.25">
      <c r="A89" s="4" t="s">
        <v>462</v>
      </c>
      <c r="B89" s="4" t="s">
        <v>483</v>
      </c>
      <c r="C89" s="4" t="s">
        <v>484</v>
      </c>
      <c r="D89" s="5">
        <v>0.42</v>
      </c>
      <c r="E89" s="5">
        <v>4.04</v>
      </c>
      <c r="F89" s="5">
        <v>0</v>
      </c>
      <c r="G89" s="5">
        <v>4.04</v>
      </c>
      <c r="H89" s="5">
        <f t="shared" si="1"/>
        <v>1.6967999999999999</v>
      </c>
    </row>
    <row r="90" spans="1:8" x14ac:dyDescent="0.25">
      <c r="A90" s="4" t="s">
        <v>74</v>
      </c>
      <c r="B90" s="4" t="s">
        <v>143</v>
      </c>
      <c r="C90" s="4" t="s">
        <v>144</v>
      </c>
      <c r="D90" s="5">
        <v>0.42</v>
      </c>
      <c r="E90" s="5">
        <v>56.43</v>
      </c>
      <c r="F90" s="5">
        <v>0</v>
      </c>
      <c r="G90" s="5">
        <v>56.43</v>
      </c>
      <c r="H90" s="5">
        <f t="shared" si="1"/>
        <v>23.700599999999998</v>
      </c>
    </row>
    <row r="91" spans="1:8" x14ac:dyDescent="0.25">
      <c r="A91" s="4" t="s">
        <v>74</v>
      </c>
      <c r="B91" s="4" t="s">
        <v>145</v>
      </c>
      <c r="C91" s="4" t="s">
        <v>146</v>
      </c>
      <c r="D91" s="5">
        <v>0.42</v>
      </c>
      <c r="E91" s="5">
        <v>72.239999999999995</v>
      </c>
      <c r="F91" s="5">
        <v>0</v>
      </c>
      <c r="G91" s="5">
        <v>72.239999999999995</v>
      </c>
      <c r="H91" s="5">
        <f t="shared" si="1"/>
        <v>30.340799999999998</v>
      </c>
    </row>
    <row r="92" spans="1:8" x14ac:dyDescent="0.25">
      <c r="A92" s="4" t="s">
        <v>462</v>
      </c>
      <c r="B92" s="4" t="s">
        <v>485</v>
      </c>
      <c r="C92" s="4" t="s">
        <v>486</v>
      </c>
      <c r="D92" s="5">
        <v>0.42</v>
      </c>
      <c r="E92" s="5">
        <v>6.14</v>
      </c>
      <c r="F92" s="5">
        <v>0</v>
      </c>
      <c r="G92" s="5">
        <v>6.14</v>
      </c>
      <c r="H92" s="5">
        <f t="shared" si="1"/>
        <v>2.5787999999999998</v>
      </c>
    </row>
    <row r="93" spans="1:8" x14ac:dyDescent="0.25">
      <c r="A93" s="4" t="s">
        <v>74</v>
      </c>
      <c r="B93" s="4" t="s">
        <v>147</v>
      </c>
      <c r="C93" s="4" t="s">
        <v>148</v>
      </c>
      <c r="D93" s="5">
        <v>0.42</v>
      </c>
      <c r="E93" s="5">
        <v>13.59</v>
      </c>
      <c r="F93" s="5">
        <v>0</v>
      </c>
      <c r="G93" s="5">
        <v>13.59</v>
      </c>
      <c r="H93" s="5">
        <f t="shared" si="1"/>
        <v>5.7077999999999998</v>
      </c>
    </row>
    <row r="94" spans="1:8" x14ac:dyDescent="0.25">
      <c r="A94" s="4" t="s">
        <v>74</v>
      </c>
      <c r="B94" s="4" t="s">
        <v>149</v>
      </c>
      <c r="C94" s="4" t="s">
        <v>150</v>
      </c>
      <c r="D94" s="5">
        <v>0.42</v>
      </c>
      <c r="E94" s="5">
        <v>7.98</v>
      </c>
      <c r="F94" s="5">
        <v>0</v>
      </c>
      <c r="G94" s="5">
        <v>7.98</v>
      </c>
      <c r="H94" s="5">
        <f t="shared" si="1"/>
        <v>3.3515999999999999</v>
      </c>
    </row>
    <row r="95" spans="1:8" x14ac:dyDescent="0.25">
      <c r="A95" s="4" t="s">
        <v>566</v>
      </c>
      <c r="B95" s="4" t="s">
        <v>583</v>
      </c>
      <c r="C95" s="4" t="s">
        <v>584</v>
      </c>
      <c r="D95" s="5">
        <v>0.42</v>
      </c>
      <c r="E95" s="5">
        <v>39.74</v>
      </c>
      <c r="F95" s="5">
        <v>45</v>
      </c>
      <c r="G95" s="5">
        <v>84.74</v>
      </c>
      <c r="H95" s="5">
        <f t="shared" si="1"/>
        <v>35.590799999999994</v>
      </c>
    </row>
    <row r="96" spans="1:8" x14ac:dyDescent="0.25">
      <c r="A96" s="4" t="s">
        <v>74</v>
      </c>
      <c r="B96" s="4" t="s">
        <v>151</v>
      </c>
      <c r="C96" s="4" t="s">
        <v>152</v>
      </c>
      <c r="D96" s="5">
        <v>0.42</v>
      </c>
      <c r="E96" s="5">
        <v>7.93</v>
      </c>
      <c r="F96" s="5">
        <v>0</v>
      </c>
      <c r="G96" s="5">
        <v>7.93</v>
      </c>
      <c r="H96" s="5">
        <f t="shared" si="1"/>
        <v>3.3305999999999996</v>
      </c>
    </row>
    <row r="97" spans="1:8" x14ac:dyDescent="0.25">
      <c r="A97" s="4" t="s">
        <v>74</v>
      </c>
      <c r="B97" s="4" t="s">
        <v>153</v>
      </c>
      <c r="C97" s="4" t="s">
        <v>154</v>
      </c>
      <c r="D97" s="5">
        <v>0.42</v>
      </c>
      <c r="E97" s="5">
        <v>19.75</v>
      </c>
      <c r="F97" s="5">
        <v>0</v>
      </c>
      <c r="G97" s="5">
        <v>19.75</v>
      </c>
      <c r="H97" s="5">
        <f t="shared" si="1"/>
        <v>8.2949999999999999</v>
      </c>
    </row>
    <row r="98" spans="1:8" x14ac:dyDescent="0.25">
      <c r="A98" s="4" t="s">
        <v>74</v>
      </c>
      <c r="B98" s="4" t="s">
        <v>155</v>
      </c>
      <c r="C98" s="4" t="s">
        <v>156</v>
      </c>
      <c r="D98" s="5">
        <v>0.42</v>
      </c>
      <c r="E98" s="5">
        <v>14.08</v>
      </c>
      <c r="F98" s="5">
        <v>0</v>
      </c>
      <c r="G98" s="5">
        <v>14.08</v>
      </c>
      <c r="H98" s="5">
        <f t="shared" si="1"/>
        <v>5.9135999999999997</v>
      </c>
    </row>
    <row r="99" spans="1:8" x14ac:dyDescent="0.25">
      <c r="A99" s="4" t="s">
        <v>462</v>
      </c>
      <c r="B99" s="4" t="s">
        <v>487</v>
      </c>
      <c r="C99" s="4" t="s">
        <v>488</v>
      </c>
      <c r="D99" s="5">
        <v>0.42</v>
      </c>
      <c r="E99" s="5">
        <v>8.02</v>
      </c>
      <c r="F99" s="5">
        <v>0</v>
      </c>
      <c r="G99" s="5">
        <v>8.02</v>
      </c>
      <c r="H99" s="5">
        <f t="shared" si="1"/>
        <v>3.3683999999999998</v>
      </c>
    </row>
    <row r="100" spans="1:8" x14ac:dyDescent="0.25">
      <c r="A100" s="4" t="s">
        <v>462</v>
      </c>
      <c r="B100" s="4" t="s">
        <v>489</v>
      </c>
      <c r="C100" s="4" t="s">
        <v>490</v>
      </c>
      <c r="D100" s="5">
        <v>0.42</v>
      </c>
      <c r="E100" s="5">
        <v>12</v>
      </c>
      <c r="F100" s="5">
        <v>0</v>
      </c>
      <c r="G100" s="5">
        <v>12</v>
      </c>
      <c r="H100" s="5">
        <f t="shared" si="1"/>
        <v>5.04</v>
      </c>
    </row>
    <row r="101" spans="1:8" x14ac:dyDescent="0.25">
      <c r="A101" s="4" t="s">
        <v>366</v>
      </c>
      <c r="B101" s="4" t="s">
        <v>399</v>
      </c>
      <c r="C101" s="4" t="s">
        <v>400</v>
      </c>
      <c r="D101" s="5">
        <v>0.42</v>
      </c>
      <c r="E101" s="5">
        <v>58.12</v>
      </c>
      <c r="F101" s="5">
        <v>0</v>
      </c>
      <c r="G101" s="5">
        <v>58.12</v>
      </c>
      <c r="H101" s="5">
        <f t="shared" si="1"/>
        <v>24.410399999999999</v>
      </c>
    </row>
    <row r="102" spans="1:8" x14ac:dyDescent="0.25">
      <c r="A102" s="4" t="s">
        <v>74</v>
      </c>
      <c r="B102" s="4" t="s">
        <v>157</v>
      </c>
      <c r="C102" s="4" t="s">
        <v>158</v>
      </c>
      <c r="D102" s="5">
        <v>0.42</v>
      </c>
      <c r="E102" s="5">
        <v>6.08</v>
      </c>
      <c r="F102" s="5">
        <v>0</v>
      </c>
      <c r="G102" s="5">
        <v>6.08</v>
      </c>
      <c r="H102" s="5">
        <f t="shared" si="1"/>
        <v>2.5535999999999999</v>
      </c>
    </row>
    <row r="103" spans="1:8" x14ac:dyDescent="0.25">
      <c r="A103" s="4" t="s">
        <v>462</v>
      </c>
      <c r="B103" s="4" t="s">
        <v>491</v>
      </c>
      <c r="C103" s="4" t="s">
        <v>492</v>
      </c>
      <c r="D103" s="5">
        <v>0.42</v>
      </c>
      <c r="E103" s="5">
        <v>114.21</v>
      </c>
      <c r="F103" s="5">
        <v>80</v>
      </c>
      <c r="G103" s="5">
        <v>194.21</v>
      </c>
      <c r="H103" s="5">
        <f t="shared" si="1"/>
        <v>81.568200000000004</v>
      </c>
    </row>
    <row r="104" spans="1:8" x14ac:dyDescent="0.25">
      <c r="A104" s="4" t="s">
        <v>74</v>
      </c>
      <c r="B104" s="4" t="s">
        <v>159</v>
      </c>
      <c r="C104" s="4" t="s">
        <v>160</v>
      </c>
      <c r="D104" s="5">
        <v>0.42</v>
      </c>
      <c r="E104" s="5">
        <v>83.98</v>
      </c>
      <c r="F104" s="5">
        <v>0</v>
      </c>
      <c r="G104" s="5">
        <v>83.98</v>
      </c>
      <c r="H104" s="5">
        <f t="shared" si="1"/>
        <v>35.271599999999999</v>
      </c>
    </row>
    <row r="105" spans="1:8" x14ac:dyDescent="0.25">
      <c r="A105" s="4" t="s">
        <v>5</v>
      </c>
      <c r="B105" s="4" t="s">
        <v>30</v>
      </c>
      <c r="C105" s="4" t="s">
        <v>31</v>
      </c>
      <c r="D105" s="5">
        <v>0.42</v>
      </c>
      <c r="E105" s="5">
        <v>24.22</v>
      </c>
      <c r="F105" s="5">
        <v>0</v>
      </c>
      <c r="G105" s="5">
        <v>24.22</v>
      </c>
      <c r="H105" s="5">
        <f t="shared" si="1"/>
        <v>10.1724</v>
      </c>
    </row>
    <row r="106" spans="1:8" x14ac:dyDescent="0.25">
      <c r="A106" s="4" t="s">
        <v>74</v>
      </c>
      <c r="B106" s="4" t="s">
        <v>161</v>
      </c>
      <c r="C106" s="4" t="s">
        <v>162</v>
      </c>
      <c r="D106" s="5">
        <v>0.42</v>
      </c>
      <c r="E106" s="5">
        <v>8.07</v>
      </c>
      <c r="F106" s="5">
        <v>0</v>
      </c>
      <c r="G106" s="5">
        <v>8.07</v>
      </c>
      <c r="H106" s="5">
        <f t="shared" si="1"/>
        <v>3.3894000000000002</v>
      </c>
    </row>
    <row r="107" spans="1:8" x14ac:dyDescent="0.25">
      <c r="A107" s="4" t="s">
        <v>74</v>
      </c>
      <c r="B107" s="4" t="s">
        <v>163</v>
      </c>
      <c r="C107" s="4" t="s">
        <v>164</v>
      </c>
      <c r="D107" s="5">
        <v>0.42</v>
      </c>
      <c r="E107" s="5">
        <v>41.96</v>
      </c>
      <c r="F107" s="5">
        <v>0</v>
      </c>
      <c r="G107" s="5">
        <v>41.96</v>
      </c>
      <c r="H107" s="5">
        <f t="shared" si="1"/>
        <v>17.623200000000001</v>
      </c>
    </row>
    <row r="108" spans="1:8" x14ac:dyDescent="0.25">
      <c r="A108" s="4" t="s">
        <v>462</v>
      </c>
      <c r="B108" s="4" t="s">
        <v>493</v>
      </c>
      <c r="C108" s="4" t="s">
        <v>494</v>
      </c>
      <c r="D108" s="5">
        <v>0.42</v>
      </c>
      <c r="E108" s="5">
        <v>12.34</v>
      </c>
      <c r="F108" s="5">
        <v>0</v>
      </c>
      <c r="G108" s="5">
        <v>12.34</v>
      </c>
      <c r="H108" s="5">
        <f t="shared" si="1"/>
        <v>5.1827999999999994</v>
      </c>
    </row>
    <row r="109" spans="1:8" x14ac:dyDescent="0.25">
      <c r="A109" s="4" t="s">
        <v>5</v>
      </c>
      <c r="B109" s="4" t="s">
        <v>32</v>
      </c>
      <c r="C109" s="4" t="s">
        <v>33</v>
      </c>
      <c r="D109" s="5">
        <v>0.42</v>
      </c>
      <c r="E109" s="5">
        <v>7.36</v>
      </c>
      <c r="F109" s="5">
        <v>0</v>
      </c>
      <c r="G109" s="5">
        <v>7.36</v>
      </c>
      <c r="H109" s="5">
        <f t="shared" si="1"/>
        <v>3.0912000000000002</v>
      </c>
    </row>
    <row r="110" spans="1:8" x14ac:dyDescent="0.25">
      <c r="A110" s="4" t="s">
        <v>462</v>
      </c>
      <c r="B110" s="4" t="s">
        <v>495</v>
      </c>
      <c r="C110" s="4" t="s">
        <v>496</v>
      </c>
      <c r="D110" s="5">
        <v>0.42</v>
      </c>
      <c r="E110" s="5">
        <v>8</v>
      </c>
      <c r="F110" s="5">
        <v>0</v>
      </c>
      <c r="G110" s="5">
        <v>8</v>
      </c>
      <c r="H110" s="5">
        <f t="shared" si="1"/>
        <v>3.36</v>
      </c>
    </row>
    <row r="111" spans="1:8" x14ac:dyDescent="0.25">
      <c r="A111" s="4" t="s">
        <v>462</v>
      </c>
      <c r="B111" s="4" t="s">
        <v>497</v>
      </c>
      <c r="C111" s="4" t="s">
        <v>498</v>
      </c>
      <c r="D111" s="5">
        <v>0.42</v>
      </c>
      <c r="E111" s="5">
        <v>6.11</v>
      </c>
      <c r="F111" s="5">
        <v>0</v>
      </c>
      <c r="G111" s="5">
        <v>6.11</v>
      </c>
      <c r="H111" s="5">
        <f t="shared" si="1"/>
        <v>2.5662000000000003</v>
      </c>
    </row>
    <row r="112" spans="1:8" x14ac:dyDescent="0.25">
      <c r="A112" s="4" t="s">
        <v>566</v>
      </c>
      <c r="B112" s="4" t="s">
        <v>585</v>
      </c>
      <c r="C112" s="4" t="s">
        <v>586</v>
      </c>
      <c r="D112" s="5">
        <v>0.42</v>
      </c>
      <c r="E112" s="5">
        <v>47.99</v>
      </c>
      <c r="F112" s="5">
        <v>45</v>
      </c>
      <c r="G112" s="5">
        <v>92.99</v>
      </c>
      <c r="H112" s="5">
        <f t="shared" si="1"/>
        <v>39.055799999999998</v>
      </c>
    </row>
    <row r="113" spans="1:8" x14ac:dyDescent="0.25">
      <c r="A113" s="4" t="s">
        <v>74</v>
      </c>
      <c r="B113" s="4" t="s">
        <v>165</v>
      </c>
      <c r="C113" s="4" t="s">
        <v>166</v>
      </c>
      <c r="D113" s="5">
        <v>0.42</v>
      </c>
      <c r="E113" s="5">
        <v>14.09</v>
      </c>
      <c r="F113" s="5">
        <v>0</v>
      </c>
      <c r="G113" s="5">
        <v>14.09</v>
      </c>
      <c r="H113" s="5">
        <f t="shared" si="1"/>
        <v>5.9177999999999997</v>
      </c>
    </row>
    <row r="114" spans="1:8" x14ac:dyDescent="0.25">
      <c r="A114" s="4" t="s">
        <v>74</v>
      </c>
      <c r="B114" s="4" t="s">
        <v>167</v>
      </c>
      <c r="C114" s="4" t="s">
        <v>168</v>
      </c>
      <c r="D114" s="5">
        <v>0.42</v>
      </c>
      <c r="E114" s="5">
        <v>16.010000000000002</v>
      </c>
      <c r="F114" s="5">
        <v>0</v>
      </c>
      <c r="G114" s="5">
        <v>16.010000000000002</v>
      </c>
      <c r="H114" s="5">
        <f t="shared" si="1"/>
        <v>6.7242000000000006</v>
      </c>
    </row>
    <row r="115" spans="1:8" x14ac:dyDescent="0.25">
      <c r="A115" s="4" t="s">
        <v>462</v>
      </c>
      <c r="B115" s="4" t="s">
        <v>499</v>
      </c>
      <c r="C115" s="4" t="s">
        <v>500</v>
      </c>
      <c r="D115" s="5">
        <v>0.42</v>
      </c>
      <c r="E115" s="5">
        <v>8.06</v>
      </c>
      <c r="F115" s="5">
        <v>0</v>
      </c>
      <c r="G115" s="5">
        <v>8.06</v>
      </c>
      <c r="H115" s="5">
        <f t="shared" si="1"/>
        <v>3.3852000000000002</v>
      </c>
    </row>
    <row r="116" spans="1:8" x14ac:dyDescent="0.25">
      <c r="A116" s="4" t="s">
        <v>74</v>
      </c>
      <c r="B116" s="4" t="s">
        <v>169</v>
      </c>
      <c r="C116" s="4" t="s">
        <v>170</v>
      </c>
      <c r="D116" s="5">
        <v>0.42</v>
      </c>
      <c r="E116" s="5">
        <v>55.38</v>
      </c>
      <c r="F116" s="5">
        <v>0</v>
      </c>
      <c r="G116" s="5">
        <v>55.38</v>
      </c>
      <c r="H116" s="5">
        <f t="shared" si="1"/>
        <v>23.259599999999999</v>
      </c>
    </row>
    <row r="117" spans="1:8" x14ac:dyDescent="0.25">
      <c r="A117" s="4" t="s">
        <v>5</v>
      </c>
      <c r="B117" s="4" t="s">
        <v>34</v>
      </c>
      <c r="C117" s="4" t="s">
        <v>35</v>
      </c>
      <c r="D117" s="5">
        <v>0.42</v>
      </c>
      <c r="E117" s="5">
        <v>45.15</v>
      </c>
      <c r="F117" s="5">
        <v>0</v>
      </c>
      <c r="G117" s="5">
        <v>45.15</v>
      </c>
      <c r="H117" s="5">
        <f t="shared" si="1"/>
        <v>18.962999999999997</v>
      </c>
    </row>
    <row r="118" spans="1:8" x14ac:dyDescent="0.25">
      <c r="A118" s="4" t="s">
        <v>74</v>
      </c>
      <c r="B118" s="4" t="s">
        <v>171</v>
      </c>
      <c r="C118" s="4" t="s">
        <v>172</v>
      </c>
      <c r="D118" s="5">
        <v>0.42</v>
      </c>
      <c r="E118" s="5">
        <v>14.14</v>
      </c>
      <c r="F118" s="5">
        <v>0</v>
      </c>
      <c r="G118" s="5">
        <v>14.14</v>
      </c>
      <c r="H118" s="5">
        <f t="shared" si="1"/>
        <v>5.9387999999999996</v>
      </c>
    </row>
    <row r="119" spans="1:8" x14ac:dyDescent="0.25">
      <c r="A119" s="4" t="s">
        <v>74</v>
      </c>
      <c r="B119" s="4" t="s">
        <v>173</v>
      </c>
      <c r="C119" s="4" t="s">
        <v>174</v>
      </c>
      <c r="D119" s="5">
        <v>0.42</v>
      </c>
      <c r="E119" s="5">
        <v>38.19</v>
      </c>
      <c r="F119" s="5">
        <v>0</v>
      </c>
      <c r="G119" s="5">
        <v>38.19</v>
      </c>
      <c r="H119" s="5">
        <f t="shared" si="1"/>
        <v>16.0398</v>
      </c>
    </row>
    <row r="120" spans="1:8" x14ac:dyDescent="0.25">
      <c r="A120" s="4" t="s">
        <v>462</v>
      </c>
      <c r="B120" s="4" t="s">
        <v>173</v>
      </c>
      <c r="C120" s="4" t="s">
        <v>501</v>
      </c>
      <c r="D120" s="5">
        <v>0.42</v>
      </c>
      <c r="E120" s="5">
        <v>44.38</v>
      </c>
      <c r="F120" s="5">
        <v>0</v>
      </c>
      <c r="G120" s="5">
        <v>44.38</v>
      </c>
      <c r="H120" s="5">
        <f t="shared" si="1"/>
        <v>18.639600000000002</v>
      </c>
    </row>
    <row r="121" spans="1:8" x14ac:dyDescent="0.25">
      <c r="A121" s="4" t="s">
        <v>462</v>
      </c>
      <c r="B121" s="4" t="s">
        <v>502</v>
      </c>
      <c r="C121" s="4" t="s">
        <v>503</v>
      </c>
      <c r="D121" s="5">
        <v>0.42</v>
      </c>
      <c r="E121" s="5">
        <v>6</v>
      </c>
      <c r="F121" s="5">
        <v>0</v>
      </c>
      <c r="G121" s="5">
        <v>6</v>
      </c>
      <c r="H121" s="5">
        <f t="shared" si="1"/>
        <v>2.52</v>
      </c>
    </row>
    <row r="122" spans="1:8" x14ac:dyDescent="0.25">
      <c r="A122" s="4" t="s">
        <v>366</v>
      </c>
      <c r="B122" s="4" t="s">
        <v>401</v>
      </c>
      <c r="C122" s="4" t="s">
        <v>402</v>
      </c>
      <c r="D122" s="5">
        <v>0.42</v>
      </c>
      <c r="E122" s="5">
        <v>31.85</v>
      </c>
      <c r="F122" s="5">
        <v>0</v>
      </c>
      <c r="G122" s="5">
        <v>31.85</v>
      </c>
      <c r="H122" s="5">
        <f t="shared" si="1"/>
        <v>13.377000000000001</v>
      </c>
    </row>
    <row r="123" spans="1:8" x14ac:dyDescent="0.25">
      <c r="A123" s="4" t="s">
        <v>5</v>
      </c>
      <c r="B123" s="4" t="s">
        <v>36</v>
      </c>
      <c r="C123" s="4" t="s">
        <v>37</v>
      </c>
      <c r="D123" s="5">
        <v>0.42</v>
      </c>
      <c r="E123" s="5">
        <v>8</v>
      </c>
      <c r="F123" s="5">
        <v>0</v>
      </c>
      <c r="G123" s="5">
        <v>8</v>
      </c>
      <c r="H123" s="5">
        <f t="shared" si="1"/>
        <v>3.36</v>
      </c>
    </row>
    <row r="124" spans="1:8" x14ac:dyDescent="0.25">
      <c r="A124" s="4" t="s">
        <v>462</v>
      </c>
      <c r="B124" s="4" t="s">
        <v>504</v>
      </c>
      <c r="C124" s="4" t="s">
        <v>505</v>
      </c>
      <c r="D124" s="5">
        <v>0.42</v>
      </c>
      <c r="E124" s="5">
        <v>16.18</v>
      </c>
      <c r="F124" s="5">
        <v>0</v>
      </c>
      <c r="G124" s="5">
        <v>16.18</v>
      </c>
      <c r="H124" s="5">
        <f t="shared" si="1"/>
        <v>6.7955999999999994</v>
      </c>
    </row>
    <row r="125" spans="1:8" x14ac:dyDescent="0.25">
      <c r="A125" s="4" t="s">
        <v>462</v>
      </c>
      <c r="B125" s="4" t="s">
        <v>506</v>
      </c>
      <c r="C125" s="4" t="s">
        <v>507</v>
      </c>
      <c r="D125" s="5">
        <v>0.42</v>
      </c>
      <c r="E125" s="5">
        <v>107.45</v>
      </c>
      <c r="F125" s="5">
        <v>0</v>
      </c>
      <c r="G125" s="5">
        <v>107.45</v>
      </c>
      <c r="H125" s="5">
        <f t="shared" si="1"/>
        <v>45.128999999999998</v>
      </c>
    </row>
    <row r="126" spans="1:8" x14ac:dyDescent="0.25">
      <c r="A126" s="4" t="s">
        <v>5</v>
      </c>
      <c r="B126" s="4" t="s">
        <v>38</v>
      </c>
      <c r="C126" s="4" t="s">
        <v>39</v>
      </c>
      <c r="D126" s="5">
        <v>0.42</v>
      </c>
      <c r="E126" s="5">
        <v>8</v>
      </c>
      <c r="F126" s="5">
        <v>0</v>
      </c>
      <c r="G126" s="5">
        <v>8</v>
      </c>
      <c r="H126" s="5">
        <f t="shared" si="1"/>
        <v>3.36</v>
      </c>
    </row>
    <row r="127" spans="1:8" x14ac:dyDescent="0.25">
      <c r="A127" s="4" t="s">
        <v>74</v>
      </c>
      <c r="B127" s="4" t="s">
        <v>175</v>
      </c>
      <c r="C127" s="4" t="s">
        <v>176</v>
      </c>
      <c r="D127" s="5">
        <v>0.42</v>
      </c>
      <c r="E127" s="5">
        <v>29.07</v>
      </c>
      <c r="F127" s="5">
        <v>0</v>
      </c>
      <c r="G127" s="5">
        <v>29.07</v>
      </c>
      <c r="H127" s="5">
        <f t="shared" si="1"/>
        <v>12.2094</v>
      </c>
    </row>
    <row r="128" spans="1:8" x14ac:dyDescent="0.25">
      <c r="A128" s="4" t="s">
        <v>462</v>
      </c>
      <c r="B128" s="4" t="s">
        <v>508</v>
      </c>
      <c r="C128" s="4" t="s">
        <v>509</v>
      </c>
      <c r="D128" s="5">
        <v>0.42</v>
      </c>
      <c r="E128" s="5">
        <v>17.989999999999998</v>
      </c>
      <c r="F128" s="5">
        <v>0</v>
      </c>
      <c r="G128" s="5">
        <v>17.989999999999998</v>
      </c>
      <c r="H128" s="5">
        <f t="shared" si="1"/>
        <v>7.5557999999999987</v>
      </c>
    </row>
    <row r="129" spans="1:8" x14ac:dyDescent="0.25">
      <c r="A129" s="4" t="s">
        <v>366</v>
      </c>
      <c r="B129" s="4" t="s">
        <v>403</v>
      </c>
      <c r="C129" s="4" t="s">
        <v>404</v>
      </c>
      <c r="D129" s="5">
        <v>0.42</v>
      </c>
      <c r="E129" s="5">
        <v>64.09</v>
      </c>
      <c r="F129" s="5">
        <v>0</v>
      </c>
      <c r="G129" s="5">
        <v>64.09</v>
      </c>
      <c r="H129" s="5">
        <f t="shared" si="1"/>
        <v>26.9178</v>
      </c>
    </row>
    <row r="130" spans="1:8" x14ac:dyDescent="0.25">
      <c r="A130" s="4" t="s">
        <v>366</v>
      </c>
      <c r="B130" s="4" t="s">
        <v>405</v>
      </c>
      <c r="C130" s="4" t="s">
        <v>406</v>
      </c>
      <c r="D130" s="5">
        <v>0.42</v>
      </c>
      <c r="E130" s="5">
        <v>104.12</v>
      </c>
      <c r="F130" s="5">
        <v>0</v>
      </c>
      <c r="G130" s="5">
        <v>104.12</v>
      </c>
      <c r="H130" s="5">
        <f t="shared" si="1"/>
        <v>43.730400000000003</v>
      </c>
    </row>
    <row r="131" spans="1:8" x14ac:dyDescent="0.25">
      <c r="A131" s="4" t="s">
        <v>366</v>
      </c>
      <c r="B131" s="4" t="s">
        <v>407</v>
      </c>
      <c r="C131" s="4" t="s">
        <v>408</v>
      </c>
      <c r="D131" s="5">
        <v>0.42</v>
      </c>
      <c r="E131" s="5">
        <v>104.3</v>
      </c>
      <c r="F131" s="5">
        <v>0</v>
      </c>
      <c r="G131" s="5">
        <v>104.3</v>
      </c>
      <c r="H131" s="5">
        <f t="shared" si="1"/>
        <v>43.805999999999997</v>
      </c>
    </row>
    <row r="132" spans="1:8" x14ac:dyDescent="0.25">
      <c r="A132" s="4" t="s">
        <v>5</v>
      </c>
      <c r="B132" s="4" t="s">
        <v>40</v>
      </c>
      <c r="C132" s="4" t="s">
        <v>41</v>
      </c>
      <c r="D132" s="5">
        <v>0.42</v>
      </c>
      <c r="E132" s="5">
        <v>7.99</v>
      </c>
      <c r="F132" s="5">
        <v>0</v>
      </c>
      <c r="G132" s="5">
        <v>7.99</v>
      </c>
      <c r="H132" s="5">
        <f t="shared" si="1"/>
        <v>3.3557999999999999</v>
      </c>
    </row>
    <row r="133" spans="1:8" x14ac:dyDescent="0.25">
      <c r="A133" s="4" t="s">
        <v>566</v>
      </c>
      <c r="B133" s="4" t="s">
        <v>587</v>
      </c>
      <c r="C133" s="4" t="s">
        <v>588</v>
      </c>
      <c r="D133" s="5">
        <v>0.42</v>
      </c>
      <c r="E133" s="5">
        <v>112.02</v>
      </c>
      <c r="F133" s="5">
        <v>0</v>
      </c>
      <c r="G133" s="5">
        <v>112.02</v>
      </c>
      <c r="H133" s="5">
        <f t="shared" si="1"/>
        <v>47.048399999999994</v>
      </c>
    </row>
    <row r="134" spans="1:8" x14ac:dyDescent="0.25">
      <c r="A134" s="4" t="s">
        <v>74</v>
      </c>
      <c r="B134" s="4" t="s">
        <v>177</v>
      </c>
      <c r="C134" s="4" t="s">
        <v>178</v>
      </c>
      <c r="D134" s="5">
        <v>0.42</v>
      </c>
      <c r="E134" s="5">
        <v>15.99</v>
      </c>
      <c r="F134" s="5">
        <v>0</v>
      </c>
      <c r="G134" s="5">
        <v>15.99</v>
      </c>
      <c r="H134" s="5">
        <f t="shared" si="1"/>
        <v>6.7157999999999998</v>
      </c>
    </row>
    <row r="135" spans="1:8" x14ac:dyDescent="0.25">
      <c r="A135" s="4" t="s">
        <v>5</v>
      </c>
      <c r="B135" s="4" t="s">
        <v>42</v>
      </c>
      <c r="C135" s="4" t="s">
        <v>43</v>
      </c>
      <c r="D135" s="5">
        <v>0.42</v>
      </c>
      <c r="E135" s="5">
        <v>12.83</v>
      </c>
      <c r="F135" s="5">
        <v>0</v>
      </c>
      <c r="G135" s="5">
        <v>12.83</v>
      </c>
      <c r="H135" s="5">
        <f t="shared" ref="H135:H198" si="2">SUM(G135*D135)</f>
        <v>5.3885999999999994</v>
      </c>
    </row>
    <row r="136" spans="1:8" x14ac:dyDescent="0.25">
      <c r="A136" s="4" t="s">
        <v>5</v>
      </c>
      <c r="B136" s="4" t="s">
        <v>44</v>
      </c>
      <c r="C136" s="4" t="s">
        <v>45</v>
      </c>
      <c r="D136" s="5">
        <v>0.42</v>
      </c>
      <c r="E136" s="5">
        <v>16.059999999999999</v>
      </c>
      <c r="F136" s="5">
        <v>0</v>
      </c>
      <c r="G136" s="5">
        <v>16.059999999999999</v>
      </c>
      <c r="H136" s="5">
        <f t="shared" si="2"/>
        <v>6.7451999999999996</v>
      </c>
    </row>
    <row r="137" spans="1:8" x14ac:dyDescent="0.25">
      <c r="A137" s="4" t="s">
        <v>5</v>
      </c>
      <c r="B137" s="4" t="s">
        <v>46</v>
      </c>
      <c r="C137" s="4" t="s">
        <v>47</v>
      </c>
      <c r="D137" s="5">
        <v>0.42</v>
      </c>
      <c r="E137" s="5">
        <v>17.920000000000002</v>
      </c>
      <c r="F137" s="5">
        <v>0</v>
      </c>
      <c r="G137" s="5">
        <v>17.920000000000002</v>
      </c>
      <c r="H137" s="5">
        <f t="shared" si="2"/>
        <v>7.5264000000000006</v>
      </c>
    </row>
    <row r="138" spans="1:8" x14ac:dyDescent="0.25">
      <c r="A138" s="4" t="s">
        <v>74</v>
      </c>
      <c r="B138" s="4" t="s">
        <v>179</v>
      </c>
      <c r="C138" s="4" t="s">
        <v>180</v>
      </c>
      <c r="D138" s="5">
        <v>0.42</v>
      </c>
      <c r="E138" s="5">
        <v>69.819999999999993</v>
      </c>
      <c r="F138" s="5">
        <v>36</v>
      </c>
      <c r="G138" s="5">
        <v>105.82</v>
      </c>
      <c r="H138" s="5">
        <f t="shared" si="2"/>
        <v>44.444399999999995</v>
      </c>
    </row>
    <row r="139" spans="1:8" x14ac:dyDescent="0.25">
      <c r="A139" s="4" t="s">
        <v>366</v>
      </c>
      <c r="B139" s="4" t="s">
        <v>409</v>
      </c>
      <c r="C139" s="4" t="s">
        <v>410</v>
      </c>
      <c r="D139" s="5">
        <v>0.42</v>
      </c>
      <c r="E139" s="5">
        <v>103.47</v>
      </c>
      <c r="F139" s="5">
        <v>0</v>
      </c>
      <c r="G139" s="5">
        <v>103.47</v>
      </c>
      <c r="H139" s="5">
        <f t="shared" si="2"/>
        <v>43.4574</v>
      </c>
    </row>
    <row r="140" spans="1:8" x14ac:dyDescent="0.25">
      <c r="A140" s="4" t="s">
        <v>462</v>
      </c>
      <c r="B140" s="4" t="s">
        <v>510</v>
      </c>
      <c r="C140" s="4" t="s">
        <v>511</v>
      </c>
      <c r="D140" s="5">
        <v>0.42</v>
      </c>
      <c r="E140" s="5">
        <v>86.83</v>
      </c>
      <c r="F140" s="5">
        <v>0</v>
      </c>
      <c r="G140" s="5">
        <v>86.83</v>
      </c>
      <c r="H140" s="5">
        <f t="shared" si="2"/>
        <v>36.468599999999995</v>
      </c>
    </row>
    <row r="141" spans="1:8" x14ac:dyDescent="0.25">
      <c r="A141" s="4" t="s">
        <v>462</v>
      </c>
      <c r="B141" s="4" t="s">
        <v>512</v>
      </c>
      <c r="C141" s="4" t="s">
        <v>513</v>
      </c>
      <c r="D141" s="5">
        <v>0.42</v>
      </c>
      <c r="E141" s="5">
        <v>30.07</v>
      </c>
      <c r="F141" s="5">
        <v>0</v>
      </c>
      <c r="G141" s="5">
        <v>30.07</v>
      </c>
      <c r="H141" s="5">
        <f t="shared" si="2"/>
        <v>12.6294</v>
      </c>
    </row>
    <row r="142" spans="1:8" x14ac:dyDescent="0.25">
      <c r="A142" s="4" t="s">
        <v>74</v>
      </c>
      <c r="B142" s="4" t="s">
        <v>181</v>
      </c>
      <c r="C142" s="4" t="s">
        <v>182</v>
      </c>
      <c r="D142" s="5">
        <v>0.42</v>
      </c>
      <c r="E142" s="5">
        <v>14.06</v>
      </c>
      <c r="F142" s="5">
        <v>0</v>
      </c>
      <c r="G142" s="5">
        <v>14.06</v>
      </c>
      <c r="H142" s="5">
        <f t="shared" si="2"/>
        <v>5.9051999999999998</v>
      </c>
    </row>
    <row r="143" spans="1:8" x14ac:dyDescent="0.25">
      <c r="A143" s="4" t="s">
        <v>462</v>
      </c>
      <c r="B143" s="4" t="s">
        <v>514</v>
      </c>
      <c r="C143" s="4" t="s">
        <v>515</v>
      </c>
      <c r="D143" s="5">
        <v>0.42</v>
      </c>
      <c r="E143" s="5">
        <v>19.809999999999999</v>
      </c>
      <c r="F143" s="5">
        <v>0</v>
      </c>
      <c r="G143" s="5">
        <v>19.809999999999999</v>
      </c>
      <c r="H143" s="5">
        <f t="shared" si="2"/>
        <v>8.3201999999999998</v>
      </c>
    </row>
    <row r="144" spans="1:8" x14ac:dyDescent="0.25">
      <c r="A144" s="4" t="s">
        <v>74</v>
      </c>
      <c r="B144" s="4" t="s">
        <v>183</v>
      </c>
      <c r="C144" s="4" t="s">
        <v>184</v>
      </c>
      <c r="D144" s="5">
        <v>0.42</v>
      </c>
      <c r="E144" s="5">
        <v>8.16</v>
      </c>
      <c r="F144" s="5">
        <v>0</v>
      </c>
      <c r="G144" s="5">
        <v>8.16</v>
      </c>
      <c r="H144" s="5">
        <f t="shared" si="2"/>
        <v>3.4272</v>
      </c>
    </row>
    <row r="145" spans="1:8" x14ac:dyDescent="0.25">
      <c r="A145" s="4" t="s">
        <v>462</v>
      </c>
      <c r="B145" s="4" t="s">
        <v>516</v>
      </c>
      <c r="C145" s="4" t="s">
        <v>517</v>
      </c>
      <c r="D145" s="5">
        <v>0.42</v>
      </c>
      <c r="E145" s="5">
        <v>8</v>
      </c>
      <c r="F145" s="5">
        <v>0</v>
      </c>
      <c r="G145" s="5">
        <v>8</v>
      </c>
      <c r="H145" s="5">
        <f t="shared" si="2"/>
        <v>3.36</v>
      </c>
    </row>
    <row r="146" spans="1:8" x14ac:dyDescent="0.25">
      <c r="A146" s="4" t="s">
        <v>74</v>
      </c>
      <c r="B146" s="4" t="s">
        <v>185</v>
      </c>
      <c r="C146" s="4" t="s">
        <v>186</v>
      </c>
      <c r="D146" s="5">
        <v>0.42</v>
      </c>
      <c r="E146" s="5">
        <v>76.87</v>
      </c>
      <c r="F146" s="5">
        <v>60</v>
      </c>
      <c r="G146" s="5">
        <v>136.87</v>
      </c>
      <c r="H146" s="5">
        <f t="shared" si="2"/>
        <v>57.485399999999998</v>
      </c>
    </row>
    <row r="147" spans="1:8" x14ac:dyDescent="0.25">
      <c r="A147" s="4" t="s">
        <v>74</v>
      </c>
      <c r="B147" s="4" t="s">
        <v>187</v>
      </c>
      <c r="C147" s="4" t="s">
        <v>188</v>
      </c>
      <c r="D147" s="5">
        <v>0.42</v>
      </c>
      <c r="E147" s="5">
        <v>6.01</v>
      </c>
      <c r="F147" s="5">
        <v>0</v>
      </c>
      <c r="G147" s="5">
        <v>6.01</v>
      </c>
      <c r="H147" s="5">
        <f t="shared" si="2"/>
        <v>2.5242</v>
      </c>
    </row>
    <row r="148" spans="1:8" x14ac:dyDescent="0.25">
      <c r="A148" s="4" t="s">
        <v>5</v>
      </c>
      <c r="B148" s="4" t="s">
        <v>48</v>
      </c>
      <c r="C148" s="4" t="s">
        <v>49</v>
      </c>
      <c r="D148" s="5">
        <v>0.42</v>
      </c>
      <c r="E148" s="5">
        <v>13.84</v>
      </c>
      <c r="F148" s="5">
        <v>0</v>
      </c>
      <c r="G148" s="5">
        <v>13.84</v>
      </c>
      <c r="H148" s="5">
        <f t="shared" si="2"/>
        <v>5.8127999999999993</v>
      </c>
    </row>
    <row r="149" spans="1:8" x14ac:dyDescent="0.25">
      <c r="A149" s="4" t="s">
        <v>74</v>
      </c>
      <c r="B149" s="4" t="s">
        <v>189</v>
      </c>
      <c r="C149" s="4" t="s">
        <v>190</v>
      </c>
      <c r="D149" s="5">
        <v>0.42</v>
      </c>
      <c r="E149" s="5">
        <v>19.89</v>
      </c>
      <c r="F149" s="5">
        <v>0</v>
      </c>
      <c r="G149" s="5">
        <v>19.89</v>
      </c>
      <c r="H149" s="5">
        <f t="shared" si="2"/>
        <v>8.3537999999999997</v>
      </c>
    </row>
    <row r="150" spans="1:8" x14ac:dyDescent="0.25">
      <c r="A150" s="4" t="s">
        <v>462</v>
      </c>
      <c r="B150" s="4" t="s">
        <v>518</v>
      </c>
      <c r="C150" s="4" t="s">
        <v>519</v>
      </c>
      <c r="D150" s="5">
        <v>0.42</v>
      </c>
      <c r="E150" s="5">
        <v>63.33</v>
      </c>
      <c r="F150" s="5">
        <v>80</v>
      </c>
      <c r="G150" s="5">
        <v>143.33000000000001</v>
      </c>
      <c r="H150" s="5">
        <f t="shared" si="2"/>
        <v>60.198600000000006</v>
      </c>
    </row>
    <row r="151" spans="1:8" x14ac:dyDescent="0.25">
      <c r="A151" s="4" t="s">
        <v>74</v>
      </c>
      <c r="B151" s="4" t="s">
        <v>191</v>
      </c>
      <c r="C151" s="4" t="s">
        <v>192</v>
      </c>
      <c r="D151" s="5">
        <v>0.42</v>
      </c>
      <c r="E151" s="5">
        <v>14.05</v>
      </c>
      <c r="F151" s="5">
        <v>0</v>
      </c>
      <c r="G151" s="5">
        <v>14.05</v>
      </c>
      <c r="H151" s="5">
        <f t="shared" si="2"/>
        <v>5.9009999999999998</v>
      </c>
    </row>
    <row r="152" spans="1:8" x14ac:dyDescent="0.25">
      <c r="A152" s="4" t="s">
        <v>5</v>
      </c>
      <c r="B152" s="4" t="s">
        <v>50</v>
      </c>
      <c r="C152" s="4" t="s">
        <v>51</v>
      </c>
      <c r="D152" s="5">
        <v>0.42</v>
      </c>
      <c r="E152" s="5">
        <v>72.069999999999993</v>
      </c>
      <c r="F152" s="5">
        <v>44</v>
      </c>
      <c r="G152" s="5">
        <v>116.07</v>
      </c>
      <c r="H152" s="5">
        <f t="shared" si="2"/>
        <v>48.749399999999994</v>
      </c>
    </row>
    <row r="153" spans="1:8" x14ac:dyDescent="0.25">
      <c r="A153" s="4" t="s">
        <v>74</v>
      </c>
      <c r="B153" s="4" t="s">
        <v>193</v>
      </c>
      <c r="C153" s="4" t="s">
        <v>194</v>
      </c>
      <c r="D153" s="5">
        <v>0.42</v>
      </c>
      <c r="E153" s="5">
        <v>40.119999999999997</v>
      </c>
      <c r="F153" s="5">
        <v>0</v>
      </c>
      <c r="G153" s="5">
        <v>40.119999999999997</v>
      </c>
      <c r="H153" s="5">
        <f t="shared" si="2"/>
        <v>16.850399999999997</v>
      </c>
    </row>
    <row r="154" spans="1:8" x14ac:dyDescent="0.25">
      <c r="A154" s="4" t="s">
        <v>366</v>
      </c>
      <c r="B154" s="4" t="s">
        <v>411</v>
      </c>
      <c r="C154" s="4" t="s">
        <v>412</v>
      </c>
      <c r="D154" s="5">
        <v>0.42</v>
      </c>
      <c r="E154" s="5">
        <v>7.95</v>
      </c>
      <c r="F154" s="5">
        <v>0</v>
      </c>
      <c r="G154" s="5">
        <v>7.95</v>
      </c>
      <c r="H154" s="5">
        <f t="shared" si="2"/>
        <v>3.339</v>
      </c>
    </row>
    <row r="155" spans="1:8" x14ac:dyDescent="0.25">
      <c r="A155" s="4" t="s">
        <v>74</v>
      </c>
      <c r="B155" s="4" t="s">
        <v>195</v>
      </c>
      <c r="C155" s="4" t="s">
        <v>196</v>
      </c>
      <c r="D155" s="5">
        <v>0.42</v>
      </c>
      <c r="E155" s="5">
        <v>7.96</v>
      </c>
      <c r="F155" s="5">
        <v>0</v>
      </c>
      <c r="G155" s="5">
        <v>7.96</v>
      </c>
      <c r="H155" s="5">
        <f t="shared" si="2"/>
        <v>3.3431999999999999</v>
      </c>
    </row>
    <row r="156" spans="1:8" x14ac:dyDescent="0.25">
      <c r="A156" s="4" t="s">
        <v>566</v>
      </c>
      <c r="B156" s="4" t="s">
        <v>589</v>
      </c>
      <c r="C156" s="4" t="s">
        <v>590</v>
      </c>
      <c r="D156" s="5">
        <v>0.42</v>
      </c>
      <c r="E156" s="5">
        <v>112.2</v>
      </c>
      <c r="F156" s="5">
        <v>14</v>
      </c>
      <c r="G156" s="5">
        <v>126.2</v>
      </c>
      <c r="H156" s="5">
        <f t="shared" si="2"/>
        <v>53.003999999999998</v>
      </c>
    </row>
    <row r="157" spans="1:8" x14ac:dyDescent="0.25">
      <c r="A157" s="4" t="s">
        <v>74</v>
      </c>
      <c r="B157" s="4" t="s">
        <v>197</v>
      </c>
      <c r="C157" s="4" t="s">
        <v>198</v>
      </c>
      <c r="D157" s="5">
        <v>0.42</v>
      </c>
      <c r="E157" s="5">
        <v>104</v>
      </c>
      <c r="F157" s="5">
        <v>0</v>
      </c>
      <c r="G157" s="5">
        <v>104</v>
      </c>
      <c r="H157" s="5">
        <f t="shared" si="2"/>
        <v>43.68</v>
      </c>
    </row>
    <row r="158" spans="1:8" x14ac:dyDescent="0.25">
      <c r="A158" s="4" t="s">
        <v>366</v>
      </c>
      <c r="B158" s="4" t="s">
        <v>413</v>
      </c>
      <c r="C158" s="4" t="s">
        <v>414</v>
      </c>
      <c r="D158" s="5">
        <v>0.42</v>
      </c>
      <c r="E158" s="5">
        <v>5.99</v>
      </c>
      <c r="F158" s="5">
        <v>0</v>
      </c>
      <c r="G158" s="5">
        <v>5.99</v>
      </c>
      <c r="H158" s="5">
        <f t="shared" si="2"/>
        <v>2.5158</v>
      </c>
    </row>
    <row r="159" spans="1:8" x14ac:dyDescent="0.25">
      <c r="A159" s="4" t="s">
        <v>74</v>
      </c>
      <c r="B159" s="4" t="s">
        <v>199</v>
      </c>
      <c r="C159" s="4" t="s">
        <v>200</v>
      </c>
      <c r="D159" s="5">
        <v>0.42</v>
      </c>
      <c r="E159" s="5">
        <v>88.64</v>
      </c>
      <c r="F159" s="5">
        <v>0</v>
      </c>
      <c r="G159" s="5">
        <v>88.64</v>
      </c>
      <c r="H159" s="5">
        <f t="shared" si="2"/>
        <v>37.2288</v>
      </c>
    </row>
    <row r="160" spans="1:8" x14ac:dyDescent="0.25">
      <c r="A160" s="4" t="s">
        <v>366</v>
      </c>
      <c r="B160" s="4" t="s">
        <v>415</v>
      </c>
      <c r="C160" s="4" t="s">
        <v>416</v>
      </c>
      <c r="D160" s="5">
        <v>0.42</v>
      </c>
      <c r="E160" s="5">
        <v>35.42</v>
      </c>
      <c r="F160" s="5">
        <v>0</v>
      </c>
      <c r="G160" s="5">
        <v>35.42</v>
      </c>
      <c r="H160" s="5">
        <f t="shared" si="2"/>
        <v>14.8764</v>
      </c>
    </row>
    <row r="161" spans="1:8" x14ac:dyDescent="0.25">
      <c r="A161" s="4" t="s">
        <v>5</v>
      </c>
      <c r="B161" s="4" t="s">
        <v>52</v>
      </c>
      <c r="C161" s="4" t="s">
        <v>53</v>
      </c>
      <c r="D161" s="5">
        <v>0.42</v>
      </c>
      <c r="E161" s="5">
        <v>8.06</v>
      </c>
      <c r="F161" s="5">
        <v>0</v>
      </c>
      <c r="G161" s="5">
        <v>8.06</v>
      </c>
      <c r="H161" s="5">
        <f t="shared" si="2"/>
        <v>3.3852000000000002</v>
      </c>
    </row>
    <row r="162" spans="1:8" x14ac:dyDescent="0.25">
      <c r="A162" s="4" t="s">
        <v>74</v>
      </c>
      <c r="B162" s="4" t="s">
        <v>201</v>
      </c>
      <c r="C162" s="4" t="s">
        <v>202</v>
      </c>
      <c r="D162" s="5">
        <v>0.42</v>
      </c>
      <c r="E162" s="5">
        <v>46.48</v>
      </c>
      <c r="F162" s="5">
        <v>0</v>
      </c>
      <c r="G162" s="5">
        <v>46.48</v>
      </c>
      <c r="H162" s="5">
        <f t="shared" si="2"/>
        <v>19.521599999999999</v>
      </c>
    </row>
    <row r="163" spans="1:8" x14ac:dyDescent="0.25">
      <c r="A163" s="4" t="s">
        <v>5</v>
      </c>
      <c r="B163" s="4" t="s">
        <v>54</v>
      </c>
      <c r="C163" s="4" t="s">
        <v>55</v>
      </c>
      <c r="D163" s="5">
        <v>0.42</v>
      </c>
      <c r="E163" s="5">
        <v>47.14</v>
      </c>
      <c r="F163" s="5">
        <v>0</v>
      </c>
      <c r="G163" s="5">
        <v>47.14</v>
      </c>
      <c r="H163" s="5">
        <f t="shared" si="2"/>
        <v>19.7988</v>
      </c>
    </row>
    <row r="164" spans="1:8" x14ac:dyDescent="0.25">
      <c r="A164" s="4" t="s">
        <v>74</v>
      </c>
      <c r="B164" s="4" t="s">
        <v>203</v>
      </c>
      <c r="C164" s="4" t="s">
        <v>204</v>
      </c>
      <c r="D164" s="5">
        <v>0.42</v>
      </c>
      <c r="E164" s="5">
        <v>35.270000000000003</v>
      </c>
      <c r="F164" s="5">
        <v>0</v>
      </c>
      <c r="G164" s="5">
        <v>35.270000000000003</v>
      </c>
      <c r="H164" s="5">
        <f t="shared" si="2"/>
        <v>14.813400000000001</v>
      </c>
    </row>
    <row r="165" spans="1:8" x14ac:dyDescent="0.25">
      <c r="A165" s="4" t="s">
        <v>566</v>
      </c>
      <c r="B165" s="4" t="s">
        <v>591</v>
      </c>
      <c r="C165" s="4" t="s">
        <v>592</v>
      </c>
      <c r="D165" s="5">
        <v>0.42</v>
      </c>
      <c r="E165" s="5">
        <v>109.64</v>
      </c>
      <c r="F165" s="5">
        <v>50</v>
      </c>
      <c r="G165" s="5">
        <v>159.63999999999999</v>
      </c>
      <c r="H165" s="5">
        <f t="shared" si="2"/>
        <v>67.048799999999986</v>
      </c>
    </row>
    <row r="166" spans="1:8" x14ac:dyDescent="0.25">
      <c r="A166" s="4" t="s">
        <v>74</v>
      </c>
      <c r="B166" s="4" t="s">
        <v>205</v>
      </c>
      <c r="C166" s="4" t="s">
        <v>206</v>
      </c>
      <c r="D166" s="5">
        <v>0.42</v>
      </c>
      <c r="E166" s="5">
        <v>13.86</v>
      </c>
      <c r="F166" s="5">
        <v>0</v>
      </c>
      <c r="G166" s="5">
        <v>13.86</v>
      </c>
      <c r="H166" s="5">
        <f t="shared" si="2"/>
        <v>5.8211999999999993</v>
      </c>
    </row>
    <row r="167" spans="1:8" x14ac:dyDescent="0.25">
      <c r="A167" s="4" t="s">
        <v>74</v>
      </c>
      <c r="B167" s="4" t="s">
        <v>207</v>
      </c>
      <c r="C167" s="4" t="s">
        <v>208</v>
      </c>
      <c r="D167" s="5">
        <v>0.42</v>
      </c>
      <c r="E167" s="5">
        <v>30.17</v>
      </c>
      <c r="F167" s="5">
        <v>0</v>
      </c>
      <c r="G167" s="5">
        <v>30.17</v>
      </c>
      <c r="H167" s="5">
        <f t="shared" si="2"/>
        <v>12.6714</v>
      </c>
    </row>
    <row r="168" spans="1:8" x14ac:dyDescent="0.25">
      <c r="A168" s="4" t="s">
        <v>74</v>
      </c>
      <c r="B168" s="4" t="s">
        <v>209</v>
      </c>
      <c r="C168" s="4" t="s">
        <v>210</v>
      </c>
      <c r="D168" s="5">
        <v>0.42</v>
      </c>
      <c r="E168" s="5">
        <v>56.26</v>
      </c>
      <c r="F168" s="5">
        <v>0</v>
      </c>
      <c r="G168" s="5">
        <v>56.26</v>
      </c>
      <c r="H168" s="5">
        <f t="shared" si="2"/>
        <v>23.629199999999997</v>
      </c>
    </row>
    <row r="169" spans="1:8" x14ac:dyDescent="0.25">
      <c r="A169" s="4" t="s">
        <v>74</v>
      </c>
      <c r="B169" s="4" t="s">
        <v>211</v>
      </c>
      <c r="C169" s="4" t="s">
        <v>212</v>
      </c>
      <c r="D169" s="5">
        <v>0.42</v>
      </c>
      <c r="E169" s="5">
        <v>64.37</v>
      </c>
      <c r="F169" s="5">
        <v>0</v>
      </c>
      <c r="G169" s="5">
        <v>64.37</v>
      </c>
      <c r="H169" s="5">
        <f t="shared" si="2"/>
        <v>27.035399999999999</v>
      </c>
    </row>
    <row r="170" spans="1:8" x14ac:dyDescent="0.25">
      <c r="A170" s="4" t="s">
        <v>74</v>
      </c>
      <c r="B170" s="4" t="s">
        <v>213</v>
      </c>
      <c r="C170" s="4" t="s">
        <v>214</v>
      </c>
      <c r="D170" s="5">
        <v>0.42</v>
      </c>
      <c r="E170" s="5">
        <v>14.17</v>
      </c>
      <c r="F170" s="5">
        <v>0</v>
      </c>
      <c r="G170" s="5">
        <v>14.17</v>
      </c>
      <c r="H170" s="5">
        <f t="shared" si="2"/>
        <v>5.9513999999999996</v>
      </c>
    </row>
    <row r="171" spans="1:8" x14ac:dyDescent="0.25">
      <c r="A171" s="4" t="s">
        <v>74</v>
      </c>
      <c r="B171" s="4" t="s">
        <v>215</v>
      </c>
      <c r="C171" s="4" t="s">
        <v>216</v>
      </c>
      <c r="D171" s="5">
        <v>0.42</v>
      </c>
      <c r="E171" s="5">
        <v>6.01</v>
      </c>
      <c r="F171" s="5">
        <v>0</v>
      </c>
      <c r="G171" s="5">
        <v>6.01</v>
      </c>
      <c r="H171" s="5">
        <f t="shared" si="2"/>
        <v>2.5242</v>
      </c>
    </row>
    <row r="172" spans="1:8" x14ac:dyDescent="0.25">
      <c r="A172" s="4" t="s">
        <v>462</v>
      </c>
      <c r="B172" s="4" t="s">
        <v>520</v>
      </c>
      <c r="C172" s="4" t="s">
        <v>521</v>
      </c>
      <c r="D172" s="5">
        <v>0.42</v>
      </c>
      <c r="E172" s="5">
        <v>16.100000000000001</v>
      </c>
      <c r="F172" s="5">
        <v>0</v>
      </c>
      <c r="G172" s="5">
        <v>16.100000000000001</v>
      </c>
      <c r="H172" s="5">
        <f t="shared" si="2"/>
        <v>6.7620000000000005</v>
      </c>
    </row>
    <row r="173" spans="1:8" x14ac:dyDescent="0.25">
      <c r="A173" s="4" t="s">
        <v>566</v>
      </c>
      <c r="B173" s="4" t="s">
        <v>593</v>
      </c>
      <c r="C173" s="4" t="s">
        <v>594</v>
      </c>
      <c r="D173" s="5">
        <v>0.42</v>
      </c>
      <c r="E173" s="5">
        <v>8.07</v>
      </c>
      <c r="F173" s="5">
        <v>0</v>
      </c>
      <c r="G173" s="5">
        <v>8.07</v>
      </c>
      <c r="H173" s="5">
        <f t="shared" si="2"/>
        <v>3.3894000000000002</v>
      </c>
    </row>
    <row r="174" spans="1:8" x14ac:dyDescent="0.25">
      <c r="A174" s="4" t="s">
        <v>5</v>
      </c>
      <c r="B174" s="4" t="s">
        <v>56</v>
      </c>
      <c r="C174" s="4" t="s">
        <v>57</v>
      </c>
      <c r="D174" s="5">
        <v>0.42</v>
      </c>
      <c r="E174" s="5">
        <v>28.78</v>
      </c>
      <c r="F174" s="5">
        <v>0</v>
      </c>
      <c r="G174" s="5">
        <v>28.78</v>
      </c>
      <c r="H174" s="5">
        <f t="shared" si="2"/>
        <v>12.0876</v>
      </c>
    </row>
    <row r="175" spans="1:8" x14ac:dyDescent="0.25">
      <c r="A175" s="4" t="s">
        <v>74</v>
      </c>
      <c r="B175" s="4" t="s">
        <v>217</v>
      </c>
      <c r="C175" s="4" t="s">
        <v>218</v>
      </c>
      <c r="D175" s="5">
        <v>0.42</v>
      </c>
      <c r="E175" s="5">
        <v>14.21</v>
      </c>
      <c r="F175" s="5">
        <v>0</v>
      </c>
      <c r="G175" s="5">
        <v>14.21</v>
      </c>
      <c r="H175" s="5">
        <f t="shared" si="2"/>
        <v>5.9682000000000004</v>
      </c>
    </row>
    <row r="176" spans="1:8" x14ac:dyDescent="0.25">
      <c r="A176" s="4" t="s">
        <v>74</v>
      </c>
      <c r="B176" s="4" t="s">
        <v>219</v>
      </c>
      <c r="C176" s="4" t="s">
        <v>220</v>
      </c>
      <c r="D176" s="5">
        <v>0.42</v>
      </c>
      <c r="E176" s="5">
        <v>94.53</v>
      </c>
      <c r="F176" s="5">
        <v>58.5</v>
      </c>
      <c r="G176" s="5">
        <v>153.03</v>
      </c>
      <c r="H176" s="5">
        <f t="shared" si="2"/>
        <v>64.272599999999997</v>
      </c>
    </row>
    <row r="177" spans="1:8" x14ac:dyDescent="0.25">
      <c r="A177" s="4" t="s">
        <v>462</v>
      </c>
      <c r="B177" s="4" t="s">
        <v>522</v>
      </c>
      <c r="C177" s="4" t="s">
        <v>523</v>
      </c>
      <c r="D177" s="5">
        <v>0.42</v>
      </c>
      <c r="E177" s="5">
        <v>5.96</v>
      </c>
      <c r="F177" s="5">
        <v>0</v>
      </c>
      <c r="G177" s="5">
        <v>5.96</v>
      </c>
      <c r="H177" s="5">
        <f t="shared" si="2"/>
        <v>2.5032000000000001</v>
      </c>
    </row>
    <row r="178" spans="1:8" x14ac:dyDescent="0.25">
      <c r="A178" s="4" t="s">
        <v>462</v>
      </c>
      <c r="B178" s="4" t="s">
        <v>524</v>
      </c>
      <c r="C178" s="4" t="s">
        <v>525</v>
      </c>
      <c r="D178" s="5">
        <v>0.42</v>
      </c>
      <c r="E178" s="5">
        <v>20.09</v>
      </c>
      <c r="F178" s="5">
        <v>0</v>
      </c>
      <c r="G178" s="5">
        <v>20.09</v>
      </c>
      <c r="H178" s="5">
        <f t="shared" si="2"/>
        <v>8.4377999999999993</v>
      </c>
    </row>
    <row r="179" spans="1:8" x14ac:dyDescent="0.25">
      <c r="A179" s="4" t="s">
        <v>462</v>
      </c>
      <c r="B179" s="4" t="s">
        <v>526</v>
      </c>
      <c r="C179" s="4" t="s">
        <v>527</v>
      </c>
      <c r="D179" s="5">
        <v>0.42</v>
      </c>
      <c r="E179" s="5">
        <v>6.82</v>
      </c>
      <c r="F179" s="5">
        <v>0</v>
      </c>
      <c r="G179" s="5">
        <v>6.82</v>
      </c>
      <c r="H179" s="5">
        <f t="shared" si="2"/>
        <v>2.8643999999999998</v>
      </c>
    </row>
    <row r="180" spans="1:8" x14ac:dyDescent="0.25">
      <c r="A180" s="4" t="s">
        <v>74</v>
      </c>
      <c r="B180" s="4" t="s">
        <v>221</v>
      </c>
      <c r="C180" s="4" t="s">
        <v>222</v>
      </c>
      <c r="D180" s="5">
        <v>0.42</v>
      </c>
      <c r="E180" s="5">
        <v>29.99</v>
      </c>
      <c r="F180" s="5">
        <v>0</v>
      </c>
      <c r="G180" s="5">
        <v>29.99</v>
      </c>
      <c r="H180" s="5">
        <f t="shared" si="2"/>
        <v>12.595799999999999</v>
      </c>
    </row>
    <row r="181" spans="1:8" x14ac:dyDescent="0.25">
      <c r="A181" s="4" t="s">
        <v>462</v>
      </c>
      <c r="B181" s="4" t="s">
        <v>528</v>
      </c>
      <c r="C181" s="4" t="s">
        <v>529</v>
      </c>
      <c r="D181" s="5">
        <v>0.42</v>
      </c>
      <c r="E181" s="5">
        <v>105.78</v>
      </c>
      <c r="F181" s="5">
        <v>64</v>
      </c>
      <c r="G181" s="5">
        <v>169.78</v>
      </c>
      <c r="H181" s="5">
        <f t="shared" si="2"/>
        <v>71.307599999999994</v>
      </c>
    </row>
    <row r="182" spans="1:8" x14ac:dyDescent="0.25">
      <c r="A182" s="4" t="s">
        <v>74</v>
      </c>
      <c r="B182" s="4" t="s">
        <v>223</v>
      </c>
      <c r="C182" s="4" t="s">
        <v>224</v>
      </c>
      <c r="D182" s="5">
        <v>0.42</v>
      </c>
      <c r="E182" s="5">
        <v>22.12</v>
      </c>
      <c r="F182" s="5">
        <v>0</v>
      </c>
      <c r="G182" s="5">
        <v>22.12</v>
      </c>
      <c r="H182" s="5">
        <f t="shared" si="2"/>
        <v>9.2904</v>
      </c>
    </row>
    <row r="183" spans="1:8" x14ac:dyDescent="0.25">
      <c r="A183" s="4" t="s">
        <v>5</v>
      </c>
      <c r="B183" s="4" t="s">
        <v>58</v>
      </c>
      <c r="C183" s="4" t="s">
        <v>59</v>
      </c>
      <c r="D183" s="5">
        <v>0.42</v>
      </c>
      <c r="E183" s="5">
        <v>24.1</v>
      </c>
      <c r="F183" s="5">
        <v>0</v>
      </c>
      <c r="G183" s="5">
        <v>24.1</v>
      </c>
      <c r="H183" s="5">
        <f t="shared" si="2"/>
        <v>10.122</v>
      </c>
    </row>
    <row r="184" spans="1:8" x14ac:dyDescent="0.25">
      <c r="A184" s="4" t="s">
        <v>74</v>
      </c>
      <c r="B184" s="4" t="s">
        <v>225</v>
      </c>
      <c r="C184" s="4" t="s">
        <v>226</v>
      </c>
      <c r="D184" s="5">
        <v>0.42</v>
      </c>
      <c r="E184" s="5">
        <v>80.459999999999994</v>
      </c>
      <c r="F184" s="5">
        <v>0</v>
      </c>
      <c r="G184" s="5">
        <v>80.459999999999994</v>
      </c>
      <c r="H184" s="5">
        <f t="shared" si="2"/>
        <v>33.793199999999999</v>
      </c>
    </row>
    <row r="185" spans="1:8" x14ac:dyDescent="0.25">
      <c r="A185" s="4" t="s">
        <v>74</v>
      </c>
      <c r="B185" s="4" t="s">
        <v>227</v>
      </c>
      <c r="C185" s="4" t="s">
        <v>228</v>
      </c>
      <c r="D185" s="5">
        <v>0.42</v>
      </c>
      <c r="E185" s="5">
        <v>46.19</v>
      </c>
      <c r="F185" s="5">
        <v>0</v>
      </c>
      <c r="G185" s="5">
        <v>46.19</v>
      </c>
      <c r="H185" s="5">
        <f t="shared" si="2"/>
        <v>19.399799999999999</v>
      </c>
    </row>
    <row r="186" spans="1:8" x14ac:dyDescent="0.25">
      <c r="A186" s="4" t="s">
        <v>74</v>
      </c>
      <c r="B186" s="4" t="s">
        <v>229</v>
      </c>
      <c r="C186" s="4" t="s">
        <v>230</v>
      </c>
      <c r="D186" s="5">
        <v>0.42</v>
      </c>
      <c r="E186" s="5">
        <v>72.56</v>
      </c>
      <c r="F186" s="5">
        <v>0</v>
      </c>
      <c r="G186" s="5">
        <v>72.56</v>
      </c>
      <c r="H186" s="5">
        <f t="shared" si="2"/>
        <v>30.475200000000001</v>
      </c>
    </row>
    <row r="187" spans="1:8" x14ac:dyDescent="0.25">
      <c r="A187" s="4" t="s">
        <v>74</v>
      </c>
      <c r="B187" s="4" t="s">
        <v>231</v>
      </c>
      <c r="C187" s="4" t="s">
        <v>232</v>
      </c>
      <c r="D187" s="5">
        <v>0.42</v>
      </c>
      <c r="E187" s="5">
        <v>95.05</v>
      </c>
      <c r="F187" s="5">
        <v>0</v>
      </c>
      <c r="G187" s="5">
        <v>95.05</v>
      </c>
      <c r="H187" s="5">
        <f t="shared" si="2"/>
        <v>39.920999999999999</v>
      </c>
    </row>
    <row r="188" spans="1:8" x14ac:dyDescent="0.25">
      <c r="A188" s="4" t="s">
        <v>74</v>
      </c>
      <c r="B188" s="4" t="s">
        <v>233</v>
      </c>
      <c r="C188" s="4" t="s">
        <v>234</v>
      </c>
      <c r="D188" s="5">
        <v>0.42</v>
      </c>
      <c r="E188" s="5">
        <v>38.299999999999997</v>
      </c>
      <c r="F188" s="5">
        <v>0</v>
      </c>
      <c r="G188" s="5">
        <v>38.299999999999997</v>
      </c>
      <c r="H188" s="5">
        <f t="shared" si="2"/>
        <v>16.085999999999999</v>
      </c>
    </row>
    <row r="189" spans="1:8" x14ac:dyDescent="0.25">
      <c r="A189" s="4" t="s">
        <v>74</v>
      </c>
      <c r="B189" s="4" t="s">
        <v>235</v>
      </c>
      <c r="C189" s="4" t="s">
        <v>236</v>
      </c>
      <c r="D189" s="5">
        <v>0.42</v>
      </c>
      <c r="E189" s="5">
        <v>8.01</v>
      </c>
      <c r="F189" s="5">
        <v>0</v>
      </c>
      <c r="G189" s="5">
        <v>8.01</v>
      </c>
      <c r="H189" s="5">
        <f t="shared" si="2"/>
        <v>3.3641999999999999</v>
      </c>
    </row>
    <row r="190" spans="1:8" x14ac:dyDescent="0.25">
      <c r="A190" s="4" t="s">
        <v>74</v>
      </c>
      <c r="B190" s="4" t="s">
        <v>235</v>
      </c>
      <c r="C190" s="4" t="s">
        <v>237</v>
      </c>
      <c r="D190" s="5">
        <v>0.42</v>
      </c>
      <c r="E190" s="5">
        <v>14.18</v>
      </c>
      <c r="F190" s="5">
        <v>0</v>
      </c>
      <c r="G190" s="5">
        <v>14.18</v>
      </c>
      <c r="H190" s="5">
        <f t="shared" si="2"/>
        <v>5.9555999999999996</v>
      </c>
    </row>
    <row r="191" spans="1:8" x14ac:dyDescent="0.25">
      <c r="A191" s="4" t="s">
        <v>74</v>
      </c>
      <c r="B191" s="4" t="s">
        <v>238</v>
      </c>
      <c r="C191" s="4" t="s">
        <v>239</v>
      </c>
      <c r="D191" s="5">
        <v>0.42</v>
      </c>
      <c r="E191" s="5">
        <v>79.11</v>
      </c>
      <c r="F191" s="5">
        <v>0</v>
      </c>
      <c r="G191" s="5">
        <v>79.11</v>
      </c>
      <c r="H191" s="5">
        <f t="shared" si="2"/>
        <v>33.226199999999999</v>
      </c>
    </row>
    <row r="192" spans="1:8" x14ac:dyDescent="0.25">
      <c r="A192" s="4" t="s">
        <v>74</v>
      </c>
      <c r="B192" s="4" t="s">
        <v>240</v>
      </c>
      <c r="C192" s="4" t="s">
        <v>241</v>
      </c>
      <c r="D192" s="5">
        <v>0.42</v>
      </c>
      <c r="E192" s="5">
        <v>14.07</v>
      </c>
      <c r="F192" s="5">
        <v>0</v>
      </c>
      <c r="G192" s="5">
        <v>14.07</v>
      </c>
      <c r="H192" s="5">
        <f t="shared" si="2"/>
        <v>5.9093999999999998</v>
      </c>
    </row>
    <row r="193" spans="1:8" x14ac:dyDescent="0.25">
      <c r="A193" s="4" t="s">
        <v>366</v>
      </c>
      <c r="B193" s="4" t="s">
        <v>417</v>
      </c>
      <c r="C193" s="4" t="s">
        <v>418</v>
      </c>
      <c r="D193" s="5">
        <v>0.42</v>
      </c>
      <c r="E193" s="5">
        <v>112.31</v>
      </c>
      <c r="F193" s="5">
        <v>85</v>
      </c>
      <c r="G193" s="5">
        <v>197.31</v>
      </c>
      <c r="H193" s="5">
        <f t="shared" si="2"/>
        <v>82.870199999999997</v>
      </c>
    </row>
    <row r="194" spans="1:8" x14ac:dyDescent="0.25">
      <c r="A194" s="4" t="s">
        <v>74</v>
      </c>
      <c r="B194" s="4" t="s">
        <v>242</v>
      </c>
      <c r="C194" s="4" t="s">
        <v>243</v>
      </c>
      <c r="D194" s="5">
        <v>0.42</v>
      </c>
      <c r="E194" s="5">
        <v>8.0399999999999991</v>
      </c>
      <c r="F194" s="5">
        <v>0</v>
      </c>
      <c r="G194" s="5">
        <v>8.0399999999999991</v>
      </c>
      <c r="H194" s="5">
        <f t="shared" si="2"/>
        <v>3.3767999999999994</v>
      </c>
    </row>
    <row r="195" spans="1:8" x14ac:dyDescent="0.25">
      <c r="A195" s="4" t="s">
        <v>74</v>
      </c>
      <c r="B195" s="4" t="s">
        <v>244</v>
      </c>
      <c r="C195" s="4" t="s">
        <v>245</v>
      </c>
      <c r="D195" s="5">
        <v>0.42</v>
      </c>
      <c r="E195" s="5">
        <v>14.14</v>
      </c>
      <c r="F195" s="5">
        <v>0</v>
      </c>
      <c r="G195" s="5">
        <v>14.14</v>
      </c>
      <c r="H195" s="5">
        <f t="shared" si="2"/>
        <v>5.9387999999999996</v>
      </c>
    </row>
    <row r="196" spans="1:8" x14ac:dyDescent="0.25">
      <c r="A196" s="4" t="s">
        <v>366</v>
      </c>
      <c r="B196" s="4" t="s">
        <v>419</v>
      </c>
      <c r="C196" s="4" t="s">
        <v>420</v>
      </c>
      <c r="D196" s="5">
        <v>0.42</v>
      </c>
      <c r="E196" s="5">
        <v>47.28</v>
      </c>
      <c r="F196" s="5">
        <v>0</v>
      </c>
      <c r="G196" s="5">
        <v>47.28</v>
      </c>
      <c r="H196" s="5">
        <f t="shared" si="2"/>
        <v>19.857600000000001</v>
      </c>
    </row>
    <row r="197" spans="1:8" x14ac:dyDescent="0.25">
      <c r="A197" s="4" t="s">
        <v>74</v>
      </c>
      <c r="B197" s="4" t="s">
        <v>246</v>
      </c>
      <c r="C197" s="4" t="s">
        <v>247</v>
      </c>
      <c r="D197" s="5">
        <v>0.42</v>
      </c>
      <c r="E197" s="5">
        <v>104.96</v>
      </c>
      <c r="F197" s="5">
        <v>0</v>
      </c>
      <c r="G197" s="5">
        <v>104.96</v>
      </c>
      <c r="H197" s="5">
        <f t="shared" si="2"/>
        <v>44.083199999999998</v>
      </c>
    </row>
    <row r="198" spans="1:8" x14ac:dyDescent="0.25">
      <c r="A198" s="4" t="s">
        <v>366</v>
      </c>
      <c r="B198" s="4" t="s">
        <v>421</v>
      </c>
      <c r="C198" s="4" t="s">
        <v>422</v>
      </c>
      <c r="D198" s="5">
        <v>0.42</v>
      </c>
      <c r="E198" s="5">
        <v>96.28</v>
      </c>
      <c r="F198" s="5">
        <v>50</v>
      </c>
      <c r="G198" s="5">
        <v>146.28</v>
      </c>
      <c r="H198" s="5">
        <f t="shared" si="2"/>
        <v>61.437599999999996</v>
      </c>
    </row>
    <row r="199" spans="1:8" x14ac:dyDescent="0.25">
      <c r="A199" s="4" t="s">
        <v>366</v>
      </c>
      <c r="B199" s="4" t="s">
        <v>423</v>
      </c>
      <c r="C199" s="4" t="s">
        <v>424</v>
      </c>
      <c r="D199" s="5">
        <v>0.42</v>
      </c>
      <c r="E199" s="5">
        <v>62.12</v>
      </c>
      <c r="F199" s="5">
        <v>0</v>
      </c>
      <c r="G199" s="5">
        <v>62.12</v>
      </c>
      <c r="H199" s="5">
        <f t="shared" ref="H199:H262" si="3">SUM(G199*D199)</f>
        <v>26.090399999999999</v>
      </c>
    </row>
    <row r="200" spans="1:8" x14ac:dyDescent="0.25">
      <c r="A200" s="4" t="s">
        <v>5</v>
      </c>
      <c r="B200" s="4" t="s">
        <v>60</v>
      </c>
      <c r="C200" s="4" t="s">
        <v>61</v>
      </c>
      <c r="D200" s="5">
        <v>0.42</v>
      </c>
      <c r="E200" s="5">
        <v>8</v>
      </c>
      <c r="F200" s="5">
        <v>0</v>
      </c>
      <c r="G200" s="5">
        <v>8</v>
      </c>
      <c r="H200" s="5">
        <f t="shared" si="3"/>
        <v>3.36</v>
      </c>
    </row>
    <row r="201" spans="1:8" x14ac:dyDescent="0.25">
      <c r="A201" s="4" t="s">
        <v>74</v>
      </c>
      <c r="B201" s="4" t="s">
        <v>248</v>
      </c>
      <c r="C201" s="4" t="s">
        <v>249</v>
      </c>
      <c r="D201" s="5">
        <v>0.42</v>
      </c>
      <c r="E201" s="5">
        <v>18.09</v>
      </c>
      <c r="F201" s="5">
        <v>0</v>
      </c>
      <c r="G201" s="5">
        <v>18.09</v>
      </c>
      <c r="H201" s="5">
        <f t="shared" si="3"/>
        <v>7.5977999999999994</v>
      </c>
    </row>
    <row r="202" spans="1:8" x14ac:dyDescent="0.25">
      <c r="A202" s="4" t="s">
        <v>74</v>
      </c>
      <c r="B202" s="4" t="s">
        <v>250</v>
      </c>
      <c r="C202" s="4" t="s">
        <v>251</v>
      </c>
      <c r="D202" s="5">
        <v>0.42</v>
      </c>
      <c r="E202" s="5">
        <v>8.01</v>
      </c>
      <c r="F202" s="5">
        <v>0</v>
      </c>
      <c r="G202" s="5">
        <v>8.01</v>
      </c>
      <c r="H202" s="5">
        <f t="shared" si="3"/>
        <v>3.3641999999999999</v>
      </c>
    </row>
    <row r="203" spans="1:8" x14ac:dyDescent="0.25">
      <c r="A203" s="4" t="s">
        <v>462</v>
      </c>
      <c r="B203" s="4" t="s">
        <v>530</v>
      </c>
      <c r="C203" s="4" t="s">
        <v>531</v>
      </c>
      <c r="D203" s="5">
        <v>0.42</v>
      </c>
      <c r="E203" s="5">
        <v>4.01</v>
      </c>
      <c r="F203" s="5">
        <v>0</v>
      </c>
      <c r="G203" s="5">
        <v>4.01</v>
      </c>
      <c r="H203" s="5">
        <f t="shared" si="3"/>
        <v>1.6841999999999999</v>
      </c>
    </row>
    <row r="204" spans="1:8" x14ac:dyDescent="0.25">
      <c r="A204" s="4" t="s">
        <v>74</v>
      </c>
      <c r="B204" s="4" t="s">
        <v>252</v>
      </c>
      <c r="C204" s="4" t="s">
        <v>253</v>
      </c>
      <c r="D204" s="5">
        <v>0.42</v>
      </c>
      <c r="E204" s="5">
        <v>33.869999999999997</v>
      </c>
      <c r="F204" s="5">
        <v>0</v>
      </c>
      <c r="G204" s="5">
        <v>33.869999999999997</v>
      </c>
      <c r="H204" s="5">
        <f t="shared" si="3"/>
        <v>14.225399999999999</v>
      </c>
    </row>
    <row r="205" spans="1:8" x14ac:dyDescent="0.25">
      <c r="A205" s="4" t="s">
        <v>5</v>
      </c>
      <c r="B205" s="4" t="s">
        <v>62</v>
      </c>
      <c r="C205" s="4" t="s">
        <v>63</v>
      </c>
      <c r="D205" s="5">
        <v>0.42</v>
      </c>
      <c r="E205" s="5">
        <v>33.619999999999997</v>
      </c>
      <c r="F205" s="5">
        <v>0</v>
      </c>
      <c r="G205" s="5">
        <v>33.619999999999997</v>
      </c>
      <c r="H205" s="5">
        <f t="shared" si="3"/>
        <v>14.120399999999998</v>
      </c>
    </row>
    <row r="206" spans="1:8" x14ac:dyDescent="0.25">
      <c r="A206" s="4" t="s">
        <v>74</v>
      </c>
      <c r="B206" s="4" t="s">
        <v>254</v>
      </c>
      <c r="C206" s="4" t="s">
        <v>255</v>
      </c>
      <c r="D206" s="5">
        <v>0.42</v>
      </c>
      <c r="E206" s="5">
        <v>19.89</v>
      </c>
      <c r="F206" s="5">
        <v>0</v>
      </c>
      <c r="G206" s="5">
        <v>19.89</v>
      </c>
      <c r="H206" s="5">
        <f t="shared" si="3"/>
        <v>8.3537999999999997</v>
      </c>
    </row>
    <row r="207" spans="1:8" x14ac:dyDescent="0.25">
      <c r="A207" s="4" t="s">
        <v>462</v>
      </c>
      <c r="B207" s="4" t="s">
        <v>532</v>
      </c>
      <c r="C207" s="4" t="s">
        <v>533</v>
      </c>
      <c r="D207" s="5">
        <v>0.42</v>
      </c>
      <c r="E207" s="5">
        <v>40.33</v>
      </c>
      <c r="F207" s="5">
        <v>0</v>
      </c>
      <c r="G207" s="5">
        <v>40.33</v>
      </c>
      <c r="H207" s="5">
        <f t="shared" si="3"/>
        <v>16.938599999999997</v>
      </c>
    </row>
    <row r="208" spans="1:8" x14ac:dyDescent="0.25">
      <c r="A208" s="4" t="s">
        <v>462</v>
      </c>
      <c r="B208" s="4" t="s">
        <v>534</v>
      </c>
      <c r="C208" s="4" t="s">
        <v>535</v>
      </c>
      <c r="D208" s="5">
        <v>0.42</v>
      </c>
      <c r="E208" s="5">
        <v>36.520000000000003</v>
      </c>
      <c r="F208" s="5">
        <v>0</v>
      </c>
      <c r="G208" s="5">
        <v>36.520000000000003</v>
      </c>
      <c r="H208" s="5">
        <f t="shared" si="3"/>
        <v>15.3384</v>
      </c>
    </row>
    <row r="209" spans="1:8" x14ac:dyDescent="0.25">
      <c r="A209" s="4" t="s">
        <v>366</v>
      </c>
      <c r="B209" s="4" t="s">
        <v>425</v>
      </c>
      <c r="C209" s="4" t="s">
        <v>426</v>
      </c>
      <c r="D209" s="5">
        <v>0.42</v>
      </c>
      <c r="E209" s="5">
        <v>16.100000000000001</v>
      </c>
      <c r="F209" s="5">
        <v>0</v>
      </c>
      <c r="G209" s="5">
        <v>16.100000000000001</v>
      </c>
      <c r="H209" s="5">
        <f t="shared" si="3"/>
        <v>6.7620000000000005</v>
      </c>
    </row>
    <row r="210" spans="1:8" x14ac:dyDescent="0.25">
      <c r="A210" s="4" t="s">
        <v>74</v>
      </c>
      <c r="B210" s="4" t="s">
        <v>256</v>
      </c>
      <c r="C210" s="4" t="s">
        <v>257</v>
      </c>
      <c r="D210" s="5">
        <v>0.42</v>
      </c>
      <c r="E210" s="5">
        <v>54.1</v>
      </c>
      <c r="F210" s="5">
        <v>0</v>
      </c>
      <c r="G210" s="5">
        <v>54.1</v>
      </c>
      <c r="H210" s="5">
        <f t="shared" si="3"/>
        <v>22.722000000000001</v>
      </c>
    </row>
    <row r="211" spans="1:8" x14ac:dyDescent="0.25">
      <c r="A211" s="4" t="s">
        <v>74</v>
      </c>
      <c r="B211" s="4" t="s">
        <v>258</v>
      </c>
      <c r="C211" s="4" t="s">
        <v>259</v>
      </c>
      <c r="D211" s="5">
        <v>0.42</v>
      </c>
      <c r="E211" s="5">
        <v>15.85</v>
      </c>
      <c r="F211" s="5">
        <v>0</v>
      </c>
      <c r="G211" s="5">
        <v>15.85</v>
      </c>
      <c r="H211" s="5">
        <f t="shared" si="3"/>
        <v>6.657</v>
      </c>
    </row>
    <row r="212" spans="1:8" x14ac:dyDescent="0.25">
      <c r="A212" s="4" t="s">
        <v>74</v>
      </c>
      <c r="B212" s="4" t="s">
        <v>260</v>
      </c>
      <c r="C212" s="4" t="s">
        <v>261</v>
      </c>
      <c r="D212" s="5">
        <v>0.42</v>
      </c>
      <c r="E212" s="5">
        <v>70.540000000000006</v>
      </c>
      <c r="F212" s="5">
        <v>0</v>
      </c>
      <c r="G212" s="5">
        <v>70.540000000000006</v>
      </c>
      <c r="H212" s="5">
        <f t="shared" si="3"/>
        <v>29.626800000000003</v>
      </c>
    </row>
    <row r="213" spans="1:8" x14ac:dyDescent="0.25">
      <c r="A213" s="4" t="s">
        <v>74</v>
      </c>
      <c r="B213" s="4" t="s">
        <v>262</v>
      </c>
      <c r="C213" s="4" t="s">
        <v>263</v>
      </c>
      <c r="D213" s="5">
        <v>0.42</v>
      </c>
      <c r="E213" s="5">
        <v>56.25</v>
      </c>
      <c r="F213" s="5">
        <v>61</v>
      </c>
      <c r="G213" s="5">
        <v>117.25</v>
      </c>
      <c r="H213" s="5">
        <f t="shared" si="3"/>
        <v>49.244999999999997</v>
      </c>
    </row>
    <row r="214" spans="1:8" x14ac:dyDescent="0.25">
      <c r="A214" s="4" t="s">
        <v>566</v>
      </c>
      <c r="B214" s="4" t="s">
        <v>595</v>
      </c>
      <c r="C214" s="4" t="s">
        <v>596</v>
      </c>
      <c r="D214" s="5">
        <v>0.42</v>
      </c>
      <c r="E214" s="5">
        <v>113.59</v>
      </c>
      <c r="F214" s="5">
        <v>48.5</v>
      </c>
      <c r="G214" s="5">
        <v>162.09</v>
      </c>
      <c r="H214" s="5">
        <f t="shared" si="3"/>
        <v>68.077799999999996</v>
      </c>
    </row>
    <row r="215" spans="1:8" x14ac:dyDescent="0.25">
      <c r="A215" s="4" t="s">
        <v>566</v>
      </c>
      <c r="B215" s="4" t="s">
        <v>597</v>
      </c>
      <c r="C215" s="4" t="s">
        <v>598</v>
      </c>
      <c r="D215" s="5">
        <v>0.42</v>
      </c>
      <c r="E215" s="5">
        <v>24.03</v>
      </c>
      <c r="F215" s="5">
        <v>0</v>
      </c>
      <c r="G215" s="5">
        <v>24.03</v>
      </c>
      <c r="H215" s="5">
        <f t="shared" si="3"/>
        <v>10.092600000000001</v>
      </c>
    </row>
    <row r="216" spans="1:8" x14ac:dyDescent="0.25">
      <c r="A216" s="4" t="s">
        <v>74</v>
      </c>
      <c r="B216" s="4" t="s">
        <v>264</v>
      </c>
      <c r="C216" s="4" t="s">
        <v>265</v>
      </c>
      <c r="D216" s="5">
        <v>0.42</v>
      </c>
      <c r="E216" s="5">
        <v>88.43</v>
      </c>
      <c r="F216" s="5">
        <v>90</v>
      </c>
      <c r="G216" s="5">
        <v>178.43</v>
      </c>
      <c r="H216" s="5">
        <f t="shared" si="3"/>
        <v>74.940600000000003</v>
      </c>
    </row>
    <row r="217" spans="1:8" x14ac:dyDescent="0.25">
      <c r="A217" s="4" t="s">
        <v>462</v>
      </c>
      <c r="B217" s="4" t="s">
        <v>536</v>
      </c>
      <c r="C217" s="4" t="s">
        <v>537</v>
      </c>
      <c r="D217" s="5">
        <v>0.42</v>
      </c>
      <c r="E217" s="5">
        <v>16.18</v>
      </c>
      <c r="F217" s="5">
        <v>0</v>
      </c>
      <c r="G217" s="5">
        <v>16.18</v>
      </c>
      <c r="H217" s="5">
        <f t="shared" si="3"/>
        <v>6.7955999999999994</v>
      </c>
    </row>
    <row r="218" spans="1:8" x14ac:dyDescent="0.25">
      <c r="A218" s="4" t="s">
        <v>5</v>
      </c>
      <c r="B218" s="4" t="s">
        <v>64</v>
      </c>
      <c r="C218" s="4" t="s">
        <v>65</v>
      </c>
      <c r="D218" s="5">
        <v>0.42</v>
      </c>
      <c r="E218" s="5">
        <v>7.9</v>
      </c>
      <c r="F218" s="5">
        <v>0</v>
      </c>
      <c r="G218" s="5">
        <v>7.9</v>
      </c>
      <c r="H218" s="5">
        <f t="shared" si="3"/>
        <v>3.3180000000000001</v>
      </c>
    </row>
    <row r="219" spans="1:8" x14ac:dyDescent="0.25">
      <c r="A219" s="4" t="s">
        <v>74</v>
      </c>
      <c r="B219" s="4" t="s">
        <v>266</v>
      </c>
      <c r="C219" s="4" t="s">
        <v>267</v>
      </c>
      <c r="D219" s="5">
        <v>0.42</v>
      </c>
      <c r="E219" s="5">
        <v>8.0500000000000007</v>
      </c>
      <c r="F219" s="5">
        <v>0</v>
      </c>
      <c r="G219" s="5">
        <v>8.0500000000000007</v>
      </c>
      <c r="H219" s="5">
        <f t="shared" si="3"/>
        <v>3.3810000000000002</v>
      </c>
    </row>
    <row r="220" spans="1:8" x14ac:dyDescent="0.25">
      <c r="A220" s="4" t="s">
        <v>462</v>
      </c>
      <c r="B220" s="4" t="s">
        <v>538</v>
      </c>
      <c r="C220" s="4" t="s">
        <v>539</v>
      </c>
      <c r="D220" s="5">
        <v>0.42</v>
      </c>
      <c r="E220" s="5">
        <v>8.14</v>
      </c>
      <c r="F220" s="5">
        <v>0</v>
      </c>
      <c r="G220" s="5">
        <v>8.14</v>
      </c>
      <c r="H220" s="5">
        <f t="shared" si="3"/>
        <v>3.4188000000000001</v>
      </c>
    </row>
    <row r="221" spans="1:8" x14ac:dyDescent="0.25">
      <c r="A221" s="4" t="s">
        <v>366</v>
      </c>
      <c r="B221" s="4" t="s">
        <v>427</v>
      </c>
      <c r="C221" s="4" t="s">
        <v>428</v>
      </c>
      <c r="D221" s="5">
        <v>0.42</v>
      </c>
      <c r="E221" s="5">
        <v>24.05</v>
      </c>
      <c r="F221" s="5">
        <v>0</v>
      </c>
      <c r="G221" s="5">
        <v>24.05</v>
      </c>
      <c r="H221" s="5">
        <f t="shared" si="3"/>
        <v>10.100999999999999</v>
      </c>
    </row>
    <row r="222" spans="1:8" x14ac:dyDescent="0.25">
      <c r="A222" s="4" t="s">
        <v>462</v>
      </c>
      <c r="B222" s="4" t="s">
        <v>540</v>
      </c>
      <c r="C222" s="4" t="s">
        <v>541</v>
      </c>
      <c r="D222" s="5">
        <v>0.42</v>
      </c>
      <c r="E222" s="5">
        <v>7.1</v>
      </c>
      <c r="F222" s="5">
        <v>0</v>
      </c>
      <c r="G222" s="5">
        <v>7.1</v>
      </c>
      <c r="H222" s="5">
        <f t="shared" si="3"/>
        <v>2.9819999999999998</v>
      </c>
    </row>
    <row r="223" spans="1:8" x14ac:dyDescent="0.25">
      <c r="A223" s="4" t="s">
        <v>566</v>
      </c>
      <c r="B223" s="4" t="s">
        <v>599</v>
      </c>
      <c r="C223" s="4" t="s">
        <v>600</v>
      </c>
      <c r="D223" s="5">
        <v>0.42</v>
      </c>
      <c r="E223" s="5">
        <v>64.040000000000006</v>
      </c>
      <c r="F223" s="5">
        <v>15</v>
      </c>
      <c r="G223" s="5">
        <v>79.040000000000006</v>
      </c>
      <c r="H223" s="5">
        <f t="shared" si="3"/>
        <v>33.196800000000003</v>
      </c>
    </row>
    <row r="224" spans="1:8" x14ac:dyDescent="0.25">
      <c r="A224" s="4" t="s">
        <v>462</v>
      </c>
      <c r="B224" s="4" t="s">
        <v>542</v>
      </c>
      <c r="C224" s="4" t="s">
        <v>543</v>
      </c>
      <c r="D224" s="5">
        <v>0.42</v>
      </c>
      <c r="E224" s="5">
        <v>86.98</v>
      </c>
      <c r="F224" s="5">
        <v>0</v>
      </c>
      <c r="G224" s="5">
        <v>86.98</v>
      </c>
      <c r="H224" s="5">
        <f t="shared" si="3"/>
        <v>36.531599999999997</v>
      </c>
    </row>
    <row r="225" spans="1:8" x14ac:dyDescent="0.25">
      <c r="A225" s="4" t="s">
        <v>74</v>
      </c>
      <c r="B225" s="4" t="s">
        <v>268</v>
      </c>
      <c r="C225" s="4" t="s">
        <v>269</v>
      </c>
      <c r="D225" s="5">
        <v>0.42</v>
      </c>
      <c r="E225" s="5">
        <v>70.14</v>
      </c>
      <c r="F225" s="5">
        <v>0</v>
      </c>
      <c r="G225" s="5">
        <v>70.14</v>
      </c>
      <c r="H225" s="5">
        <f t="shared" si="3"/>
        <v>29.4588</v>
      </c>
    </row>
    <row r="226" spans="1:8" x14ac:dyDescent="0.25">
      <c r="A226" s="4" t="s">
        <v>74</v>
      </c>
      <c r="B226" s="4" t="s">
        <v>270</v>
      </c>
      <c r="C226" s="4" t="s">
        <v>271</v>
      </c>
      <c r="D226" s="5">
        <v>0.42</v>
      </c>
      <c r="E226" s="5">
        <v>96.28</v>
      </c>
      <c r="F226" s="5">
        <v>0</v>
      </c>
      <c r="G226" s="5">
        <v>96.28</v>
      </c>
      <c r="H226" s="5">
        <f t="shared" si="3"/>
        <v>40.437599999999996</v>
      </c>
    </row>
    <row r="227" spans="1:8" x14ac:dyDescent="0.25">
      <c r="A227" s="4" t="s">
        <v>74</v>
      </c>
      <c r="B227" s="4" t="s">
        <v>272</v>
      </c>
      <c r="C227" s="4" t="s">
        <v>273</v>
      </c>
      <c r="D227" s="5">
        <v>0.42</v>
      </c>
      <c r="E227" s="5">
        <v>68.19</v>
      </c>
      <c r="F227" s="5">
        <v>0</v>
      </c>
      <c r="G227" s="5">
        <v>68.19</v>
      </c>
      <c r="H227" s="5">
        <f t="shared" si="3"/>
        <v>28.639799999999997</v>
      </c>
    </row>
    <row r="228" spans="1:8" x14ac:dyDescent="0.25">
      <c r="A228" s="4" t="s">
        <v>74</v>
      </c>
      <c r="B228" s="4" t="s">
        <v>274</v>
      </c>
      <c r="C228" s="4" t="s">
        <v>275</v>
      </c>
      <c r="D228" s="5">
        <v>0.42</v>
      </c>
      <c r="E228" s="5">
        <v>40.049999999999997</v>
      </c>
      <c r="F228" s="5">
        <v>0</v>
      </c>
      <c r="G228" s="5">
        <v>40.049999999999997</v>
      </c>
      <c r="H228" s="5">
        <f t="shared" si="3"/>
        <v>16.820999999999998</v>
      </c>
    </row>
    <row r="229" spans="1:8" x14ac:dyDescent="0.25">
      <c r="A229" s="4" t="s">
        <v>453</v>
      </c>
      <c r="B229" s="4" t="s">
        <v>458</v>
      </c>
      <c r="C229" s="4" t="s">
        <v>459</v>
      </c>
      <c r="D229" s="5">
        <v>0.42</v>
      </c>
      <c r="E229" s="5">
        <v>7.96</v>
      </c>
      <c r="F229" s="5">
        <v>0</v>
      </c>
      <c r="G229" s="5">
        <v>7.96</v>
      </c>
      <c r="H229" s="5">
        <f t="shared" si="3"/>
        <v>3.3431999999999999</v>
      </c>
    </row>
    <row r="230" spans="1:8" x14ac:dyDescent="0.25">
      <c r="A230" s="4" t="s">
        <v>74</v>
      </c>
      <c r="B230" s="4" t="s">
        <v>276</v>
      </c>
      <c r="C230" s="4" t="s">
        <v>277</v>
      </c>
      <c r="D230" s="5">
        <v>0.42</v>
      </c>
      <c r="E230" s="5">
        <v>19.670000000000002</v>
      </c>
      <c r="F230" s="5">
        <v>0</v>
      </c>
      <c r="G230" s="5">
        <v>19.670000000000002</v>
      </c>
      <c r="H230" s="5">
        <f t="shared" si="3"/>
        <v>8.2614000000000001</v>
      </c>
    </row>
    <row r="231" spans="1:8" x14ac:dyDescent="0.25">
      <c r="A231" s="4" t="s">
        <v>74</v>
      </c>
      <c r="B231" s="4" t="s">
        <v>278</v>
      </c>
      <c r="C231" s="4" t="s">
        <v>279</v>
      </c>
      <c r="D231" s="5">
        <v>0.42</v>
      </c>
      <c r="E231" s="5">
        <v>6</v>
      </c>
      <c r="F231" s="5">
        <v>0</v>
      </c>
      <c r="G231" s="5">
        <v>6</v>
      </c>
      <c r="H231" s="5">
        <f t="shared" si="3"/>
        <v>2.52</v>
      </c>
    </row>
    <row r="232" spans="1:8" x14ac:dyDescent="0.25">
      <c r="A232" s="4" t="s">
        <v>462</v>
      </c>
      <c r="B232" s="4" t="s">
        <v>544</v>
      </c>
      <c r="C232" s="4" t="s">
        <v>545</v>
      </c>
      <c r="D232" s="5">
        <v>0.42</v>
      </c>
      <c r="E232" s="5">
        <v>102.4</v>
      </c>
      <c r="F232" s="5">
        <v>0</v>
      </c>
      <c r="G232" s="5">
        <v>102.4</v>
      </c>
      <c r="H232" s="5">
        <f t="shared" si="3"/>
        <v>43.008000000000003</v>
      </c>
    </row>
    <row r="233" spans="1:8" x14ac:dyDescent="0.25">
      <c r="A233" s="4" t="s">
        <v>74</v>
      </c>
      <c r="B233" s="4" t="s">
        <v>280</v>
      </c>
      <c r="C233" s="4" t="s">
        <v>281</v>
      </c>
      <c r="D233" s="5">
        <v>0.42</v>
      </c>
      <c r="E233" s="5">
        <v>30.14</v>
      </c>
      <c r="F233" s="5">
        <v>0</v>
      </c>
      <c r="G233" s="5">
        <v>30.14</v>
      </c>
      <c r="H233" s="5">
        <f t="shared" si="3"/>
        <v>12.658799999999999</v>
      </c>
    </row>
    <row r="234" spans="1:8" x14ac:dyDescent="0.25">
      <c r="A234" s="4" t="s">
        <v>74</v>
      </c>
      <c r="B234" s="4" t="s">
        <v>282</v>
      </c>
      <c r="C234" s="4" t="s">
        <v>283</v>
      </c>
      <c r="D234" s="5">
        <v>0.42</v>
      </c>
      <c r="E234" s="5">
        <v>34.4</v>
      </c>
      <c r="F234" s="5">
        <v>60</v>
      </c>
      <c r="G234" s="5">
        <v>94.4</v>
      </c>
      <c r="H234" s="5">
        <f t="shared" si="3"/>
        <v>39.648000000000003</v>
      </c>
    </row>
    <row r="235" spans="1:8" x14ac:dyDescent="0.25">
      <c r="A235" s="4" t="s">
        <v>74</v>
      </c>
      <c r="B235" s="4" t="s">
        <v>284</v>
      </c>
      <c r="C235" s="4" t="s">
        <v>285</v>
      </c>
      <c r="D235" s="5">
        <v>0.42</v>
      </c>
      <c r="E235" s="5">
        <v>63.63</v>
      </c>
      <c r="F235" s="5">
        <v>0</v>
      </c>
      <c r="G235" s="5">
        <v>63.63</v>
      </c>
      <c r="H235" s="5">
        <f t="shared" si="3"/>
        <v>26.724599999999999</v>
      </c>
    </row>
    <row r="236" spans="1:8" x14ac:dyDescent="0.25">
      <c r="A236" s="4" t="s">
        <v>74</v>
      </c>
      <c r="B236" s="4" t="s">
        <v>286</v>
      </c>
      <c r="C236" s="4" t="s">
        <v>287</v>
      </c>
      <c r="D236" s="5">
        <v>0.42</v>
      </c>
      <c r="E236" s="5">
        <v>44.57</v>
      </c>
      <c r="F236" s="5">
        <v>0</v>
      </c>
      <c r="G236" s="5">
        <v>44.57</v>
      </c>
      <c r="H236" s="5">
        <f t="shared" si="3"/>
        <v>18.7194</v>
      </c>
    </row>
    <row r="237" spans="1:8" x14ac:dyDescent="0.25">
      <c r="A237" s="4" t="s">
        <v>74</v>
      </c>
      <c r="B237" s="4" t="s">
        <v>288</v>
      </c>
      <c r="C237" s="4" t="s">
        <v>289</v>
      </c>
      <c r="D237" s="5">
        <v>0.42</v>
      </c>
      <c r="E237" s="5">
        <v>64.44</v>
      </c>
      <c r="F237" s="5">
        <v>48.6</v>
      </c>
      <c r="G237" s="5">
        <v>113.04</v>
      </c>
      <c r="H237" s="5">
        <f t="shared" si="3"/>
        <v>47.476800000000004</v>
      </c>
    </row>
    <row r="238" spans="1:8" x14ac:dyDescent="0.25">
      <c r="A238" s="4" t="s">
        <v>566</v>
      </c>
      <c r="B238" s="4" t="s">
        <v>601</v>
      </c>
      <c r="C238" s="4" t="s">
        <v>602</v>
      </c>
      <c r="D238" s="5">
        <v>0.42</v>
      </c>
      <c r="E238" s="5">
        <v>16</v>
      </c>
      <c r="F238" s="5">
        <v>0</v>
      </c>
      <c r="G238" s="5">
        <v>16</v>
      </c>
      <c r="H238" s="5">
        <f t="shared" si="3"/>
        <v>6.72</v>
      </c>
    </row>
    <row r="239" spans="1:8" x14ac:dyDescent="0.25">
      <c r="A239" s="4" t="s">
        <v>74</v>
      </c>
      <c r="B239" s="4" t="s">
        <v>290</v>
      </c>
      <c r="C239" s="4" t="s">
        <v>291</v>
      </c>
      <c r="D239" s="5">
        <v>0.42</v>
      </c>
      <c r="E239" s="5">
        <v>54.67</v>
      </c>
      <c r="F239" s="5">
        <v>0</v>
      </c>
      <c r="G239" s="5">
        <v>54.67</v>
      </c>
      <c r="H239" s="5">
        <f t="shared" si="3"/>
        <v>22.961400000000001</v>
      </c>
    </row>
    <row r="240" spans="1:8" x14ac:dyDescent="0.25">
      <c r="A240" s="4" t="s">
        <v>74</v>
      </c>
      <c r="B240" s="4" t="s">
        <v>292</v>
      </c>
      <c r="C240" s="4" t="s">
        <v>293</v>
      </c>
      <c r="D240" s="5">
        <v>0.42</v>
      </c>
      <c r="E240" s="5">
        <v>6.03</v>
      </c>
      <c r="F240" s="5">
        <v>0</v>
      </c>
      <c r="G240" s="5">
        <v>6.03</v>
      </c>
      <c r="H240" s="5">
        <f t="shared" si="3"/>
        <v>2.5326</v>
      </c>
    </row>
    <row r="241" spans="1:8" x14ac:dyDescent="0.25">
      <c r="A241" s="4" t="s">
        <v>74</v>
      </c>
      <c r="B241" s="4" t="s">
        <v>294</v>
      </c>
      <c r="C241" s="4" t="s">
        <v>295</v>
      </c>
      <c r="D241" s="5">
        <v>0.42</v>
      </c>
      <c r="E241" s="5">
        <v>8.01</v>
      </c>
      <c r="F241" s="5">
        <v>0</v>
      </c>
      <c r="G241" s="5">
        <v>8.01</v>
      </c>
      <c r="H241" s="5">
        <f t="shared" si="3"/>
        <v>3.3641999999999999</v>
      </c>
    </row>
    <row r="242" spans="1:8" x14ac:dyDescent="0.25">
      <c r="A242" s="4" t="s">
        <v>74</v>
      </c>
      <c r="B242" s="4" t="s">
        <v>296</v>
      </c>
      <c r="C242" s="4" t="s">
        <v>297</v>
      </c>
      <c r="D242" s="5">
        <v>0.42</v>
      </c>
      <c r="E242" s="5">
        <v>56.29</v>
      </c>
      <c r="F242" s="5">
        <v>0</v>
      </c>
      <c r="G242" s="5">
        <v>56.29</v>
      </c>
      <c r="H242" s="5">
        <f t="shared" si="3"/>
        <v>23.6418</v>
      </c>
    </row>
    <row r="243" spans="1:8" x14ac:dyDescent="0.25">
      <c r="A243" s="4" t="s">
        <v>462</v>
      </c>
      <c r="B243" s="4" t="s">
        <v>546</v>
      </c>
      <c r="C243" s="4" t="s">
        <v>547</v>
      </c>
      <c r="D243" s="5">
        <v>0.42</v>
      </c>
      <c r="E243" s="5">
        <v>8.0399999999999991</v>
      </c>
      <c r="F243" s="5">
        <v>0</v>
      </c>
      <c r="G243" s="5">
        <v>8.0399999999999991</v>
      </c>
      <c r="H243" s="5">
        <f t="shared" si="3"/>
        <v>3.3767999999999994</v>
      </c>
    </row>
    <row r="244" spans="1:8" x14ac:dyDescent="0.25">
      <c r="A244" s="4" t="s">
        <v>74</v>
      </c>
      <c r="B244" s="4" t="s">
        <v>298</v>
      </c>
      <c r="C244" s="4" t="s">
        <v>299</v>
      </c>
      <c r="D244" s="5">
        <v>0.42</v>
      </c>
      <c r="E244" s="5">
        <v>37.96</v>
      </c>
      <c r="F244" s="5">
        <v>0</v>
      </c>
      <c r="G244" s="5">
        <v>37.96</v>
      </c>
      <c r="H244" s="5">
        <f t="shared" si="3"/>
        <v>15.943199999999999</v>
      </c>
    </row>
    <row r="245" spans="1:8" x14ac:dyDescent="0.25">
      <c r="A245" s="4" t="s">
        <v>74</v>
      </c>
      <c r="B245" s="4" t="s">
        <v>300</v>
      </c>
      <c r="C245" s="4" t="s">
        <v>301</v>
      </c>
      <c r="D245" s="5">
        <v>0.42</v>
      </c>
      <c r="E245" s="5">
        <v>80.59</v>
      </c>
      <c r="F245" s="5">
        <v>0</v>
      </c>
      <c r="G245" s="5">
        <v>80.59</v>
      </c>
      <c r="H245" s="5">
        <f t="shared" si="3"/>
        <v>33.847799999999999</v>
      </c>
    </row>
    <row r="246" spans="1:8" x14ac:dyDescent="0.25">
      <c r="A246" s="4" t="s">
        <v>74</v>
      </c>
      <c r="B246" s="4" t="s">
        <v>302</v>
      </c>
      <c r="C246" s="4" t="s">
        <v>303</v>
      </c>
      <c r="D246" s="5">
        <v>0.42</v>
      </c>
      <c r="E246" s="5">
        <v>6.03</v>
      </c>
      <c r="F246" s="5">
        <v>0</v>
      </c>
      <c r="G246" s="5">
        <v>6.03</v>
      </c>
      <c r="H246" s="5">
        <f t="shared" si="3"/>
        <v>2.5326</v>
      </c>
    </row>
    <row r="247" spans="1:8" x14ac:dyDescent="0.25">
      <c r="A247" s="4" t="s">
        <v>462</v>
      </c>
      <c r="B247" s="4" t="s">
        <v>548</v>
      </c>
      <c r="C247" s="4" t="s">
        <v>549</v>
      </c>
      <c r="D247" s="5">
        <v>0.42</v>
      </c>
      <c r="E247" s="5">
        <v>16.21</v>
      </c>
      <c r="F247" s="5">
        <v>0</v>
      </c>
      <c r="G247" s="5">
        <v>16.21</v>
      </c>
      <c r="H247" s="5">
        <f t="shared" si="3"/>
        <v>6.8082000000000003</v>
      </c>
    </row>
    <row r="248" spans="1:8" x14ac:dyDescent="0.25">
      <c r="A248" s="4" t="s">
        <v>462</v>
      </c>
      <c r="B248" s="4" t="s">
        <v>550</v>
      </c>
      <c r="C248" s="4" t="s">
        <v>551</v>
      </c>
      <c r="D248" s="5">
        <v>0.42</v>
      </c>
      <c r="E248" s="5">
        <v>51.11</v>
      </c>
      <c r="F248" s="5">
        <v>0</v>
      </c>
      <c r="G248" s="5">
        <v>51.11</v>
      </c>
      <c r="H248" s="5">
        <f t="shared" si="3"/>
        <v>21.466200000000001</v>
      </c>
    </row>
    <row r="249" spans="1:8" x14ac:dyDescent="0.25">
      <c r="A249" s="4" t="s">
        <v>74</v>
      </c>
      <c r="B249" s="4" t="s">
        <v>304</v>
      </c>
      <c r="C249" s="4" t="s">
        <v>305</v>
      </c>
      <c r="D249" s="5">
        <v>0.42</v>
      </c>
      <c r="E249" s="5">
        <v>8.0500000000000007</v>
      </c>
      <c r="F249" s="5">
        <v>0</v>
      </c>
      <c r="G249" s="5">
        <v>8.0500000000000007</v>
      </c>
      <c r="H249" s="5">
        <f t="shared" si="3"/>
        <v>3.3810000000000002</v>
      </c>
    </row>
    <row r="250" spans="1:8" x14ac:dyDescent="0.25">
      <c r="A250" s="4" t="s">
        <v>74</v>
      </c>
      <c r="B250" s="4" t="s">
        <v>306</v>
      </c>
      <c r="C250" s="4" t="s">
        <v>307</v>
      </c>
      <c r="D250" s="5">
        <v>0.42</v>
      </c>
      <c r="E250" s="5">
        <v>37.21</v>
      </c>
      <c r="F250" s="5">
        <v>0</v>
      </c>
      <c r="G250" s="5">
        <v>37.21</v>
      </c>
      <c r="H250" s="5">
        <f t="shared" si="3"/>
        <v>15.6282</v>
      </c>
    </row>
    <row r="251" spans="1:8" x14ac:dyDescent="0.25">
      <c r="A251" s="4" t="s">
        <v>74</v>
      </c>
      <c r="B251" s="4" t="s">
        <v>308</v>
      </c>
      <c r="C251" s="4" t="s">
        <v>309</v>
      </c>
      <c r="D251" s="5">
        <v>0.42</v>
      </c>
      <c r="E251" s="5">
        <v>104.78</v>
      </c>
      <c r="F251" s="5">
        <v>0</v>
      </c>
      <c r="G251" s="5">
        <v>104.78</v>
      </c>
      <c r="H251" s="5">
        <f t="shared" si="3"/>
        <v>44.007599999999996</v>
      </c>
    </row>
    <row r="252" spans="1:8" x14ac:dyDescent="0.25">
      <c r="A252" s="4" t="s">
        <v>74</v>
      </c>
      <c r="B252" s="4" t="s">
        <v>310</v>
      </c>
      <c r="C252" s="4" t="s">
        <v>311</v>
      </c>
      <c r="D252" s="5">
        <v>0.42</v>
      </c>
      <c r="E252" s="5">
        <v>14.01</v>
      </c>
      <c r="F252" s="5">
        <v>0</v>
      </c>
      <c r="G252" s="5">
        <v>14.01</v>
      </c>
      <c r="H252" s="5">
        <f t="shared" si="3"/>
        <v>5.8841999999999999</v>
      </c>
    </row>
    <row r="253" spans="1:8" x14ac:dyDescent="0.25">
      <c r="A253" s="4" t="s">
        <v>74</v>
      </c>
      <c r="B253" s="4" t="s">
        <v>312</v>
      </c>
      <c r="C253" s="4" t="s">
        <v>313</v>
      </c>
      <c r="D253" s="5">
        <v>0.42</v>
      </c>
      <c r="E253" s="5">
        <v>94.33</v>
      </c>
      <c r="F253" s="5">
        <v>0</v>
      </c>
      <c r="G253" s="5">
        <v>94.33</v>
      </c>
      <c r="H253" s="5">
        <f t="shared" si="3"/>
        <v>39.618600000000001</v>
      </c>
    </row>
    <row r="254" spans="1:8" x14ac:dyDescent="0.25">
      <c r="A254" s="4" t="s">
        <v>453</v>
      </c>
      <c r="B254" s="4" t="s">
        <v>460</v>
      </c>
      <c r="C254" s="4" t="s">
        <v>461</v>
      </c>
      <c r="D254" s="5">
        <v>0.42</v>
      </c>
      <c r="E254" s="5">
        <v>23.06</v>
      </c>
      <c r="F254" s="5">
        <v>0</v>
      </c>
      <c r="G254" s="5">
        <v>23.06</v>
      </c>
      <c r="H254" s="5">
        <f t="shared" si="3"/>
        <v>9.6851999999999983</v>
      </c>
    </row>
    <row r="255" spans="1:8" x14ac:dyDescent="0.25">
      <c r="A255" s="4" t="s">
        <v>74</v>
      </c>
      <c r="B255" s="4" t="s">
        <v>314</v>
      </c>
      <c r="C255" s="4" t="s">
        <v>315</v>
      </c>
      <c r="D255" s="5">
        <v>0.42</v>
      </c>
      <c r="E255" s="5">
        <v>6</v>
      </c>
      <c r="F255" s="5">
        <v>0</v>
      </c>
      <c r="G255" s="5">
        <v>6</v>
      </c>
      <c r="H255" s="5">
        <f t="shared" si="3"/>
        <v>2.52</v>
      </c>
    </row>
    <row r="256" spans="1:8" x14ac:dyDescent="0.25">
      <c r="A256" s="4" t="s">
        <v>366</v>
      </c>
      <c r="B256" s="4" t="s">
        <v>429</v>
      </c>
      <c r="C256" s="4" t="s">
        <v>430</v>
      </c>
      <c r="D256" s="5">
        <v>0.42</v>
      </c>
      <c r="E256" s="5">
        <v>28.41</v>
      </c>
      <c r="F256" s="5">
        <v>0</v>
      </c>
      <c r="G256" s="5">
        <v>28.41</v>
      </c>
      <c r="H256" s="5">
        <f t="shared" si="3"/>
        <v>11.9322</v>
      </c>
    </row>
    <row r="257" spans="1:8" x14ac:dyDescent="0.25">
      <c r="A257" s="4" t="s">
        <v>74</v>
      </c>
      <c r="B257" s="4" t="s">
        <v>316</v>
      </c>
      <c r="C257" s="4" t="s">
        <v>317</v>
      </c>
      <c r="D257" s="5">
        <v>0.42</v>
      </c>
      <c r="E257" s="5">
        <v>16.149999999999999</v>
      </c>
      <c r="F257" s="5">
        <v>0</v>
      </c>
      <c r="G257" s="5">
        <v>16.149999999999999</v>
      </c>
      <c r="H257" s="5">
        <f t="shared" si="3"/>
        <v>6.7829999999999995</v>
      </c>
    </row>
    <row r="258" spans="1:8" x14ac:dyDescent="0.25">
      <c r="A258" s="4" t="s">
        <v>5</v>
      </c>
      <c r="B258" s="4" t="s">
        <v>66</v>
      </c>
      <c r="C258" s="4" t="s">
        <v>67</v>
      </c>
      <c r="D258" s="5">
        <v>0.42</v>
      </c>
      <c r="E258" s="5">
        <v>103.8</v>
      </c>
      <c r="F258" s="5">
        <v>0</v>
      </c>
      <c r="G258" s="5">
        <v>103.8</v>
      </c>
      <c r="H258" s="5">
        <f t="shared" si="3"/>
        <v>43.595999999999997</v>
      </c>
    </row>
    <row r="259" spans="1:8" x14ac:dyDescent="0.25">
      <c r="A259" s="4" t="s">
        <v>462</v>
      </c>
      <c r="B259" s="4" t="s">
        <v>552</v>
      </c>
      <c r="C259" s="4" t="s">
        <v>553</v>
      </c>
      <c r="D259" s="5">
        <v>0.42</v>
      </c>
      <c r="E259" s="5">
        <v>81.2</v>
      </c>
      <c r="F259" s="5">
        <v>0</v>
      </c>
      <c r="G259" s="5">
        <v>81.2</v>
      </c>
      <c r="H259" s="5">
        <f t="shared" si="3"/>
        <v>34.103999999999999</v>
      </c>
    </row>
    <row r="260" spans="1:8" x14ac:dyDescent="0.25">
      <c r="A260" s="4" t="s">
        <v>74</v>
      </c>
      <c r="B260" s="4" t="s">
        <v>318</v>
      </c>
      <c r="C260" s="4" t="s">
        <v>319</v>
      </c>
      <c r="D260" s="5">
        <v>0.42</v>
      </c>
      <c r="E260" s="5">
        <v>50.05</v>
      </c>
      <c r="F260" s="5">
        <v>0</v>
      </c>
      <c r="G260" s="5">
        <v>50.05</v>
      </c>
      <c r="H260" s="5">
        <f t="shared" si="3"/>
        <v>21.020999999999997</v>
      </c>
    </row>
    <row r="261" spans="1:8" x14ac:dyDescent="0.25">
      <c r="A261" s="4" t="s">
        <v>462</v>
      </c>
      <c r="B261" s="4" t="s">
        <v>554</v>
      </c>
      <c r="C261" s="4" t="s">
        <v>555</v>
      </c>
      <c r="D261" s="5">
        <v>0.42</v>
      </c>
      <c r="E261" s="5">
        <v>6.48</v>
      </c>
      <c r="F261" s="5">
        <v>0</v>
      </c>
      <c r="G261" s="5">
        <v>6.48</v>
      </c>
      <c r="H261" s="5">
        <f t="shared" si="3"/>
        <v>2.7216</v>
      </c>
    </row>
    <row r="262" spans="1:8" x14ac:dyDescent="0.25">
      <c r="A262" s="4" t="s">
        <v>74</v>
      </c>
      <c r="B262" s="4" t="s">
        <v>320</v>
      </c>
      <c r="C262" s="4" t="s">
        <v>321</v>
      </c>
      <c r="D262" s="5">
        <v>0.42</v>
      </c>
      <c r="E262" s="5">
        <v>6.03</v>
      </c>
      <c r="F262" s="5">
        <v>0</v>
      </c>
      <c r="G262" s="5">
        <v>6.03</v>
      </c>
      <c r="H262" s="5">
        <f t="shared" si="3"/>
        <v>2.5326</v>
      </c>
    </row>
    <row r="263" spans="1:8" x14ac:dyDescent="0.25">
      <c r="A263" s="4" t="s">
        <v>5</v>
      </c>
      <c r="B263" s="4" t="s">
        <v>68</v>
      </c>
      <c r="C263" s="4" t="s">
        <v>69</v>
      </c>
      <c r="D263" s="5">
        <v>0.42</v>
      </c>
      <c r="E263" s="5">
        <v>48.28</v>
      </c>
      <c r="F263" s="5">
        <v>0</v>
      </c>
      <c r="G263" s="5">
        <v>48.28</v>
      </c>
      <c r="H263" s="5">
        <f t="shared" ref="H263:H307" si="4">SUM(G263*D263)</f>
        <v>20.2776</v>
      </c>
    </row>
    <row r="264" spans="1:8" x14ac:dyDescent="0.25">
      <c r="A264" s="4" t="s">
        <v>566</v>
      </c>
      <c r="B264" s="4" t="s">
        <v>603</v>
      </c>
      <c r="C264" s="4" t="s">
        <v>604</v>
      </c>
      <c r="D264" s="5">
        <v>0.42</v>
      </c>
      <c r="E264" s="5">
        <v>119.37</v>
      </c>
      <c r="F264" s="5">
        <v>0</v>
      </c>
      <c r="G264" s="5">
        <v>119.37</v>
      </c>
      <c r="H264" s="5">
        <f t="shared" si="4"/>
        <v>50.135399999999997</v>
      </c>
    </row>
    <row r="265" spans="1:8" x14ac:dyDescent="0.25">
      <c r="A265" s="4" t="s">
        <v>74</v>
      </c>
      <c r="B265" s="4" t="s">
        <v>322</v>
      </c>
      <c r="C265" s="4" t="s">
        <v>323</v>
      </c>
      <c r="D265" s="5">
        <v>0.42</v>
      </c>
      <c r="E265" s="5">
        <v>79.62</v>
      </c>
      <c r="F265" s="5">
        <v>0</v>
      </c>
      <c r="G265" s="5">
        <v>79.62</v>
      </c>
      <c r="H265" s="5">
        <f t="shared" si="4"/>
        <v>33.440400000000004</v>
      </c>
    </row>
    <row r="266" spans="1:8" x14ac:dyDescent="0.25">
      <c r="A266" s="4" t="s">
        <v>74</v>
      </c>
      <c r="B266" s="4" t="s">
        <v>324</v>
      </c>
      <c r="C266" s="4" t="s">
        <v>325</v>
      </c>
      <c r="D266" s="5">
        <v>0.42</v>
      </c>
      <c r="E266" s="5">
        <v>50.3</v>
      </c>
      <c r="F266" s="5">
        <v>0</v>
      </c>
      <c r="G266" s="5">
        <v>50.3</v>
      </c>
      <c r="H266" s="5">
        <f t="shared" si="4"/>
        <v>21.125999999999998</v>
      </c>
    </row>
    <row r="267" spans="1:8" x14ac:dyDescent="0.25">
      <c r="A267" s="4" t="s">
        <v>366</v>
      </c>
      <c r="B267" s="4" t="s">
        <v>431</v>
      </c>
      <c r="C267" s="4" t="s">
        <v>432</v>
      </c>
      <c r="D267" s="5">
        <v>0.42</v>
      </c>
      <c r="E267" s="5">
        <v>4</v>
      </c>
      <c r="F267" s="5">
        <v>0</v>
      </c>
      <c r="G267" s="5">
        <v>4</v>
      </c>
      <c r="H267" s="5">
        <f t="shared" si="4"/>
        <v>1.68</v>
      </c>
    </row>
    <row r="268" spans="1:8" x14ac:dyDescent="0.25">
      <c r="A268" s="4" t="s">
        <v>74</v>
      </c>
      <c r="B268" s="4" t="s">
        <v>326</v>
      </c>
      <c r="C268" s="4" t="s">
        <v>327</v>
      </c>
      <c r="D268" s="5">
        <v>0.42</v>
      </c>
      <c r="E268" s="5">
        <v>14.06</v>
      </c>
      <c r="F268" s="5">
        <v>0</v>
      </c>
      <c r="G268" s="5">
        <v>14.06</v>
      </c>
      <c r="H268" s="5">
        <f t="shared" si="4"/>
        <v>5.9051999999999998</v>
      </c>
    </row>
    <row r="269" spans="1:8" x14ac:dyDescent="0.25">
      <c r="A269" s="4" t="s">
        <v>74</v>
      </c>
      <c r="B269" s="4" t="s">
        <v>328</v>
      </c>
      <c r="C269" s="4" t="s">
        <v>329</v>
      </c>
      <c r="D269" s="5">
        <v>0.42</v>
      </c>
      <c r="E269" s="5">
        <v>8.08</v>
      </c>
      <c r="F269" s="5">
        <v>0</v>
      </c>
      <c r="G269" s="5">
        <v>8.08</v>
      </c>
      <c r="H269" s="5">
        <f t="shared" si="4"/>
        <v>3.3935999999999997</v>
      </c>
    </row>
    <row r="270" spans="1:8" x14ac:dyDescent="0.25">
      <c r="A270" s="4" t="s">
        <v>74</v>
      </c>
      <c r="B270" s="4" t="s">
        <v>330</v>
      </c>
      <c r="C270" s="4" t="s">
        <v>331</v>
      </c>
      <c r="D270" s="5">
        <v>0.42</v>
      </c>
      <c r="E270" s="5">
        <v>37.369999999999997</v>
      </c>
      <c r="F270" s="5">
        <v>0</v>
      </c>
      <c r="G270" s="5">
        <v>37.369999999999997</v>
      </c>
      <c r="H270" s="5">
        <f t="shared" si="4"/>
        <v>15.695399999999998</v>
      </c>
    </row>
    <row r="271" spans="1:8" x14ac:dyDescent="0.25">
      <c r="A271" s="4" t="s">
        <v>462</v>
      </c>
      <c r="B271" s="4" t="s">
        <v>556</v>
      </c>
      <c r="C271" s="4" t="s">
        <v>557</v>
      </c>
      <c r="D271" s="5">
        <v>0.42</v>
      </c>
      <c r="E271" s="5">
        <v>8</v>
      </c>
      <c r="F271" s="5">
        <v>0</v>
      </c>
      <c r="G271" s="5">
        <v>8</v>
      </c>
      <c r="H271" s="5">
        <f t="shared" si="4"/>
        <v>3.36</v>
      </c>
    </row>
    <row r="272" spans="1:8" x14ac:dyDescent="0.25">
      <c r="A272" s="4" t="s">
        <v>366</v>
      </c>
      <c r="B272" s="4" t="s">
        <v>433</v>
      </c>
      <c r="C272" s="4" t="s">
        <v>434</v>
      </c>
      <c r="D272" s="5">
        <v>0.42</v>
      </c>
      <c r="E272" s="5">
        <v>113.96</v>
      </c>
      <c r="F272" s="5">
        <v>40</v>
      </c>
      <c r="G272" s="5">
        <v>153.96</v>
      </c>
      <c r="H272" s="5">
        <f t="shared" si="4"/>
        <v>64.663200000000003</v>
      </c>
    </row>
    <row r="273" spans="1:8" x14ac:dyDescent="0.25">
      <c r="A273" s="4" t="s">
        <v>74</v>
      </c>
      <c r="B273" s="4" t="s">
        <v>332</v>
      </c>
      <c r="C273" s="4" t="s">
        <v>333</v>
      </c>
      <c r="D273" s="5">
        <v>0.42</v>
      </c>
      <c r="E273" s="5">
        <v>6.01</v>
      </c>
      <c r="F273" s="5">
        <v>0</v>
      </c>
      <c r="G273" s="5">
        <v>6.01</v>
      </c>
      <c r="H273" s="5">
        <f t="shared" si="4"/>
        <v>2.5242</v>
      </c>
    </row>
    <row r="274" spans="1:8" x14ac:dyDescent="0.25">
      <c r="A274" s="4" t="s">
        <v>74</v>
      </c>
      <c r="B274" s="4" t="s">
        <v>334</v>
      </c>
      <c r="C274" s="4" t="s">
        <v>335</v>
      </c>
      <c r="D274" s="5">
        <v>0.42</v>
      </c>
      <c r="E274" s="5">
        <v>88.69</v>
      </c>
      <c r="F274" s="5">
        <v>0</v>
      </c>
      <c r="G274" s="5">
        <v>88.69</v>
      </c>
      <c r="H274" s="5">
        <f t="shared" si="4"/>
        <v>37.2498</v>
      </c>
    </row>
    <row r="275" spans="1:8" x14ac:dyDescent="0.25">
      <c r="A275" s="4" t="s">
        <v>462</v>
      </c>
      <c r="B275" s="4" t="s">
        <v>558</v>
      </c>
      <c r="C275" s="4" t="s">
        <v>559</v>
      </c>
      <c r="D275" s="5">
        <v>0.42</v>
      </c>
      <c r="E275" s="5">
        <v>26.06</v>
      </c>
      <c r="F275" s="5">
        <v>0</v>
      </c>
      <c r="G275" s="5">
        <v>26.06</v>
      </c>
      <c r="H275" s="5">
        <f t="shared" si="4"/>
        <v>10.9452</v>
      </c>
    </row>
    <row r="276" spans="1:8" x14ac:dyDescent="0.25">
      <c r="A276" s="4" t="s">
        <v>566</v>
      </c>
      <c r="B276" s="4" t="s">
        <v>605</v>
      </c>
      <c r="C276" s="4" t="s">
        <v>606</v>
      </c>
      <c r="D276" s="5">
        <v>0.42</v>
      </c>
      <c r="E276" s="5">
        <v>128.08000000000001</v>
      </c>
      <c r="F276" s="5">
        <v>0</v>
      </c>
      <c r="G276" s="5">
        <v>128.08000000000001</v>
      </c>
      <c r="H276" s="5">
        <f t="shared" si="4"/>
        <v>53.793600000000005</v>
      </c>
    </row>
    <row r="277" spans="1:8" x14ac:dyDescent="0.25">
      <c r="A277" s="4" t="s">
        <v>74</v>
      </c>
      <c r="B277" s="4" t="s">
        <v>336</v>
      </c>
      <c r="C277" s="4" t="s">
        <v>337</v>
      </c>
      <c r="D277" s="5">
        <v>0.42</v>
      </c>
      <c r="E277" s="5">
        <v>6.06</v>
      </c>
      <c r="F277" s="5">
        <v>0</v>
      </c>
      <c r="G277" s="5">
        <v>6.06</v>
      </c>
      <c r="H277" s="5">
        <f t="shared" si="4"/>
        <v>2.5451999999999999</v>
      </c>
    </row>
    <row r="278" spans="1:8" x14ac:dyDescent="0.25">
      <c r="A278" s="4" t="s">
        <v>74</v>
      </c>
      <c r="B278" s="4" t="s">
        <v>338</v>
      </c>
      <c r="C278" s="4" t="s">
        <v>339</v>
      </c>
      <c r="D278" s="5">
        <v>0.42</v>
      </c>
      <c r="E278" s="5">
        <v>47.88</v>
      </c>
      <c r="F278" s="5">
        <v>0</v>
      </c>
      <c r="G278" s="5">
        <v>47.88</v>
      </c>
      <c r="H278" s="5">
        <f t="shared" si="4"/>
        <v>20.1096</v>
      </c>
    </row>
    <row r="279" spans="1:8" x14ac:dyDescent="0.25">
      <c r="A279" s="4" t="s">
        <v>74</v>
      </c>
      <c r="B279" s="4" t="s">
        <v>340</v>
      </c>
      <c r="C279" s="4" t="s">
        <v>341</v>
      </c>
      <c r="D279" s="5">
        <v>0.42</v>
      </c>
      <c r="E279" s="5">
        <v>8</v>
      </c>
      <c r="F279" s="5">
        <v>0</v>
      </c>
      <c r="G279" s="5">
        <v>8</v>
      </c>
      <c r="H279" s="5">
        <f t="shared" si="4"/>
        <v>3.36</v>
      </c>
    </row>
    <row r="280" spans="1:8" x14ac:dyDescent="0.25">
      <c r="A280" s="4" t="s">
        <v>74</v>
      </c>
      <c r="B280" s="4" t="s">
        <v>342</v>
      </c>
      <c r="C280" s="4" t="s">
        <v>343</v>
      </c>
      <c r="D280" s="5">
        <v>0.42</v>
      </c>
      <c r="E280" s="5">
        <v>4</v>
      </c>
      <c r="F280" s="5">
        <v>0</v>
      </c>
      <c r="G280" s="5">
        <v>4</v>
      </c>
      <c r="H280" s="5">
        <f t="shared" si="4"/>
        <v>1.68</v>
      </c>
    </row>
    <row r="281" spans="1:8" x14ac:dyDescent="0.25">
      <c r="A281" s="4" t="s">
        <v>566</v>
      </c>
      <c r="B281" s="4" t="s">
        <v>607</v>
      </c>
      <c r="C281" s="4" t="s">
        <v>608</v>
      </c>
      <c r="D281" s="5">
        <v>0.42</v>
      </c>
      <c r="E281" s="5">
        <v>31.96</v>
      </c>
      <c r="F281" s="5">
        <v>0</v>
      </c>
      <c r="G281" s="5">
        <v>31.96</v>
      </c>
      <c r="H281" s="5">
        <f t="shared" si="4"/>
        <v>13.4232</v>
      </c>
    </row>
    <row r="282" spans="1:8" x14ac:dyDescent="0.25">
      <c r="A282" s="4" t="s">
        <v>366</v>
      </c>
      <c r="B282" s="4" t="s">
        <v>435</v>
      </c>
      <c r="C282" s="4" t="s">
        <v>436</v>
      </c>
      <c r="D282" s="5">
        <v>0.42</v>
      </c>
      <c r="E282" s="5">
        <v>112.51</v>
      </c>
      <c r="F282" s="5">
        <v>0</v>
      </c>
      <c r="G282" s="5">
        <v>112.51</v>
      </c>
      <c r="H282" s="5">
        <f t="shared" si="4"/>
        <v>47.254199999999997</v>
      </c>
    </row>
    <row r="283" spans="1:8" x14ac:dyDescent="0.25">
      <c r="A283" s="4" t="s">
        <v>74</v>
      </c>
      <c r="B283" s="4" t="s">
        <v>344</v>
      </c>
      <c r="C283" s="4" t="s">
        <v>345</v>
      </c>
      <c r="D283" s="5">
        <v>0.42</v>
      </c>
      <c r="E283" s="5">
        <v>94.31</v>
      </c>
      <c r="F283" s="5">
        <v>0</v>
      </c>
      <c r="G283" s="5">
        <v>94.31</v>
      </c>
      <c r="H283" s="5">
        <f t="shared" si="4"/>
        <v>39.610199999999999</v>
      </c>
    </row>
    <row r="284" spans="1:8" x14ac:dyDescent="0.25">
      <c r="A284" s="4" t="s">
        <v>366</v>
      </c>
      <c r="B284" s="4" t="s">
        <v>437</v>
      </c>
      <c r="C284" s="4" t="s">
        <v>438</v>
      </c>
      <c r="D284" s="5">
        <v>0.42</v>
      </c>
      <c r="E284" s="5">
        <v>10.84</v>
      </c>
      <c r="F284" s="5">
        <v>0</v>
      </c>
      <c r="G284" s="5">
        <v>10.84</v>
      </c>
      <c r="H284" s="5">
        <f t="shared" si="4"/>
        <v>4.5527999999999995</v>
      </c>
    </row>
    <row r="285" spans="1:8" x14ac:dyDescent="0.25">
      <c r="A285" s="4" t="s">
        <v>5</v>
      </c>
      <c r="B285" s="4" t="s">
        <v>70</v>
      </c>
      <c r="C285" s="4" t="s">
        <v>71</v>
      </c>
      <c r="D285" s="5">
        <v>0.42</v>
      </c>
      <c r="E285" s="5">
        <v>57.16</v>
      </c>
      <c r="F285" s="5">
        <v>0</v>
      </c>
      <c r="G285" s="5">
        <v>57.16</v>
      </c>
      <c r="H285" s="5">
        <f t="shared" si="4"/>
        <v>24.007199999999997</v>
      </c>
    </row>
    <row r="286" spans="1:8" x14ac:dyDescent="0.25">
      <c r="A286" s="4" t="s">
        <v>74</v>
      </c>
      <c r="B286" s="4" t="s">
        <v>346</v>
      </c>
      <c r="C286" s="4" t="s">
        <v>347</v>
      </c>
      <c r="D286" s="5">
        <v>0.42</v>
      </c>
      <c r="E286" s="5">
        <v>40.03</v>
      </c>
      <c r="F286" s="5">
        <v>0</v>
      </c>
      <c r="G286" s="5">
        <v>40.03</v>
      </c>
      <c r="H286" s="5">
        <f t="shared" si="4"/>
        <v>16.8126</v>
      </c>
    </row>
    <row r="287" spans="1:8" x14ac:dyDescent="0.25">
      <c r="A287" s="4" t="s">
        <v>74</v>
      </c>
      <c r="B287" s="4" t="s">
        <v>348</v>
      </c>
      <c r="C287" s="4" t="s">
        <v>349</v>
      </c>
      <c r="D287" s="5">
        <v>0.42</v>
      </c>
      <c r="E287" s="5">
        <v>86.65</v>
      </c>
      <c r="F287" s="5">
        <v>0</v>
      </c>
      <c r="G287" s="5">
        <v>86.65</v>
      </c>
      <c r="H287" s="5">
        <f t="shared" si="4"/>
        <v>36.393000000000001</v>
      </c>
    </row>
    <row r="288" spans="1:8" x14ac:dyDescent="0.25">
      <c r="A288" s="4" t="s">
        <v>366</v>
      </c>
      <c r="B288" s="4" t="s">
        <v>439</v>
      </c>
      <c r="C288" s="4" t="s">
        <v>440</v>
      </c>
      <c r="D288" s="5">
        <v>0.42</v>
      </c>
      <c r="E288" s="5">
        <v>40.01</v>
      </c>
      <c r="F288" s="5">
        <v>0</v>
      </c>
      <c r="G288" s="5">
        <v>40.01</v>
      </c>
      <c r="H288" s="5">
        <f t="shared" si="4"/>
        <v>16.804199999999998</v>
      </c>
    </row>
    <row r="289" spans="1:8" x14ac:dyDescent="0.25">
      <c r="A289" s="4" t="s">
        <v>74</v>
      </c>
      <c r="B289" s="4" t="s">
        <v>350</v>
      </c>
      <c r="C289" s="4" t="s">
        <v>351</v>
      </c>
      <c r="D289" s="5">
        <v>0.42</v>
      </c>
      <c r="E289" s="5">
        <v>80.819999999999993</v>
      </c>
      <c r="F289" s="5">
        <v>40</v>
      </c>
      <c r="G289" s="5">
        <v>120.82</v>
      </c>
      <c r="H289" s="5">
        <f t="shared" si="4"/>
        <v>50.744399999999992</v>
      </c>
    </row>
    <row r="290" spans="1:8" x14ac:dyDescent="0.25">
      <c r="A290" s="4" t="s">
        <v>366</v>
      </c>
      <c r="B290" s="4" t="s">
        <v>441</v>
      </c>
      <c r="C290" s="4" t="s">
        <v>442</v>
      </c>
      <c r="D290" s="5">
        <v>0.42</v>
      </c>
      <c r="E290" s="5">
        <v>5.94</v>
      </c>
      <c r="F290" s="5">
        <v>0</v>
      </c>
      <c r="G290" s="5">
        <v>5.94</v>
      </c>
      <c r="H290" s="5">
        <f t="shared" si="4"/>
        <v>2.4948000000000001</v>
      </c>
    </row>
    <row r="291" spans="1:8" x14ac:dyDescent="0.25">
      <c r="A291" s="4" t="s">
        <v>5</v>
      </c>
      <c r="B291" s="4" t="s">
        <v>72</v>
      </c>
      <c r="C291" s="4" t="s">
        <v>73</v>
      </c>
      <c r="D291" s="5">
        <v>0.42</v>
      </c>
      <c r="E291" s="5">
        <v>8.0299999999999994</v>
      </c>
      <c r="F291" s="5">
        <v>0</v>
      </c>
      <c r="G291" s="5">
        <v>8.0299999999999994</v>
      </c>
      <c r="H291" s="5">
        <f t="shared" si="4"/>
        <v>3.3725999999999998</v>
      </c>
    </row>
    <row r="292" spans="1:8" x14ac:dyDescent="0.25">
      <c r="A292" s="4" t="s">
        <v>366</v>
      </c>
      <c r="B292" s="4" t="s">
        <v>443</v>
      </c>
      <c r="C292" s="4" t="s">
        <v>444</v>
      </c>
      <c r="D292" s="5">
        <v>0.42</v>
      </c>
      <c r="E292" s="5">
        <v>72.180000000000007</v>
      </c>
      <c r="F292" s="5">
        <v>0</v>
      </c>
      <c r="G292" s="5">
        <v>72.180000000000007</v>
      </c>
      <c r="H292" s="5">
        <f t="shared" si="4"/>
        <v>30.315600000000003</v>
      </c>
    </row>
    <row r="293" spans="1:8" x14ac:dyDescent="0.25">
      <c r="A293" s="4" t="s">
        <v>74</v>
      </c>
      <c r="B293" s="4" t="s">
        <v>352</v>
      </c>
      <c r="C293" s="4" t="s">
        <v>353</v>
      </c>
      <c r="D293" s="5">
        <v>0.42</v>
      </c>
      <c r="E293" s="5">
        <v>99.01</v>
      </c>
      <c r="F293" s="5">
        <v>0</v>
      </c>
      <c r="G293" s="5">
        <v>99.01</v>
      </c>
      <c r="H293" s="5">
        <f t="shared" si="4"/>
        <v>41.584200000000003</v>
      </c>
    </row>
    <row r="294" spans="1:8" x14ac:dyDescent="0.25">
      <c r="A294" s="4" t="s">
        <v>366</v>
      </c>
      <c r="B294" s="4" t="s">
        <v>445</v>
      </c>
      <c r="C294" s="4" t="s">
        <v>446</v>
      </c>
      <c r="D294" s="5">
        <v>0.42</v>
      </c>
      <c r="E294" s="5">
        <v>21.67</v>
      </c>
      <c r="F294" s="5">
        <v>0</v>
      </c>
      <c r="G294" s="5">
        <v>21.67</v>
      </c>
      <c r="H294" s="5">
        <f t="shared" si="4"/>
        <v>9.1013999999999999</v>
      </c>
    </row>
    <row r="295" spans="1:8" x14ac:dyDescent="0.25">
      <c r="A295" s="4" t="s">
        <v>366</v>
      </c>
      <c r="B295" s="4" t="s">
        <v>447</v>
      </c>
      <c r="C295" s="4" t="s">
        <v>448</v>
      </c>
      <c r="D295" s="5">
        <v>0.42</v>
      </c>
      <c r="E295" s="5">
        <v>32.29</v>
      </c>
      <c r="F295" s="5">
        <v>0</v>
      </c>
      <c r="G295" s="5">
        <v>32.29</v>
      </c>
      <c r="H295" s="5">
        <f t="shared" si="4"/>
        <v>13.5618</v>
      </c>
    </row>
    <row r="296" spans="1:8" x14ac:dyDescent="0.25">
      <c r="A296" s="4" t="s">
        <v>366</v>
      </c>
      <c r="B296" s="4" t="s">
        <v>449</v>
      </c>
      <c r="C296" s="4" t="s">
        <v>450</v>
      </c>
      <c r="D296" s="5">
        <v>0.42</v>
      </c>
      <c r="E296" s="5">
        <v>5.9</v>
      </c>
      <c r="F296" s="5">
        <v>0</v>
      </c>
      <c r="G296" s="5">
        <v>5.9</v>
      </c>
      <c r="H296" s="5">
        <f t="shared" si="4"/>
        <v>2.4780000000000002</v>
      </c>
    </row>
    <row r="297" spans="1:8" x14ac:dyDescent="0.25">
      <c r="A297" s="4" t="s">
        <v>462</v>
      </c>
      <c r="B297" s="4" t="s">
        <v>560</v>
      </c>
      <c r="C297" s="4" t="s">
        <v>561</v>
      </c>
      <c r="D297" s="5">
        <v>0.42</v>
      </c>
      <c r="E297" s="5">
        <v>35.770000000000003</v>
      </c>
      <c r="F297" s="5">
        <v>0</v>
      </c>
      <c r="G297" s="5">
        <v>35.770000000000003</v>
      </c>
      <c r="H297" s="5">
        <f t="shared" si="4"/>
        <v>15.023400000000001</v>
      </c>
    </row>
    <row r="298" spans="1:8" x14ac:dyDescent="0.25">
      <c r="A298" s="4" t="s">
        <v>74</v>
      </c>
      <c r="B298" s="4" t="s">
        <v>354</v>
      </c>
      <c r="C298" s="4" t="s">
        <v>355</v>
      </c>
      <c r="D298" s="5">
        <v>0.42</v>
      </c>
      <c r="E298" s="5">
        <v>11.51</v>
      </c>
      <c r="F298" s="5">
        <v>0</v>
      </c>
      <c r="G298" s="5">
        <v>11.51</v>
      </c>
      <c r="H298" s="5">
        <f t="shared" si="4"/>
        <v>4.8342000000000001</v>
      </c>
    </row>
    <row r="299" spans="1:8" x14ac:dyDescent="0.25">
      <c r="A299" s="4" t="s">
        <v>74</v>
      </c>
      <c r="B299" s="4" t="s">
        <v>356</v>
      </c>
      <c r="C299" s="4" t="s">
        <v>357</v>
      </c>
      <c r="D299" s="5">
        <v>0.42</v>
      </c>
      <c r="E299" s="5">
        <v>4.0599999999999996</v>
      </c>
      <c r="F299" s="5">
        <v>0</v>
      </c>
      <c r="G299" s="5">
        <v>4.0599999999999996</v>
      </c>
      <c r="H299" s="5">
        <f t="shared" si="4"/>
        <v>1.7051999999999998</v>
      </c>
    </row>
    <row r="300" spans="1:8" x14ac:dyDescent="0.25">
      <c r="A300" s="4" t="s">
        <v>366</v>
      </c>
      <c r="B300" s="4" t="s">
        <v>451</v>
      </c>
      <c r="C300" s="4" t="s">
        <v>452</v>
      </c>
      <c r="D300" s="5">
        <v>0.42</v>
      </c>
      <c r="E300" s="5">
        <v>15.48</v>
      </c>
      <c r="F300" s="5">
        <v>0</v>
      </c>
      <c r="G300" s="5">
        <v>15.48</v>
      </c>
      <c r="H300" s="5">
        <f t="shared" si="4"/>
        <v>6.5015999999999998</v>
      </c>
    </row>
    <row r="301" spans="1:8" x14ac:dyDescent="0.25">
      <c r="A301" s="4" t="s">
        <v>462</v>
      </c>
      <c r="B301" s="4" t="s">
        <v>562</v>
      </c>
      <c r="C301" s="4" t="s">
        <v>563</v>
      </c>
      <c r="D301" s="5">
        <v>0.42</v>
      </c>
      <c r="E301" s="5">
        <v>40.51</v>
      </c>
      <c r="F301" s="5">
        <v>0</v>
      </c>
      <c r="G301" s="5">
        <v>40.51</v>
      </c>
      <c r="H301" s="5">
        <f t="shared" si="4"/>
        <v>17.014199999999999</v>
      </c>
    </row>
    <row r="302" spans="1:8" x14ac:dyDescent="0.25">
      <c r="A302" s="4" t="s">
        <v>74</v>
      </c>
      <c r="B302" s="4" t="s">
        <v>358</v>
      </c>
      <c r="C302" s="4" t="s">
        <v>359</v>
      </c>
      <c r="D302" s="5">
        <v>0.42</v>
      </c>
      <c r="E302" s="5">
        <v>77.25</v>
      </c>
      <c r="F302" s="5">
        <v>0</v>
      </c>
      <c r="G302" s="5">
        <v>77.25</v>
      </c>
      <c r="H302" s="5">
        <f t="shared" si="4"/>
        <v>32.445</v>
      </c>
    </row>
    <row r="303" spans="1:8" x14ac:dyDescent="0.25">
      <c r="A303" s="4" t="s">
        <v>462</v>
      </c>
      <c r="B303" s="4" t="s">
        <v>564</v>
      </c>
      <c r="C303" s="4" t="s">
        <v>565</v>
      </c>
      <c r="D303" s="5">
        <v>0.42</v>
      </c>
      <c r="E303" s="5">
        <v>36.14</v>
      </c>
      <c r="F303" s="5">
        <v>0</v>
      </c>
      <c r="G303" s="5">
        <v>36.14</v>
      </c>
      <c r="H303" s="5">
        <f t="shared" si="4"/>
        <v>15.178799999999999</v>
      </c>
    </row>
    <row r="304" spans="1:8" x14ac:dyDescent="0.25">
      <c r="A304" s="4" t="s">
        <v>74</v>
      </c>
      <c r="B304" s="4" t="s">
        <v>360</v>
      </c>
      <c r="C304" s="4" t="s">
        <v>361</v>
      </c>
      <c r="D304" s="5">
        <v>0.42</v>
      </c>
      <c r="E304" s="5">
        <v>6</v>
      </c>
      <c r="F304" s="5">
        <v>0</v>
      </c>
      <c r="G304" s="5">
        <v>6</v>
      </c>
      <c r="H304" s="5">
        <f t="shared" si="4"/>
        <v>2.52</v>
      </c>
    </row>
    <row r="305" spans="1:8" x14ac:dyDescent="0.25">
      <c r="A305" s="4" t="s">
        <v>74</v>
      </c>
      <c r="B305" s="4" t="s">
        <v>362</v>
      </c>
      <c r="C305" s="4" t="s">
        <v>363</v>
      </c>
      <c r="D305" s="5">
        <v>0.42</v>
      </c>
      <c r="E305" s="5">
        <v>8.01</v>
      </c>
      <c r="F305" s="5">
        <v>0</v>
      </c>
      <c r="G305" s="5">
        <v>8.01</v>
      </c>
      <c r="H305" s="5">
        <f t="shared" si="4"/>
        <v>3.3641999999999999</v>
      </c>
    </row>
    <row r="306" spans="1:8" x14ac:dyDescent="0.25">
      <c r="A306" s="4" t="s">
        <v>566</v>
      </c>
      <c r="B306" s="4" t="s">
        <v>609</v>
      </c>
      <c r="C306" s="4" t="s">
        <v>610</v>
      </c>
      <c r="D306" s="5">
        <v>0.42</v>
      </c>
      <c r="E306" s="5">
        <v>40.159999999999997</v>
      </c>
      <c r="F306" s="5">
        <v>0</v>
      </c>
      <c r="G306" s="5">
        <v>40.159999999999997</v>
      </c>
      <c r="H306" s="5">
        <f t="shared" si="4"/>
        <v>16.867199999999997</v>
      </c>
    </row>
    <row r="307" spans="1:8" x14ac:dyDescent="0.25">
      <c r="A307" s="4" t="s">
        <v>74</v>
      </c>
      <c r="B307" s="4" t="s">
        <v>364</v>
      </c>
      <c r="C307" s="4" t="s">
        <v>365</v>
      </c>
      <c r="D307" s="5">
        <v>0.42</v>
      </c>
      <c r="E307" s="5">
        <v>29.93</v>
      </c>
      <c r="F307" s="5">
        <v>0</v>
      </c>
      <c r="G307" s="5">
        <v>29.93</v>
      </c>
      <c r="H307" s="5">
        <f t="shared" si="4"/>
        <v>12.570599999999999</v>
      </c>
    </row>
    <row r="308" spans="1:8" x14ac:dyDescent="0.25">
      <c r="E308" s="1">
        <f>SUM(E6:E307)</f>
        <v>11832.110000000004</v>
      </c>
      <c r="F308" s="1">
        <f>SUM(F6:F307)</f>
        <v>1595.1</v>
      </c>
      <c r="G308" s="1">
        <f>SUM(G6:G307)</f>
        <v>13427.210000000005</v>
      </c>
      <c r="H308" s="1">
        <f>SUM(H6:H307)</f>
        <v>5639.4281999999994</v>
      </c>
    </row>
  </sheetData>
  <sortState xmlns:xlrd2="http://schemas.microsoft.com/office/spreadsheetml/2017/richdata2" ref="A6:G307">
    <sortCondition ref="B6:B307"/>
  </sortState>
  <pageMargins left="0.4" right="0.4" top="0.75" bottom="0.75" header="0.3" footer="0.3"/>
  <pageSetup orientation="portrait" r:id="rId1"/>
  <headerFooter>
    <oddFooter>&amp;C&amp;P</oddFooter>
  </headerFooter>
</worksheet>
</file>

<file path=docMetadata/LabelInfo.xml><?xml version="1.0" encoding="utf-8"?>
<clbl:labelList xmlns:clbl="http://schemas.microsoft.com/office/2020/mipLabelMetadata">
  <clbl:label id="{b1519f0f-2dbf-4e21-bf34-a686ce97588a}" enabled="0" method="" siteId="{b1519f0f-2dbf-4e21-bf34-a686ce97588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H&amp;W DEC 2025</vt:lpstr>
      <vt:lpstr>'H&amp;W DEC 2025'!Print_Titles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Gil, Gilda</dc:creator>
  <cp:lastModifiedBy>Gil, Gilda</cp:lastModifiedBy>
  <cp:lastPrinted>2026-01-08T23:12:46Z</cp:lastPrinted>
  <dcterms:created xsi:type="dcterms:W3CDTF">2026-01-08T23:05:41Z</dcterms:created>
  <dcterms:modified xsi:type="dcterms:W3CDTF">2026-01-09T01:21:19Z</dcterms:modified>
</cp:coreProperties>
</file>