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lcala\Legends Hospitality Dropbox\Los Angeles Football Club\LAFC Finance Share\Payroll\FY25\UNION\P12\"/>
    </mc:Choice>
  </mc:AlternateContent>
  <xr:revisionPtr revIDLastSave="0" documentId="13_ncr:1_{BC829860-5BF3-46E6-B902-F771FBA73E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l Recap Hours" sheetId="5" r:id="rId1"/>
    <sheet name="Data" sheetId="8" r:id="rId2"/>
    <sheet name="term" sheetId="18" r:id="rId3"/>
    <sheet name="11.27.22" sheetId="9" state="hidden" r:id="rId4"/>
    <sheet name="12.04.22" sheetId="10" state="hidden" r:id="rId5"/>
    <sheet name="12.08.22" sheetId="13" state="hidden" r:id="rId6"/>
    <sheet name="12.11.22" sheetId="14" state="hidden" r:id="rId7"/>
    <sheet name="12.17.22" sheetId="15" state="hidden" r:id="rId8"/>
    <sheet name="12.18.22" sheetId="16" state="hidden" r:id="rId9"/>
    <sheet name="12.25.22" sheetId="17" state="hidden" r:id="rId10"/>
    <sheet name="Terminated" sheetId="4" state="hidden" r:id="rId11"/>
    <sheet name="New Hire" sheetId="7" state="hidden" r:id="rId12"/>
  </sheets>
  <definedNames>
    <definedName name="_xlnm._FilterDatabase" localSheetId="1" hidden="1">Data!$A$5:$BP$2738</definedName>
    <definedName name="_xlnm._FilterDatabase" localSheetId="0" hidden="1">'Total Recap Hours'!$B$3:$M$432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5" l="1"/>
  <c r="L5" i="5" s="1"/>
  <c r="K6" i="5"/>
  <c r="L6" i="5" s="1"/>
  <c r="K7" i="5"/>
  <c r="L7" i="5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L16" i="5" s="1"/>
  <c r="K17" i="5"/>
  <c r="L17" i="5" s="1"/>
  <c r="K18" i="5"/>
  <c r="L18" i="5" s="1"/>
  <c r="K19" i="5"/>
  <c r="L19" i="5" s="1"/>
  <c r="K20" i="5"/>
  <c r="L20" i="5" s="1"/>
  <c r="K21" i="5"/>
  <c r="L21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 s="1"/>
  <c r="K36" i="5"/>
  <c r="L36" i="5" s="1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 s="1"/>
  <c r="K72" i="5"/>
  <c r="L72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 s="1"/>
  <c r="K81" i="5"/>
  <c r="L81" i="5" s="1"/>
  <c r="K82" i="5"/>
  <c r="L82" i="5" s="1"/>
  <c r="K83" i="5"/>
  <c r="L83" i="5" s="1"/>
  <c r="K84" i="5"/>
  <c r="L84" i="5" s="1"/>
  <c r="K85" i="5"/>
  <c r="L85" i="5" s="1"/>
  <c r="K86" i="5"/>
  <c r="L86" i="5" s="1"/>
  <c r="K87" i="5"/>
  <c r="L87" i="5" s="1"/>
  <c r="K88" i="5"/>
  <c r="L88" i="5" s="1"/>
  <c r="K89" i="5"/>
  <c r="L89" i="5" s="1"/>
  <c r="K90" i="5"/>
  <c r="L90" i="5" s="1"/>
  <c r="K91" i="5"/>
  <c r="L91" i="5" s="1"/>
  <c r="K92" i="5"/>
  <c r="L92" i="5" s="1"/>
  <c r="K93" i="5"/>
  <c r="L93" i="5" s="1"/>
  <c r="K94" i="5"/>
  <c r="L94" i="5" s="1"/>
  <c r="K95" i="5"/>
  <c r="L95" i="5" s="1"/>
  <c r="K96" i="5"/>
  <c r="L96" i="5" s="1"/>
  <c r="K97" i="5"/>
  <c r="L97" i="5" s="1"/>
  <c r="K98" i="5"/>
  <c r="L98" i="5" s="1"/>
  <c r="K99" i="5"/>
  <c r="L99" i="5" s="1"/>
  <c r="K100" i="5"/>
  <c r="L100" i="5" s="1"/>
  <c r="K101" i="5"/>
  <c r="L101" i="5" s="1"/>
  <c r="K102" i="5"/>
  <c r="L102" i="5" s="1"/>
  <c r="K103" i="5"/>
  <c r="L103" i="5" s="1"/>
  <c r="K104" i="5"/>
  <c r="L104" i="5" s="1"/>
  <c r="K105" i="5"/>
  <c r="L105" i="5" s="1"/>
  <c r="K106" i="5"/>
  <c r="L106" i="5" s="1"/>
  <c r="K107" i="5"/>
  <c r="L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 s="1"/>
  <c r="K117" i="5"/>
  <c r="L117" i="5" s="1"/>
  <c r="K118" i="5"/>
  <c r="L118" i="5" s="1"/>
  <c r="K119" i="5"/>
  <c r="L119" i="5" s="1"/>
  <c r="K120" i="5"/>
  <c r="L120" i="5" s="1"/>
  <c r="K121" i="5"/>
  <c r="L121" i="5" s="1"/>
  <c r="K122" i="5"/>
  <c r="L122" i="5" s="1"/>
  <c r="K123" i="5"/>
  <c r="L123" i="5" s="1"/>
  <c r="K124" i="5"/>
  <c r="L124" i="5" s="1"/>
  <c r="K125" i="5"/>
  <c r="L125" i="5" s="1"/>
  <c r="K126" i="5"/>
  <c r="L126" i="5" s="1"/>
  <c r="K127" i="5"/>
  <c r="L127" i="5" s="1"/>
  <c r="K128" i="5"/>
  <c r="L128" i="5" s="1"/>
  <c r="K129" i="5"/>
  <c r="L129" i="5" s="1"/>
  <c r="K130" i="5"/>
  <c r="L130" i="5" s="1"/>
  <c r="K131" i="5"/>
  <c r="L131" i="5" s="1"/>
  <c r="K132" i="5"/>
  <c r="L132" i="5" s="1"/>
  <c r="K133" i="5"/>
  <c r="L133" i="5" s="1"/>
  <c r="K134" i="5"/>
  <c r="L134" i="5" s="1"/>
  <c r="K135" i="5"/>
  <c r="L135" i="5" s="1"/>
  <c r="K136" i="5"/>
  <c r="L136" i="5" s="1"/>
  <c r="K137" i="5"/>
  <c r="L137" i="5" s="1"/>
  <c r="K138" i="5"/>
  <c r="L138" i="5" s="1"/>
  <c r="K139" i="5"/>
  <c r="L139" i="5" s="1"/>
  <c r="K140" i="5"/>
  <c r="L140" i="5" s="1"/>
  <c r="K141" i="5"/>
  <c r="L141" i="5" s="1"/>
  <c r="K142" i="5"/>
  <c r="L142" i="5" s="1"/>
  <c r="K143" i="5"/>
  <c r="L143" i="5" s="1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51" i="5"/>
  <c r="L151" i="5" s="1"/>
  <c r="K152" i="5"/>
  <c r="L152" i="5" s="1"/>
  <c r="K153" i="5"/>
  <c r="L153" i="5" s="1"/>
  <c r="K154" i="5"/>
  <c r="L154" i="5" s="1"/>
  <c r="K155" i="5"/>
  <c r="L155" i="5" s="1"/>
  <c r="K156" i="5"/>
  <c r="L156" i="5" s="1"/>
  <c r="K157" i="5"/>
  <c r="L157" i="5" s="1"/>
  <c r="K158" i="5"/>
  <c r="L158" i="5" s="1"/>
  <c r="K159" i="5"/>
  <c r="L159" i="5" s="1"/>
  <c r="K160" i="5"/>
  <c r="L160" i="5" s="1"/>
  <c r="K161" i="5"/>
  <c r="L161" i="5" s="1"/>
  <c r="K162" i="5"/>
  <c r="L162" i="5" s="1"/>
  <c r="K163" i="5"/>
  <c r="L163" i="5" s="1"/>
  <c r="K164" i="5"/>
  <c r="L164" i="5" s="1"/>
  <c r="K165" i="5"/>
  <c r="L165" i="5" s="1"/>
  <c r="K166" i="5"/>
  <c r="L166" i="5" s="1"/>
  <c r="K167" i="5"/>
  <c r="L167" i="5" s="1"/>
  <c r="K168" i="5"/>
  <c r="L168" i="5" s="1"/>
  <c r="K169" i="5"/>
  <c r="L169" i="5" s="1"/>
  <c r="K170" i="5"/>
  <c r="L170" i="5" s="1"/>
  <c r="K171" i="5"/>
  <c r="L171" i="5" s="1"/>
  <c r="K172" i="5"/>
  <c r="L172" i="5" s="1"/>
  <c r="K173" i="5"/>
  <c r="L173" i="5" s="1"/>
  <c r="K174" i="5"/>
  <c r="L174" i="5" s="1"/>
  <c r="K175" i="5"/>
  <c r="L175" i="5" s="1"/>
  <c r="K176" i="5"/>
  <c r="L176" i="5" s="1"/>
  <c r="K177" i="5"/>
  <c r="L177" i="5" s="1"/>
  <c r="K178" i="5"/>
  <c r="L178" i="5" s="1"/>
  <c r="K179" i="5"/>
  <c r="L179" i="5" s="1"/>
  <c r="K180" i="5"/>
  <c r="L180" i="5" s="1"/>
  <c r="K181" i="5"/>
  <c r="L181" i="5" s="1"/>
  <c r="K182" i="5"/>
  <c r="L182" i="5" s="1"/>
  <c r="K183" i="5"/>
  <c r="L183" i="5" s="1"/>
  <c r="K184" i="5"/>
  <c r="L184" i="5" s="1"/>
  <c r="K185" i="5"/>
  <c r="L185" i="5" s="1"/>
  <c r="K186" i="5"/>
  <c r="L186" i="5" s="1"/>
  <c r="K187" i="5"/>
  <c r="L187" i="5" s="1"/>
  <c r="K188" i="5"/>
  <c r="L188" i="5" s="1"/>
  <c r="K189" i="5"/>
  <c r="L189" i="5" s="1"/>
  <c r="K190" i="5"/>
  <c r="L190" i="5" s="1"/>
  <c r="K191" i="5"/>
  <c r="L191" i="5" s="1"/>
  <c r="K192" i="5"/>
  <c r="L192" i="5" s="1"/>
  <c r="K193" i="5"/>
  <c r="L193" i="5" s="1"/>
  <c r="K194" i="5"/>
  <c r="L194" i="5" s="1"/>
  <c r="K195" i="5"/>
  <c r="L195" i="5" s="1"/>
  <c r="K196" i="5"/>
  <c r="L196" i="5" s="1"/>
  <c r="K197" i="5"/>
  <c r="L197" i="5" s="1"/>
  <c r="K198" i="5"/>
  <c r="L198" i="5" s="1"/>
  <c r="K199" i="5"/>
  <c r="L199" i="5" s="1"/>
  <c r="K200" i="5"/>
  <c r="L200" i="5" s="1"/>
  <c r="K201" i="5"/>
  <c r="L201" i="5" s="1"/>
  <c r="K202" i="5"/>
  <c r="L202" i="5" s="1"/>
  <c r="K203" i="5"/>
  <c r="L203" i="5" s="1"/>
  <c r="K204" i="5"/>
  <c r="L204" i="5" s="1"/>
  <c r="K205" i="5"/>
  <c r="L205" i="5" s="1"/>
  <c r="K206" i="5"/>
  <c r="L206" i="5" s="1"/>
  <c r="K207" i="5"/>
  <c r="L207" i="5" s="1"/>
  <c r="K208" i="5"/>
  <c r="L208" i="5" s="1"/>
  <c r="K209" i="5"/>
  <c r="L209" i="5" s="1"/>
  <c r="K210" i="5"/>
  <c r="L210" i="5" s="1"/>
  <c r="K211" i="5"/>
  <c r="L211" i="5" s="1"/>
  <c r="K212" i="5"/>
  <c r="L212" i="5" s="1"/>
  <c r="K213" i="5"/>
  <c r="L213" i="5" s="1"/>
  <c r="K214" i="5"/>
  <c r="L214" i="5" s="1"/>
  <c r="K215" i="5"/>
  <c r="L215" i="5" s="1"/>
  <c r="K216" i="5"/>
  <c r="L216" i="5" s="1"/>
  <c r="K217" i="5"/>
  <c r="L217" i="5" s="1"/>
  <c r="K218" i="5"/>
  <c r="L218" i="5" s="1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25" i="5"/>
  <c r="L225" i="5" s="1"/>
  <c r="K226" i="5"/>
  <c r="L226" i="5" s="1"/>
  <c r="K227" i="5"/>
  <c r="L227" i="5" s="1"/>
  <c r="K228" i="5"/>
  <c r="L228" i="5" s="1"/>
  <c r="K229" i="5"/>
  <c r="L229" i="5" s="1"/>
  <c r="K230" i="5"/>
  <c r="L230" i="5" s="1"/>
  <c r="K231" i="5"/>
  <c r="L231" i="5" s="1"/>
  <c r="K232" i="5"/>
  <c r="L232" i="5" s="1"/>
  <c r="K233" i="5"/>
  <c r="L233" i="5" s="1"/>
  <c r="K234" i="5"/>
  <c r="L234" i="5" s="1"/>
  <c r="K235" i="5"/>
  <c r="L235" i="5" s="1"/>
  <c r="K236" i="5"/>
  <c r="L236" i="5" s="1"/>
  <c r="K237" i="5"/>
  <c r="L237" i="5" s="1"/>
  <c r="K238" i="5"/>
  <c r="L238" i="5" s="1"/>
  <c r="K239" i="5"/>
  <c r="L239" i="5" s="1"/>
  <c r="K240" i="5"/>
  <c r="L240" i="5" s="1"/>
  <c r="K241" i="5"/>
  <c r="L241" i="5" s="1"/>
  <c r="K242" i="5"/>
  <c r="L242" i="5" s="1"/>
  <c r="K243" i="5"/>
  <c r="L243" i="5" s="1"/>
  <c r="K244" i="5"/>
  <c r="L244" i="5" s="1"/>
  <c r="K245" i="5"/>
  <c r="L245" i="5" s="1"/>
  <c r="K246" i="5"/>
  <c r="L246" i="5" s="1"/>
  <c r="K247" i="5"/>
  <c r="L247" i="5" s="1"/>
  <c r="K248" i="5"/>
  <c r="L248" i="5" s="1"/>
  <c r="K249" i="5"/>
  <c r="L249" i="5" s="1"/>
  <c r="K250" i="5"/>
  <c r="L250" i="5" s="1"/>
  <c r="K251" i="5"/>
  <c r="L251" i="5" s="1"/>
  <c r="K252" i="5"/>
  <c r="L252" i="5" s="1"/>
  <c r="K253" i="5"/>
  <c r="L253" i="5" s="1"/>
  <c r="K254" i="5"/>
  <c r="L254" i="5" s="1"/>
  <c r="K255" i="5"/>
  <c r="L255" i="5" s="1"/>
  <c r="K256" i="5"/>
  <c r="L256" i="5" s="1"/>
  <c r="K257" i="5"/>
  <c r="L257" i="5" s="1"/>
  <c r="K258" i="5"/>
  <c r="L258" i="5" s="1"/>
  <c r="K259" i="5"/>
  <c r="L259" i="5" s="1"/>
  <c r="K260" i="5"/>
  <c r="L260" i="5" s="1"/>
  <c r="K261" i="5"/>
  <c r="L261" i="5" s="1"/>
  <c r="K262" i="5"/>
  <c r="L262" i="5" s="1"/>
  <c r="K263" i="5"/>
  <c r="L263" i="5" s="1"/>
  <c r="K264" i="5"/>
  <c r="L264" i="5" s="1"/>
  <c r="K265" i="5"/>
  <c r="L265" i="5" s="1"/>
  <c r="K266" i="5"/>
  <c r="L266" i="5" s="1"/>
  <c r="K267" i="5"/>
  <c r="L267" i="5" s="1"/>
  <c r="K268" i="5"/>
  <c r="L268" i="5" s="1"/>
  <c r="K269" i="5"/>
  <c r="L269" i="5" s="1"/>
  <c r="K270" i="5"/>
  <c r="L270" i="5" s="1"/>
  <c r="K271" i="5"/>
  <c r="L271" i="5" s="1"/>
  <c r="K272" i="5"/>
  <c r="L272" i="5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K279" i="5"/>
  <c r="L279" i="5" s="1"/>
  <c r="K280" i="5"/>
  <c r="L280" i="5" s="1"/>
  <c r="K281" i="5"/>
  <c r="L281" i="5" s="1"/>
  <c r="K282" i="5"/>
  <c r="L282" i="5" s="1"/>
  <c r="K283" i="5"/>
  <c r="L283" i="5" s="1"/>
  <c r="K284" i="5"/>
  <c r="L284" i="5" s="1"/>
  <c r="K285" i="5"/>
  <c r="L285" i="5" s="1"/>
  <c r="K286" i="5"/>
  <c r="L286" i="5" s="1"/>
  <c r="K287" i="5"/>
  <c r="L287" i="5" s="1"/>
  <c r="K288" i="5"/>
  <c r="L288" i="5" s="1"/>
  <c r="K289" i="5"/>
  <c r="L289" i="5" s="1"/>
  <c r="K290" i="5"/>
  <c r="L290" i="5" s="1"/>
  <c r="K291" i="5"/>
  <c r="L291" i="5" s="1"/>
  <c r="K292" i="5"/>
  <c r="L292" i="5" s="1"/>
  <c r="K293" i="5"/>
  <c r="L293" i="5" s="1"/>
  <c r="K294" i="5"/>
  <c r="L294" i="5" s="1"/>
  <c r="K295" i="5"/>
  <c r="L295" i="5" s="1"/>
  <c r="K296" i="5"/>
  <c r="L296" i="5" s="1"/>
  <c r="K297" i="5"/>
  <c r="L297" i="5" s="1"/>
  <c r="K298" i="5"/>
  <c r="L298" i="5" s="1"/>
  <c r="K299" i="5"/>
  <c r="L299" i="5" s="1"/>
  <c r="K300" i="5"/>
  <c r="L300" i="5" s="1"/>
  <c r="K301" i="5"/>
  <c r="L301" i="5" s="1"/>
  <c r="K302" i="5"/>
  <c r="L302" i="5" s="1"/>
  <c r="K303" i="5"/>
  <c r="L303" i="5" s="1"/>
  <c r="K304" i="5"/>
  <c r="L304" i="5" s="1"/>
  <c r="K305" i="5"/>
  <c r="L305" i="5" s="1"/>
  <c r="K306" i="5"/>
  <c r="L306" i="5" s="1"/>
  <c r="K307" i="5"/>
  <c r="L307" i="5" s="1"/>
  <c r="K308" i="5"/>
  <c r="L308" i="5" s="1"/>
  <c r="K309" i="5"/>
  <c r="L309" i="5" s="1"/>
  <c r="K310" i="5"/>
  <c r="L310" i="5" s="1"/>
  <c r="K311" i="5"/>
  <c r="L311" i="5" s="1"/>
  <c r="K312" i="5"/>
  <c r="L312" i="5" s="1"/>
  <c r="K313" i="5"/>
  <c r="L313" i="5" s="1"/>
  <c r="K314" i="5"/>
  <c r="L314" i="5" s="1"/>
  <c r="K315" i="5"/>
  <c r="L315" i="5" s="1"/>
  <c r="K316" i="5"/>
  <c r="L316" i="5" s="1"/>
  <c r="K317" i="5"/>
  <c r="L317" i="5" s="1"/>
  <c r="K318" i="5"/>
  <c r="L318" i="5" s="1"/>
  <c r="K319" i="5"/>
  <c r="L319" i="5" s="1"/>
  <c r="K320" i="5"/>
  <c r="L320" i="5" s="1"/>
  <c r="K321" i="5"/>
  <c r="L321" i="5" s="1"/>
  <c r="K322" i="5"/>
  <c r="L322" i="5" s="1"/>
  <c r="K323" i="5"/>
  <c r="L323" i="5" s="1"/>
  <c r="K324" i="5"/>
  <c r="L324" i="5" s="1"/>
  <c r="K325" i="5"/>
  <c r="L325" i="5" s="1"/>
  <c r="K326" i="5"/>
  <c r="L326" i="5" s="1"/>
  <c r="K327" i="5"/>
  <c r="L327" i="5" s="1"/>
  <c r="K328" i="5"/>
  <c r="L328" i="5" s="1"/>
  <c r="K329" i="5"/>
  <c r="L329" i="5" s="1"/>
  <c r="K330" i="5"/>
  <c r="L330" i="5" s="1"/>
  <c r="K331" i="5"/>
  <c r="L331" i="5" s="1"/>
  <c r="K332" i="5"/>
  <c r="L332" i="5" s="1"/>
  <c r="K333" i="5"/>
  <c r="L333" i="5" s="1"/>
  <c r="K334" i="5"/>
  <c r="L334" i="5" s="1"/>
  <c r="K335" i="5"/>
  <c r="L335" i="5" s="1"/>
  <c r="K336" i="5"/>
  <c r="L336" i="5" s="1"/>
  <c r="K337" i="5"/>
  <c r="L337" i="5" s="1"/>
  <c r="K338" i="5"/>
  <c r="L338" i="5" s="1"/>
  <c r="K339" i="5"/>
  <c r="L339" i="5" s="1"/>
  <c r="K340" i="5"/>
  <c r="L340" i="5" s="1"/>
  <c r="K341" i="5"/>
  <c r="L341" i="5" s="1"/>
  <c r="K342" i="5"/>
  <c r="L342" i="5" s="1"/>
  <c r="K343" i="5"/>
  <c r="L343" i="5" s="1"/>
  <c r="K344" i="5"/>
  <c r="L344" i="5" s="1"/>
  <c r="K345" i="5"/>
  <c r="L345" i="5" s="1"/>
  <c r="K346" i="5"/>
  <c r="L346" i="5" s="1"/>
  <c r="K347" i="5"/>
  <c r="L347" i="5" s="1"/>
  <c r="K348" i="5"/>
  <c r="L348" i="5" s="1"/>
  <c r="K349" i="5"/>
  <c r="L349" i="5" s="1"/>
  <c r="K350" i="5"/>
  <c r="L350" i="5" s="1"/>
  <c r="K351" i="5"/>
  <c r="L351" i="5" s="1"/>
  <c r="K352" i="5"/>
  <c r="L352" i="5" s="1"/>
  <c r="K353" i="5"/>
  <c r="L353" i="5" s="1"/>
  <c r="K354" i="5"/>
  <c r="L354" i="5" s="1"/>
  <c r="K355" i="5"/>
  <c r="L355" i="5" s="1"/>
  <c r="K356" i="5"/>
  <c r="L356" i="5" s="1"/>
  <c r="K357" i="5"/>
  <c r="L357" i="5" s="1"/>
  <c r="K358" i="5"/>
  <c r="L358" i="5" s="1"/>
  <c r="K359" i="5"/>
  <c r="L359" i="5" s="1"/>
  <c r="K360" i="5"/>
  <c r="L360" i="5" s="1"/>
  <c r="K361" i="5"/>
  <c r="L361" i="5" s="1"/>
  <c r="K362" i="5"/>
  <c r="L362" i="5" s="1"/>
  <c r="K363" i="5"/>
  <c r="L363" i="5" s="1"/>
  <c r="K364" i="5"/>
  <c r="L364" i="5" s="1"/>
  <c r="K365" i="5"/>
  <c r="L365" i="5" s="1"/>
  <c r="K366" i="5"/>
  <c r="L366" i="5" s="1"/>
  <c r="K367" i="5"/>
  <c r="L367" i="5" s="1"/>
  <c r="K368" i="5"/>
  <c r="L368" i="5" s="1"/>
  <c r="K369" i="5"/>
  <c r="L369" i="5" s="1"/>
  <c r="K370" i="5"/>
  <c r="L370" i="5" s="1"/>
  <c r="K371" i="5"/>
  <c r="L371" i="5" s="1"/>
  <c r="K372" i="5"/>
  <c r="L372" i="5" s="1"/>
  <c r="K373" i="5"/>
  <c r="L373" i="5" s="1"/>
  <c r="K374" i="5"/>
  <c r="L374" i="5" s="1"/>
  <c r="K375" i="5"/>
  <c r="L375" i="5" s="1"/>
  <c r="K376" i="5"/>
  <c r="L376" i="5" s="1"/>
  <c r="K377" i="5"/>
  <c r="L377" i="5" s="1"/>
  <c r="K378" i="5"/>
  <c r="L378" i="5" s="1"/>
  <c r="K379" i="5"/>
  <c r="L379" i="5" s="1"/>
  <c r="K380" i="5"/>
  <c r="L380" i="5" s="1"/>
  <c r="K381" i="5"/>
  <c r="L381" i="5" s="1"/>
  <c r="K382" i="5"/>
  <c r="L382" i="5" s="1"/>
  <c r="K383" i="5"/>
  <c r="L383" i="5" s="1"/>
  <c r="K384" i="5"/>
  <c r="L384" i="5" s="1"/>
  <c r="K385" i="5"/>
  <c r="L385" i="5" s="1"/>
  <c r="K386" i="5"/>
  <c r="L386" i="5" s="1"/>
  <c r="K387" i="5"/>
  <c r="L387" i="5" s="1"/>
  <c r="K388" i="5"/>
  <c r="L388" i="5" s="1"/>
  <c r="K389" i="5"/>
  <c r="L389" i="5" s="1"/>
  <c r="K390" i="5"/>
  <c r="L390" i="5" s="1"/>
  <c r="K391" i="5"/>
  <c r="L391" i="5" s="1"/>
  <c r="K392" i="5"/>
  <c r="L392" i="5" s="1"/>
  <c r="K393" i="5"/>
  <c r="L393" i="5" s="1"/>
  <c r="K394" i="5"/>
  <c r="L394" i="5" s="1"/>
  <c r="K395" i="5"/>
  <c r="L395" i="5" s="1"/>
  <c r="K396" i="5"/>
  <c r="L396" i="5" s="1"/>
  <c r="K397" i="5"/>
  <c r="L397" i="5" s="1"/>
  <c r="K398" i="5"/>
  <c r="L398" i="5" s="1"/>
  <c r="K399" i="5"/>
  <c r="L399" i="5" s="1"/>
  <c r="K400" i="5"/>
  <c r="L400" i="5" s="1"/>
  <c r="K401" i="5"/>
  <c r="L401" i="5" s="1"/>
  <c r="K402" i="5"/>
  <c r="L402" i="5" s="1"/>
  <c r="K403" i="5"/>
  <c r="L403" i="5" s="1"/>
  <c r="K404" i="5"/>
  <c r="L404" i="5" s="1"/>
  <c r="K405" i="5"/>
  <c r="L405" i="5" s="1"/>
  <c r="K406" i="5"/>
  <c r="L406" i="5" s="1"/>
  <c r="K407" i="5"/>
  <c r="L407" i="5" s="1"/>
  <c r="K408" i="5"/>
  <c r="L408" i="5" s="1"/>
  <c r="K409" i="5"/>
  <c r="L409" i="5" s="1"/>
  <c r="K410" i="5"/>
  <c r="L410" i="5" s="1"/>
  <c r="K411" i="5"/>
  <c r="L411" i="5" s="1"/>
  <c r="K412" i="5"/>
  <c r="L412" i="5" s="1"/>
  <c r="K413" i="5"/>
  <c r="L413" i="5" s="1"/>
  <c r="K414" i="5"/>
  <c r="L414" i="5" s="1"/>
  <c r="K415" i="5"/>
  <c r="L415" i="5" s="1"/>
  <c r="K416" i="5"/>
  <c r="L416" i="5" s="1"/>
  <c r="K417" i="5"/>
  <c r="L417" i="5" s="1"/>
  <c r="K418" i="5"/>
  <c r="L418" i="5" s="1"/>
  <c r="K419" i="5"/>
  <c r="L419" i="5" s="1"/>
  <c r="K420" i="5"/>
  <c r="L420" i="5" s="1"/>
  <c r="K421" i="5"/>
  <c r="L421" i="5" s="1"/>
  <c r="K422" i="5"/>
  <c r="L422" i="5" s="1"/>
  <c r="K423" i="5"/>
  <c r="L423" i="5" s="1"/>
  <c r="K424" i="5"/>
  <c r="L424" i="5" s="1"/>
  <c r="K425" i="5"/>
  <c r="L425" i="5" s="1"/>
  <c r="K426" i="5"/>
  <c r="L426" i="5" s="1"/>
  <c r="K427" i="5"/>
  <c r="L427" i="5" s="1"/>
  <c r="K428" i="5"/>
  <c r="L428" i="5" s="1"/>
  <c r="K429" i="5"/>
  <c r="L429" i="5" s="1"/>
  <c r="K430" i="5"/>
  <c r="L430" i="5" s="1"/>
  <c r="K431" i="5"/>
  <c r="L431" i="5" s="1"/>
  <c r="K4" i="5" l="1"/>
  <c r="L4" i="5" s="1"/>
  <c r="K432" i="5" l="1"/>
  <c r="L432" i="5"/>
</calcChain>
</file>

<file path=xl/sharedStrings.xml><?xml version="1.0" encoding="utf-8"?>
<sst xmlns="http://schemas.openxmlformats.org/spreadsheetml/2006/main" count="20312" uniqueCount="3264">
  <si>
    <t>Employee Name</t>
  </si>
  <si>
    <t>Employee #</t>
  </si>
  <si>
    <t>Social Security</t>
  </si>
  <si>
    <t>Total</t>
  </si>
  <si>
    <t>Company</t>
  </si>
  <si>
    <t>Employee Number</t>
  </si>
  <si>
    <t>Employee Name (Last Suffix, First MI)</t>
  </si>
  <si>
    <t>Status As Of</t>
  </si>
  <si>
    <t>Employment Status</t>
  </si>
  <si>
    <t>Employee Email</t>
  </si>
  <si>
    <t>Last Hire</t>
  </si>
  <si>
    <t>Job Start</t>
  </si>
  <si>
    <t>Location</t>
  </si>
  <si>
    <t>Job Code</t>
  </si>
  <si>
    <t>Job</t>
  </si>
  <si>
    <t>Hours</t>
  </si>
  <si>
    <t>Address Line 1 + Address Line 2</t>
  </si>
  <si>
    <t>City, State Zip Code (Formatted)</t>
  </si>
  <si>
    <t>Start Date (History)</t>
  </si>
  <si>
    <t>SSN (Formatted)</t>
  </si>
  <si>
    <t>Birth Date</t>
  </si>
  <si>
    <t>Gender</t>
  </si>
  <si>
    <t>Position</t>
  </si>
  <si>
    <t>Concessions Stand Lead</t>
  </si>
  <si>
    <t>Suite Attendant</t>
  </si>
  <si>
    <t>Runner, Suites</t>
  </si>
  <si>
    <t>Club Attendant</t>
  </si>
  <si>
    <t>Concession Stand Worker</t>
  </si>
  <si>
    <t>Cook 1</t>
  </si>
  <si>
    <t>Barback, Premium</t>
  </si>
  <si>
    <t>Cook 3</t>
  </si>
  <si>
    <t>Cook 2</t>
  </si>
  <si>
    <t>Bartender, Premium</t>
  </si>
  <si>
    <t>Pastry Cook</t>
  </si>
  <si>
    <t>Server, Catering</t>
  </si>
  <si>
    <t>Lead Bartender, Concess</t>
  </si>
  <si>
    <t>Warehouse Associate</t>
  </si>
  <si>
    <t>STATUS</t>
  </si>
  <si>
    <t>Beltran, Karina S.</t>
  </si>
  <si>
    <t>Active</t>
  </si>
  <si>
    <t>602-60-5876</t>
  </si>
  <si>
    <t>550-53-7451</t>
  </si>
  <si>
    <t>PANDY, SHARON J.</t>
  </si>
  <si>
    <t>572-87-4613</t>
  </si>
  <si>
    <t>Bailon, Maria</t>
  </si>
  <si>
    <t>551-99-3124</t>
  </si>
  <si>
    <t>Juarez, Elvira</t>
  </si>
  <si>
    <t>Cashier, Concessions</t>
  </si>
  <si>
    <t>623-06-3136</t>
  </si>
  <si>
    <t>Ortega, Guadalupe M.</t>
  </si>
  <si>
    <t>620-82-7377</t>
  </si>
  <si>
    <t>Server, Suites</t>
  </si>
  <si>
    <t>624-10-6694</t>
  </si>
  <si>
    <t>De La Rosa, Mark A.</t>
  </si>
  <si>
    <t>546-95-2347</t>
  </si>
  <si>
    <t>Valladares, Letty</t>
  </si>
  <si>
    <t>641-20-4247</t>
  </si>
  <si>
    <t>Alvarado, Leticia</t>
  </si>
  <si>
    <t>553-33-8803</t>
  </si>
  <si>
    <t>Aquino Carrillo, Febronia J.</t>
  </si>
  <si>
    <t>Dishwasher</t>
  </si>
  <si>
    <t>780-86-0496</t>
  </si>
  <si>
    <t>Benitez, Grisela B.</t>
  </si>
  <si>
    <t>614-87-7938</t>
  </si>
  <si>
    <t>D'Antignac, Lance E.</t>
  </si>
  <si>
    <t>606-05-0773</t>
  </si>
  <si>
    <t>De Leon, Sara D.</t>
  </si>
  <si>
    <t>617-46-5899</t>
  </si>
  <si>
    <t>621-46-6545</t>
  </si>
  <si>
    <t>IVANOVA, DIANA M.</t>
  </si>
  <si>
    <t>767-36-5772</t>
  </si>
  <si>
    <t>Lopez, Maria T.</t>
  </si>
  <si>
    <t>616-16-4852</t>
  </si>
  <si>
    <t>Maldonado Martinez, Jamillet S.</t>
  </si>
  <si>
    <t>621-60-9897</t>
  </si>
  <si>
    <t>Membreno, Maria S.</t>
  </si>
  <si>
    <t>609-27-5174</t>
  </si>
  <si>
    <t>Montoya, Flor D.</t>
  </si>
  <si>
    <t>602-86-2723</t>
  </si>
  <si>
    <t>Morales, Linda S.</t>
  </si>
  <si>
    <t>613-19-2038</t>
  </si>
  <si>
    <t>Peralta, Mayra L.</t>
  </si>
  <si>
    <t>605-86-7051</t>
  </si>
  <si>
    <t>SHIVERS, PHILIP A.</t>
  </si>
  <si>
    <t>567-11-4913</t>
  </si>
  <si>
    <t>Stevens, Christopher C.</t>
  </si>
  <si>
    <t>303-02-4863</t>
  </si>
  <si>
    <t>Robles, Micaela</t>
  </si>
  <si>
    <t>460-25-7499</t>
  </si>
  <si>
    <t>Sosa, Valeria R.</t>
  </si>
  <si>
    <t>626-26-3714</t>
  </si>
  <si>
    <t>Collins, Spencer E.</t>
  </si>
  <si>
    <t>621-12-9303</t>
  </si>
  <si>
    <t>560-45-7252</t>
  </si>
  <si>
    <t>Hernandez Sr., Jesus E.</t>
  </si>
  <si>
    <t>550-91-0237</t>
  </si>
  <si>
    <t>Eguia Toca, Juan C.</t>
  </si>
  <si>
    <t>603-81-2697</t>
  </si>
  <si>
    <t>Guendulain Alcala, Eduardo A.</t>
  </si>
  <si>
    <t>615-26-7376</t>
  </si>
  <si>
    <t>Gomez, Betsabe</t>
  </si>
  <si>
    <t>614-83-7518</t>
  </si>
  <si>
    <t>CALDERA, MARISOL</t>
  </si>
  <si>
    <t>567-49-5918</t>
  </si>
  <si>
    <t>Carter, Samantha B.</t>
  </si>
  <si>
    <t>633-07-0557</t>
  </si>
  <si>
    <t>Dawson, Bernyce D.</t>
  </si>
  <si>
    <t>602-38-8110</t>
  </si>
  <si>
    <t>Juniel, Monique Y.</t>
  </si>
  <si>
    <t>555-53-7345</t>
  </si>
  <si>
    <t>MOSLEY Jr., BARRY W.</t>
  </si>
  <si>
    <t>607-70-8666</t>
  </si>
  <si>
    <t>BUSBEE, TAJANEE</t>
  </si>
  <si>
    <t>602-06-5572</t>
  </si>
  <si>
    <t>Castillo, Demica L.</t>
  </si>
  <si>
    <t>547-35-9981</t>
  </si>
  <si>
    <t>Torres Perez, Maritza</t>
  </si>
  <si>
    <t>621-30-3639</t>
  </si>
  <si>
    <t>Nunez, Evelin</t>
  </si>
  <si>
    <t>602-82-0192</t>
  </si>
  <si>
    <t>Velasquez, Patricia E.</t>
  </si>
  <si>
    <t>626-51-4348</t>
  </si>
  <si>
    <t>Shuster, Scott</t>
  </si>
  <si>
    <t>154-58-5212</t>
  </si>
  <si>
    <t>Carrillo, Juan</t>
  </si>
  <si>
    <t>615-61-9543</t>
  </si>
  <si>
    <t>Godoy, Denise A.</t>
  </si>
  <si>
    <t>609-23-2592</t>
  </si>
  <si>
    <t>Tlatoa, Guadalupe</t>
  </si>
  <si>
    <t>613-18-4026</t>
  </si>
  <si>
    <t>Florian, Erick</t>
  </si>
  <si>
    <t>610-17-0438</t>
  </si>
  <si>
    <t>Dong, Nan</t>
  </si>
  <si>
    <t>273-33-1530</t>
  </si>
  <si>
    <t>616-85-1960</t>
  </si>
  <si>
    <t>In-Seat Server</t>
  </si>
  <si>
    <t>Brantley, Kenneth L.</t>
  </si>
  <si>
    <t>545-33-0746</t>
  </si>
  <si>
    <t>Chairez, Ricardo</t>
  </si>
  <si>
    <t>609-82-4597</t>
  </si>
  <si>
    <t>547-67-8289</t>
  </si>
  <si>
    <t>Morales, Mayra L.</t>
  </si>
  <si>
    <t>604-96-2032</t>
  </si>
  <si>
    <t>Sepulveda de Rodarte, Carmen</t>
  </si>
  <si>
    <t>606-53-4186</t>
  </si>
  <si>
    <t>Ventura, Roger G.</t>
  </si>
  <si>
    <t>559-75-1476</t>
  </si>
  <si>
    <t>Joo, Mina</t>
  </si>
  <si>
    <t>117-74-7372</t>
  </si>
  <si>
    <t>Luna, Saul O.</t>
  </si>
  <si>
    <t>603-13-3694</t>
  </si>
  <si>
    <t>Palafox, Luis R.</t>
  </si>
  <si>
    <t>551-61-2230</t>
  </si>
  <si>
    <t>616-13-4564</t>
  </si>
  <si>
    <t>Tenorio, Nelly Y.</t>
  </si>
  <si>
    <t>608-02-8397</t>
  </si>
  <si>
    <t>Colton, Peggy A.</t>
  </si>
  <si>
    <t>436-82-5697</t>
  </si>
  <si>
    <t>Juan, Carlos</t>
  </si>
  <si>
    <t>625-60-5817</t>
  </si>
  <si>
    <t>Rehman, Joseph B.</t>
  </si>
  <si>
    <t>564-77-4036</t>
  </si>
  <si>
    <t>Huitron, Elizabeth M.</t>
  </si>
  <si>
    <t>613-78-7337</t>
  </si>
  <si>
    <t>615-90-2618</t>
  </si>
  <si>
    <t>618-28-7352</t>
  </si>
  <si>
    <t>820-40-9883</t>
  </si>
  <si>
    <t>Huerta I, Arturo</t>
  </si>
  <si>
    <t>615-52-3861</t>
  </si>
  <si>
    <t>Huerta, Daisy</t>
  </si>
  <si>
    <t>616-38-9670</t>
  </si>
  <si>
    <t>Lewis, Cristal</t>
  </si>
  <si>
    <t>608-07-5771</t>
  </si>
  <si>
    <t>618-17-5538</t>
  </si>
  <si>
    <t>Sadri, Michael</t>
  </si>
  <si>
    <t>604-90-4113</t>
  </si>
  <si>
    <t>Zarlengo, Therese</t>
  </si>
  <si>
    <t>523-74-4887</t>
  </si>
  <si>
    <t>VARGAS, VADIM E.</t>
  </si>
  <si>
    <t>623-25-2933</t>
  </si>
  <si>
    <t>ATKINS, SASHA</t>
  </si>
  <si>
    <t>608-28-2754</t>
  </si>
  <si>
    <t>TOBIN, Tikeisha</t>
  </si>
  <si>
    <t>556-47-3330</t>
  </si>
  <si>
    <t>Carranza, Eulogio S.</t>
  </si>
  <si>
    <t>347-29-9898</t>
  </si>
  <si>
    <t>DILLARD, CHEYENNE</t>
  </si>
  <si>
    <t>604-98-2541</t>
  </si>
  <si>
    <t>Fregoso, Ana K.</t>
  </si>
  <si>
    <t>604-40-6805</t>
  </si>
  <si>
    <t>OROZCO, FRANKIE</t>
  </si>
  <si>
    <t>605-96-3814</t>
  </si>
  <si>
    <t>TESFAYE, MICHAEL</t>
  </si>
  <si>
    <t>621-53-4981</t>
  </si>
  <si>
    <t>607-12-3952</t>
  </si>
  <si>
    <t>Boren, Adam</t>
  </si>
  <si>
    <t>568-59-5885</t>
  </si>
  <si>
    <t>643-32-6214</t>
  </si>
  <si>
    <t>Gholar, Ebonie</t>
  </si>
  <si>
    <t>587-65-0602</t>
  </si>
  <si>
    <t>Gorbea, Bernice D.</t>
  </si>
  <si>
    <t>610-78-2282</t>
  </si>
  <si>
    <t>617-86-3745</t>
  </si>
  <si>
    <t>Marsh, Trevor</t>
  </si>
  <si>
    <t>389-06-5674</t>
  </si>
  <si>
    <t>615-28-1335</t>
  </si>
  <si>
    <t>Hatcher, Laconia</t>
  </si>
  <si>
    <t>548-71-6325</t>
  </si>
  <si>
    <t>Hernandez, Justin M.</t>
  </si>
  <si>
    <t>615-25-1732</t>
  </si>
  <si>
    <t>MARTINEZ, PEDRO P.</t>
  </si>
  <si>
    <t>605-18-9947</t>
  </si>
  <si>
    <t>620-29-9540</t>
  </si>
  <si>
    <t>MENDEZ, BRIAN</t>
  </si>
  <si>
    <t>611-29-3237</t>
  </si>
  <si>
    <t>MORALES HERNANDEZ, EMELIE A.</t>
  </si>
  <si>
    <t>614-35-1284</t>
  </si>
  <si>
    <t>608-27-2126</t>
  </si>
  <si>
    <t>CALLENDER, AMORAE</t>
  </si>
  <si>
    <t>606-15-2887</t>
  </si>
  <si>
    <t>CARRILLO, CHRISTIAN</t>
  </si>
  <si>
    <t>613-29-5652</t>
  </si>
  <si>
    <t>CRUZ, MARBELLA</t>
  </si>
  <si>
    <t>620-92-3918</t>
  </si>
  <si>
    <t>MANCIA, JULIO</t>
  </si>
  <si>
    <t>570-71-4662</t>
  </si>
  <si>
    <t>MORA, JOSE</t>
  </si>
  <si>
    <t>564-97-9614</t>
  </si>
  <si>
    <t>MUNGUIA, JOSE</t>
  </si>
  <si>
    <t>568-89-1321</t>
  </si>
  <si>
    <t>PERALTA, JOSE</t>
  </si>
  <si>
    <t>622-25-2415</t>
  </si>
  <si>
    <t>SERVELLON Jr., ISAI</t>
  </si>
  <si>
    <t>613-23-7693</t>
  </si>
  <si>
    <t>QUERO, CHRISTOPHER</t>
  </si>
  <si>
    <t>614-90-7886</t>
  </si>
  <si>
    <t>614-60-2448</t>
  </si>
  <si>
    <t>625-27-0519</t>
  </si>
  <si>
    <t>GONZALEZ, MANUEL</t>
  </si>
  <si>
    <t>606-27-8561</t>
  </si>
  <si>
    <t>QUIROZ, BRENDA</t>
  </si>
  <si>
    <t>617-01-7911</t>
  </si>
  <si>
    <t>reidinger, Blake</t>
  </si>
  <si>
    <t>145-04-9005</t>
  </si>
  <si>
    <t>TAMAYO, ROBERT A.</t>
  </si>
  <si>
    <t>620-17-5544</t>
  </si>
  <si>
    <t>602-40-2995</t>
  </si>
  <si>
    <t>ORTEGA, MARICELA</t>
  </si>
  <si>
    <t>618-18-5532</t>
  </si>
  <si>
    <t>DORADO, GIULIANA G.</t>
  </si>
  <si>
    <t>624-43-4375</t>
  </si>
  <si>
    <t>PEREZ, NANCY</t>
  </si>
  <si>
    <t>625-23-0781</t>
  </si>
  <si>
    <t>329-25-6515</t>
  </si>
  <si>
    <t>DUCHART, JAMES O.</t>
  </si>
  <si>
    <t>772-10-7118</t>
  </si>
  <si>
    <t>GAINES II, RAIJI N.</t>
  </si>
  <si>
    <t>603-82-6410</t>
  </si>
  <si>
    <t>HERNANDEZ, MILES M.</t>
  </si>
  <si>
    <t>576-96-3121</t>
  </si>
  <si>
    <t>MEJIA, OSCAR</t>
  </si>
  <si>
    <t>606-48-7506</t>
  </si>
  <si>
    <t>MONTOYA, SAMANTHA</t>
  </si>
  <si>
    <t>609-29-1929</t>
  </si>
  <si>
    <t>BARNES, LEANNA M.</t>
  </si>
  <si>
    <t>555-93-9385</t>
  </si>
  <si>
    <t>COPELAN, DESIREE</t>
  </si>
  <si>
    <t>365-91-4030</t>
  </si>
  <si>
    <t>DELGAUDIO, BRITTANI</t>
  </si>
  <si>
    <t>591-96-6095</t>
  </si>
  <si>
    <t>HERNANDEZ, STEPHANIE L.</t>
  </si>
  <si>
    <t>608-17-9424</t>
  </si>
  <si>
    <t>HERNANDEZ, STEVEN L.</t>
  </si>
  <si>
    <t>549-11-7074</t>
  </si>
  <si>
    <t>JOHNSON, ALAYAH</t>
  </si>
  <si>
    <t>626-41-7445</t>
  </si>
  <si>
    <t>JONES, ERICK</t>
  </si>
  <si>
    <t>604-21-5499</t>
  </si>
  <si>
    <t>KIRK, MALIYAH E.</t>
  </si>
  <si>
    <t>606-29-8560</t>
  </si>
  <si>
    <t>MEJIA Jr., JUAN</t>
  </si>
  <si>
    <t>612-34-0795</t>
  </si>
  <si>
    <t>Navarro, Guadalupe</t>
  </si>
  <si>
    <t>333-19-8491</t>
  </si>
  <si>
    <t>OJEI, BENEDICT</t>
  </si>
  <si>
    <t>041-84-4656</t>
  </si>
  <si>
    <t>PEREZ Flores, BRENDA</t>
  </si>
  <si>
    <t>154-77-6124</t>
  </si>
  <si>
    <t>Pressley, Elechai</t>
  </si>
  <si>
    <t>623-50-0804</t>
  </si>
  <si>
    <t>Reeves, Kelly</t>
  </si>
  <si>
    <t>575-49-6675</t>
  </si>
  <si>
    <t>Steinert-Amaya, Kathryn A.</t>
  </si>
  <si>
    <t>611-31-3700</t>
  </si>
  <si>
    <t>739-55-8608</t>
  </si>
  <si>
    <t>605-37-7585</t>
  </si>
  <si>
    <t>EVANS, LANCE</t>
  </si>
  <si>
    <t>610-30-2414</t>
  </si>
  <si>
    <t>ARTIGA, RODOLFO</t>
  </si>
  <si>
    <t>624-46-5343</t>
  </si>
  <si>
    <t>BLACK, LASONYA</t>
  </si>
  <si>
    <t>559-49-7692</t>
  </si>
  <si>
    <t>CHERBONY, YVETTE D.</t>
  </si>
  <si>
    <t>603-60-1717</t>
  </si>
  <si>
    <t>620-96-3350</t>
  </si>
  <si>
    <t>FAIRMAN, STEPHEN</t>
  </si>
  <si>
    <t>534-06-1245</t>
  </si>
  <si>
    <t>462-53-2217</t>
  </si>
  <si>
    <t>SCHNYDER, KEYONA</t>
  </si>
  <si>
    <t>625-21-1060</t>
  </si>
  <si>
    <t>SEATON, MIRIAH</t>
  </si>
  <si>
    <t>608-56-3154</t>
  </si>
  <si>
    <t>WOODS, RIKEETA R.</t>
  </si>
  <si>
    <t>562-59-8504</t>
  </si>
  <si>
    <t>CATALINO Montilla, FLERIDA</t>
  </si>
  <si>
    <t>597-28-0697</t>
  </si>
  <si>
    <t>547-53-7065</t>
  </si>
  <si>
    <t>FLORES, ALAN S.</t>
  </si>
  <si>
    <t>619-40-1538</t>
  </si>
  <si>
    <t>GARCIA, ANTHONY J.</t>
  </si>
  <si>
    <t>626-45-4028</t>
  </si>
  <si>
    <t>Javier, Joanne</t>
  </si>
  <si>
    <t>571-61-8313</t>
  </si>
  <si>
    <t>LAMORIE, ROCHELLE</t>
  </si>
  <si>
    <t>620-30-4499</t>
  </si>
  <si>
    <t>MARTINEZ, PABLO</t>
  </si>
  <si>
    <t>614-94-8618</t>
  </si>
  <si>
    <t>WIMBERLY, JAVON E.</t>
  </si>
  <si>
    <t>618-88-4050</t>
  </si>
  <si>
    <t>NEGRETE, JAVIER</t>
  </si>
  <si>
    <t>624-58-0770</t>
  </si>
  <si>
    <t>SIDNEY, ELIJHA</t>
  </si>
  <si>
    <t>615-37-3638</t>
  </si>
  <si>
    <t>Albitre, Randy</t>
  </si>
  <si>
    <t>558-67-5709</t>
  </si>
  <si>
    <t>Berumen, Natalie</t>
  </si>
  <si>
    <t>624-23-4885</t>
  </si>
  <si>
    <t>Jonewell, James</t>
  </si>
  <si>
    <t>104-66-5573</t>
  </si>
  <si>
    <t>Lopez, Jocelyn</t>
  </si>
  <si>
    <t>625-41-6898</t>
  </si>
  <si>
    <t>626-47-4010</t>
  </si>
  <si>
    <t>624-11-2408</t>
  </si>
  <si>
    <t>BLACKWOOD, JADA K.</t>
  </si>
  <si>
    <t>604-19-6853</t>
  </si>
  <si>
    <t>CHRISTOPHER, JADON R.</t>
  </si>
  <si>
    <t>617-21-8937</t>
  </si>
  <si>
    <t>FABIAN, ABENITA</t>
  </si>
  <si>
    <t>722-61-0991</t>
  </si>
  <si>
    <t>MENDOZA, JENNIFER C.</t>
  </si>
  <si>
    <t>616-44-3241</t>
  </si>
  <si>
    <t>NOVA, FRANCISCO</t>
  </si>
  <si>
    <t>544-57-9263</t>
  </si>
  <si>
    <t>PATERAS, MARGARET C.</t>
  </si>
  <si>
    <t>558-17-2827</t>
  </si>
  <si>
    <t>PENA, MARBELY A.</t>
  </si>
  <si>
    <t>613-45-8055</t>
  </si>
  <si>
    <t>PEREZ RAYON, MARIA</t>
  </si>
  <si>
    <t>616-42-5568</t>
  </si>
  <si>
    <t>TORRES, IRENE</t>
  </si>
  <si>
    <t>620-08-9644</t>
  </si>
  <si>
    <t>WILLIAMS, TRINITY</t>
  </si>
  <si>
    <t>606-33-1407</t>
  </si>
  <si>
    <t>WORTHAM, ELIJAH A.</t>
  </si>
  <si>
    <t>612-39-5709</t>
  </si>
  <si>
    <t>BALBUENA, YOLANDA</t>
  </si>
  <si>
    <t>353-65-4445</t>
  </si>
  <si>
    <t>542-43-2752</t>
  </si>
  <si>
    <t>Hardiman, Trevia</t>
  </si>
  <si>
    <t>321-84-6149</t>
  </si>
  <si>
    <t>604-92-1790</t>
  </si>
  <si>
    <t>PEREZ, MOISES</t>
  </si>
  <si>
    <t>646-52-9601</t>
  </si>
  <si>
    <t>RODRIGUEZ, JOCELINE</t>
  </si>
  <si>
    <t>611-92-2526</t>
  </si>
  <si>
    <t>SANCHEZ, MARIA</t>
  </si>
  <si>
    <t>803-15-6093</t>
  </si>
  <si>
    <t>TLATOA, MEYLIN</t>
  </si>
  <si>
    <t>621-47-8126</t>
  </si>
  <si>
    <t>Aviles, Duane</t>
  </si>
  <si>
    <t>616-62-0308</t>
  </si>
  <si>
    <t>558-35-6917</t>
  </si>
  <si>
    <t>Cuzzolina, Joseph</t>
  </si>
  <si>
    <t>212-96-3856</t>
  </si>
  <si>
    <t>Hardy, Darnell</t>
  </si>
  <si>
    <t>491-90-9327</t>
  </si>
  <si>
    <t>Horne Sr., Jason</t>
  </si>
  <si>
    <t>602-22-4058</t>
  </si>
  <si>
    <t>758-50-3867</t>
  </si>
  <si>
    <t>Lara Jimenez, Christian</t>
  </si>
  <si>
    <t>624-08-4667</t>
  </si>
  <si>
    <t>Nguyen, AiMy K.</t>
  </si>
  <si>
    <t>612-50-4941</t>
  </si>
  <si>
    <t>Rocha, Patricia C.</t>
  </si>
  <si>
    <t>602-30-0355</t>
  </si>
  <si>
    <t>RODRIGUEZ, GLORIA</t>
  </si>
  <si>
    <t>570-65-9392</t>
  </si>
  <si>
    <t>Rodriguez, Mia</t>
  </si>
  <si>
    <t>623-13-8244</t>
  </si>
  <si>
    <t>846-29-0865</t>
  </si>
  <si>
    <t>667-66-7535</t>
  </si>
  <si>
    <t>601-81-4782</t>
  </si>
  <si>
    <t>Tyda, Justin</t>
  </si>
  <si>
    <t>357-78-5091</t>
  </si>
  <si>
    <t>Williams, Isaiah</t>
  </si>
  <si>
    <t>614-21-9274</t>
  </si>
  <si>
    <t>Zechar, Lanny</t>
  </si>
  <si>
    <t>562-19-9743</t>
  </si>
  <si>
    <t/>
  </si>
  <si>
    <t>Phone Number</t>
  </si>
  <si>
    <t>DOB</t>
  </si>
  <si>
    <t>DOH</t>
  </si>
  <si>
    <t>Los Angeles, CA 90011</t>
  </si>
  <si>
    <t>Los Angeles, CA 90044</t>
  </si>
  <si>
    <t>Los Angeles, CA 90033</t>
  </si>
  <si>
    <t>526 E.6th St. Unit 304</t>
  </si>
  <si>
    <t>Los Angeles, CA 90021</t>
  </si>
  <si>
    <t>(323) 571-0693</t>
  </si>
  <si>
    <t>4172 wall st</t>
  </si>
  <si>
    <t>(323) 812-8635</t>
  </si>
  <si>
    <t>10855 Terra Vista Pkwy Apt 126</t>
  </si>
  <si>
    <t>Rancho Cucamonga, CA 91730</t>
  </si>
  <si>
    <t>(626) 260-2506</t>
  </si>
  <si>
    <t>Huntington Park, CA 90255</t>
  </si>
  <si>
    <t>466 W 50TH ST</t>
  </si>
  <si>
    <t>Los Angeles, CA 90037</t>
  </si>
  <si>
    <t>(213) 260-5668</t>
  </si>
  <si>
    <t>429 S.Rampart blvd apt2</t>
  </si>
  <si>
    <t>los angeles, CA 90057</t>
  </si>
  <si>
    <t>(213) 247-4463</t>
  </si>
  <si>
    <t>4575 Ramona Ave 1</t>
  </si>
  <si>
    <t>La Verne, CA 91750</t>
  </si>
  <si>
    <t>(562) 205-7829</t>
  </si>
  <si>
    <t>Los Angeles, CA 90019</t>
  </si>
  <si>
    <t>Los Angeles, CA 90062</t>
  </si>
  <si>
    <t>(213) 220-0714</t>
  </si>
  <si>
    <t>4212 s. Grand ave</t>
  </si>
  <si>
    <t>LOS ANGELES, CA 90037</t>
  </si>
  <si>
    <t>(323) 697-1187</t>
  </si>
  <si>
    <t>5550 Hollywood Blvd Apt 304</t>
  </si>
  <si>
    <t>Los Angeles, CA 90028</t>
  </si>
  <si>
    <t>(323) 286-1258</t>
  </si>
  <si>
    <t>Montebello, CA 90640</t>
  </si>
  <si>
    <t>734 Camphor Way</t>
  </si>
  <si>
    <t>Upland, CA 91786</t>
  </si>
  <si>
    <t>(156) 280-5579</t>
  </si>
  <si>
    <t>614 W. 50th St.</t>
  </si>
  <si>
    <t>(323) 671-8648</t>
  </si>
  <si>
    <t>Los Angeles, CA 90003</t>
  </si>
  <si>
    <t>331 Daisy Ave</t>
  </si>
  <si>
    <t>Long Beach, CA 90802</t>
  </si>
  <si>
    <t>(323) 691-5352</t>
  </si>
  <si>
    <t>2303 Grandeur Ave</t>
  </si>
  <si>
    <t>Altadena, CA 91001</t>
  </si>
  <si>
    <t>(213) 434-6206</t>
  </si>
  <si>
    <t>10155 brockway st</t>
  </si>
  <si>
    <t>SOUTH EL MONTE, CA 91733</t>
  </si>
  <si>
    <t>(626) 216-8518</t>
  </si>
  <si>
    <t>1069 Browning Blvd. #5</t>
  </si>
  <si>
    <t>(626) 525-3251</t>
  </si>
  <si>
    <t>10600 s Inglewood ave apt 21</t>
  </si>
  <si>
    <t>Inglewood, CA 90304</t>
  </si>
  <si>
    <t>(626) 417-4693</t>
  </si>
  <si>
    <t>3704 e 55th st</t>
  </si>
  <si>
    <t>Maywood, CA 90270</t>
  </si>
  <si>
    <t>(323) 517-3354</t>
  </si>
  <si>
    <t>Los Angeles, CA 90061</t>
  </si>
  <si>
    <t>5214 Randolph St</t>
  </si>
  <si>
    <t>Bell, CA 90201</t>
  </si>
  <si>
    <t>(323) 358-0966</t>
  </si>
  <si>
    <t>7300 Marbrisa Ave</t>
  </si>
  <si>
    <t>(323) 354-0533</t>
  </si>
  <si>
    <t>13213 Curtis and king rd</t>
  </si>
  <si>
    <t>Norwalk, CA 90650</t>
  </si>
  <si>
    <t>(562) 320-4575</t>
  </si>
  <si>
    <t>(214) 517-6470</t>
  </si>
  <si>
    <t>4460 Overland Ave Apt #27</t>
  </si>
  <si>
    <t>Culver City, CA 90230</t>
  </si>
  <si>
    <t>(310) 748-6653</t>
  </si>
  <si>
    <t>Compton, CA 90221</t>
  </si>
  <si>
    <t>(323) 535-3892</t>
  </si>
  <si>
    <t>1302 E 41 st apt. 404</t>
  </si>
  <si>
    <t>Los angeles, CA 90011</t>
  </si>
  <si>
    <t>(323) 633-7511</t>
  </si>
  <si>
    <t>Hawthorne, CA 90250</t>
  </si>
  <si>
    <t>Los Angeles, CA 90022</t>
  </si>
  <si>
    <t>PO BOX 342</t>
  </si>
  <si>
    <t>North Hollywood, CA 91603</t>
  </si>
  <si>
    <t>(917) 557-6027</t>
  </si>
  <si>
    <t>5669 Stratford Rd</t>
  </si>
  <si>
    <t>Los Angeles, CA 90042</t>
  </si>
  <si>
    <t>(424) 394-3114</t>
  </si>
  <si>
    <t>401 N Vail Ave</t>
  </si>
  <si>
    <t>(323) 804-6271</t>
  </si>
  <si>
    <t>2753 Newell st</t>
  </si>
  <si>
    <t>Los Ángeles, CA 90039</t>
  </si>
  <si>
    <t>(818) 216-1293</t>
  </si>
  <si>
    <t>322 Culver Boulevard #329</t>
  </si>
  <si>
    <t>Playa Del Rey, CA 90293</t>
  </si>
  <si>
    <t>(323) 348-3469</t>
  </si>
  <si>
    <t>1642 S. Highland Ave</t>
  </si>
  <si>
    <t>(323) 592-0033</t>
  </si>
  <si>
    <t>Los Angeles, CA 90012</t>
  </si>
  <si>
    <t>(323) 523-4775</t>
  </si>
  <si>
    <t>1541 WEST JEFFERSON BLVD</t>
  </si>
  <si>
    <t>LOS ANGELES, CA 90018</t>
  </si>
  <si>
    <t>(323) 615-8438</t>
  </si>
  <si>
    <t>21625 Oak Orchard rd</t>
  </si>
  <si>
    <t>Newhall, CA 91321</t>
  </si>
  <si>
    <t>(818) 731-1154</t>
  </si>
  <si>
    <t>1639 E 33rd St</t>
  </si>
  <si>
    <t>(323) 842-1305</t>
  </si>
  <si>
    <t>Burbank, CA 91505</t>
  </si>
  <si>
    <t>5557 Atlantic Ave #1</t>
  </si>
  <si>
    <t>Long Beach, CA 90805</t>
  </si>
  <si>
    <t>(310) 902-5629</t>
  </si>
  <si>
    <t>(617) 606-8391</t>
  </si>
  <si>
    <t>1236 Loma Vista Street</t>
  </si>
  <si>
    <t>Pomona, CA 91768</t>
  </si>
  <si>
    <t>(714) 925-9135</t>
  </si>
  <si>
    <t>Los Angeles, CA 90018</t>
  </si>
  <si>
    <t>612 W. 50th</t>
  </si>
  <si>
    <t>(323) 548-8422</t>
  </si>
  <si>
    <t>Whittier, CA 90606</t>
  </si>
  <si>
    <t>P.O. Box 861996</t>
  </si>
  <si>
    <t>Los Angeles, CA 90086</t>
  </si>
  <si>
    <t>(323) 441-3700</t>
  </si>
  <si>
    <t>14426 haynes st apt#c</t>
  </si>
  <si>
    <t>van nuys, CA 91401</t>
  </si>
  <si>
    <t>(323) 252-5433</t>
  </si>
  <si>
    <t>122 E 68th way</t>
  </si>
  <si>
    <t>Long beach, CA 90805</t>
  </si>
  <si>
    <t>(562) 676-8876</t>
  </si>
  <si>
    <t>560 E Adams st #9</t>
  </si>
  <si>
    <t>(310) 894-1142</t>
  </si>
  <si>
    <t>550 N Figueroa St Apt 5089</t>
  </si>
  <si>
    <t>(310) 430-8499</t>
  </si>
  <si>
    <t>4831 orange st</t>
  </si>
  <si>
    <t>Pico Rivera, CA 90660</t>
  </si>
  <si>
    <t>(323) 388-6282</t>
  </si>
  <si>
    <t>803 Crenshaw Blvd Apt 13</t>
  </si>
  <si>
    <t>Los Angeles, CA 90005</t>
  </si>
  <si>
    <t>(213) 271-7659</t>
  </si>
  <si>
    <t>1148 E. 101st St.</t>
  </si>
  <si>
    <t>Los Angeles, CA 90002</t>
  </si>
  <si>
    <t>(323) 909-0125</t>
  </si>
  <si>
    <t>South Gate, CA 90280</t>
  </si>
  <si>
    <t>8957 Bryson ave</t>
  </si>
  <si>
    <t>South Gage, CA 90280</t>
  </si>
  <si>
    <t>(323) 915-6439</t>
  </si>
  <si>
    <t>Long Beach, CA 90806</t>
  </si>
  <si>
    <t>(562) 235-9124</t>
  </si>
  <si>
    <t>1258 S Downey Rd</t>
  </si>
  <si>
    <t>Los Ángeles, CA 90023</t>
  </si>
  <si>
    <t>(323) 424-9742</t>
  </si>
  <si>
    <t>4338 MAMMOTH AVE APT 5</t>
  </si>
  <si>
    <t>Sherman Oaks, CA 91423</t>
  </si>
  <si>
    <t>(747) 499-8655</t>
  </si>
  <si>
    <t>319 n alhambra ave #J</t>
  </si>
  <si>
    <t>Monterey park, CA 91755</t>
  </si>
  <si>
    <t>(323) 240-4971</t>
  </si>
  <si>
    <t>1360 S. Burlington Ave Apt 110</t>
  </si>
  <si>
    <t>Los Angeles, CA 90006</t>
  </si>
  <si>
    <t>(213) 369-5354</t>
  </si>
  <si>
    <t>427 N. Normandie Pl. #8</t>
  </si>
  <si>
    <t>Los Angeles, CA 90004</t>
  </si>
  <si>
    <t>(323) 304-8496</t>
  </si>
  <si>
    <t>822 west 104th street</t>
  </si>
  <si>
    <t>(323) 326-2777</t>
  </si>
  <si>
    <t>200 N bixel st apt 310</t>
  </si>
  <si>
    <t>Los Angeles, CA 90026</t>
  </si>
  <si>
    <t>(213) 298-9003</t>
  </si>
  <si>
    <t>625 W 41st Pl</t>
  </si>
  <si>
    <t>(601) 543-9232</t>
  </si>
  <si>
    <t>1639 E 33rd st</t>
  </si>
  <si>
    <t>(323) 317-2725</t>
  </si>
  <si>
    <t>195 East 36th Street</t>
  </si>
  <si>
    <t>(323) 423-4642</t>
  </si>
  <si>
    <t>Los Angeles, CA 90016</t>
  </si>
  <si>
    <t>Pasadena, CA 91104</t>
  </si>
  <si>
    <t>Los angeles, CA 90062</t>
  </si>
  <si>
    <t>5200 S Broadway apt. #315</t>
  </si>
  <si>
    <t>(323) 283-7616</t>
  </si>
  <si>
    <t>1127 E 33rd St</t>
  </si>
  <si>
    <t>(626) 502-5717</t>
  </si>
  <si>
    <t>15756 Kasota Rd.</t>
  </si>
  <si>
    <t>Apple Valley, CA 92307</t>
  </si>
  <si>
    <t>(760) 453-1077</t>
  </si>
  <si>
    <t>Los Angeles, CA 90059</t>
  </si>
  <si>
    <t>North Hollywood, CA 91601</t>
  </si>
  <si>
    <t>4245 Via Marina L-501</t>
  </si>
  <si>
    <t>Marina Del Rey, CA 90292</t>
  </si>
  <si>
    <t>(314) 814-3164</t>
  </si>
  <si>
    <t>954 West 46 Street</t>
  </si>
  <si>
    <t>(323) 718-9346</t>
  </si>
  <si>
    <t>1362 Temple Ave. #204</t>
  </si>
  <si>
    <t>Long Beach, CA 90804</t>
  </si>
  <si>
    <t>(310) 292-7976</t>
  </si>
  <si>
    <t>6218 mary ellen ave</t>
  </si>
  <si>
    <t>Van nuys, CA 91401</t>
  </si>
  <si>
    <t>(818) 616-0216</t>
  </si>
  <si>
    <t>Los Angeles, CA 90015</t>
  </si>
  <si>
    <t>10959 S. Budlong</t>
  </si>
  <si>
    <t>(818) 207-0955</t>
  </si>
  <si>
    <t>1139 w 68th st</t>
  </si>
  <si>
    <t>los angeles, CA 90044</t>
  </si>
  <si>
    <t>(323) 518-4548</t>
  </si>
  <si>
    <t>3964 Piedmont Drive</t>
  </si>
  <si>
    <t>Highland, CA 92346</t>
  </si>
  <si>
    <t>(626) 502-2125</t>
  </si>
  <si>
    <t>10546 Vinedale St.</t>
  </si>
  <si>
    <t>Sun Valley, CA 91352</t>
  </si>
  <si>
    <t>(408) 417-2558</t>
  </si>
  <si>
    <t>(323) 518-4545</t>
  </si>
  <si>
    <t>10318 Holbrook Street</t>
  </si>
  <si>
    <t>(562) 587-9504</t>
  </si>
  <si>
    <t>6201 Hollywood Boulevard 4211</t>
  </si>
  <si>
    <t>(310) 237-8871</t>
  </si>
  <si>
    <t>5327 3rd ave</t>
  </si>
  <si>
    <t>Los angeles, CA 90043</t>
  </si>
  <si>
    <t>(213) 839-2446</t>
  </si>
  <si>
    <t>2466 Illinois ave</t>
  </si>
  <si>
    <t>(323) 641-8015</t>
  </si>
  <si>
    <t>2466 Illinois Ave</t>
  </si>
  <si>
    <t>(323) 799-5903</t>
  </si>
  <si>
    <t>3016 w 82nd st</t>
  </si>
  <si>
    <t>Inglewood, CA 90305</t>
  </si>
  <si>
    <t>(714) 818-5348</t>
  </si>
  <si>
    <t>4338 Mammoth Ave APT 5</t>
  </si>
  <si>
    <t>SHERMAN OAKS, CA 91423</t>
  </si>
  <si>
    <t>(310) 462-3917</t>
  </si>
  <si>
    <t>P.O. Box 132</t>
  </si>
  <si>
    <t>(626) 710-3785</t>
  </si>
  <si>
    <t>Los Angeles, CA 90047</t>
  </si>
  <si>
    <t>2515 michigan ave apt 4</t>
  </si>
  <si>
    <t>los angeles, CA 90033</t>
  </si>
  <si>
    <t>(917) 749-6285</t>
  </si>
  <si>
    <t>1426 E 46th street</t>
  </si>
  <si>
    <t>(213) 567-1306</t>
  </si>
  <si>
    <t>829 S. Coronado st. #1</t>
  </si>
  <si>
    <t>Los Angeles, CA 90057</t>
  </si>
  <si>
    <t>(213) 379-2032</t>
  </si>
  <si>
    <t>737 W. 41st Place APT 14</t>
  </si>
  <si>
    <t>(323) 232-6536</t>
  </si>
  <si>
    <t>1700 E San Luis St</t>
  </si>
  <si>
    <t>(310) 431-7302</t>
  </si>
  <si>
    <t>1717 n verdugo rd Apt 312</t>
  </si>
  <si>
    <t>Glendale, CA 91208</t>
  </si>
  <si>
    <t>(818) 414-2987</t>
  </si>
  <si>
    <t>Valley Village, CA 91607</t>
  </si>
  <si>
    <t>3859 S Harvard Blvd</t>
  </si>
  <si>
    <t>(310) 873-8843</t>
  </si>
  <si>
    <t>Los Angeles, CA 90020</t>
  </si>
  <si>
    <t>2834 South Sycamore Avenue</t>
  </si>
  <si>
    <t>(323) 321-3873</t>
  </si>
  <si>
    <t>4167 Acacia ave</t>
  </si>
  <si>
    <t>(562) 309-1301</t>
  </si>
  <si>
    <t>4226 S. Grand Ave. Apt 3</t>
  </si>
  <si>
    <t>(323) 652-8592</t>
  </si>
  <si>
    <t>9112 Manzanar Ave</t>
  </si>
  <si>
    <t>DOWNEY, CA 90240</t>
  </si>
  <si>
    <t>(323) 807-1565</t>
  </si>
  <si>
    <t>Los Angeles, CA 90017</t>
  </si>
  <si>
    <t>4901 5TH AVE</t>
  </si>
  <si>
    <t>Los Angeles, CA 90043-1938</t>
  </si>
  <si>
    <t>(323) 528-8357</t>
  </si>
  <si>
    <t>Los Angeles, CA 90023</t>
  </si>
  <si>
    <t>424 Gulf ave</t>
  </si>
  <si>
    <t>Wilmigton, CA 90744</t>
  </si>
  <si>
    <t>(310) 892-6041</t>
  </si>
  <si>
    <t>433 South Lake St Apt 215</t>
  </si>
  <si>
    <t>(818) 335-3803</t>
  </si>
  <si>
    <t>5062 lankershim blvd Ste 2036</t>
  </si>
  <si>
    <t>North hollywood, CA 91601</t>
  </si>
  <si>
    <t>(925) 565-9614</t>
  </si>
  <si>
    <t>6229 Hayes Avenue</t>
  </si>
  <si>
    <t>(626) 318-1890</t>
  </si>
  <si>
    <t>6229 Hayes Ave</t>
  </si>
  <si>
    <t>(323) 312-9664</t>
  </si>
  <si>
    <t>Los Angeles, CA 90001</t>
  </si>
  <si>
    <t>2638 S.Orange Dr.</t>
  </si>
  <si>
    <t>(323) 898-2453</t>
  </si>
  <si>
    <t>2638 S. Orange Dr.</t>
  </si>
  <si>
    <t>1424 W. 135th St. C13</t>
  </si>
  <si>
    <t>Gardena, CA 90249</t>
  </si>
  <si>
    <t>(323) 239-1623</t>
  </si>
  <si>
    <t>420 S Alexandria Ave Apt#8</t>
  </si>
  <si>
    <t>(323) 712-6429</t>
  </si>
  <si>
    <t>3822 South Grand Ave</t>
  </si>
  <si>
    <t>(424) 278-0057</t>
  </si>
  <si>
    <t>539 Oleander Dr.</t>
  </si>
  <si>
    <t>(323) 428-8558</t>
  </si>
  <si>
    <t>709 W Palmer St</t>
  </si>
  <si>
    <t>Compton, CA 90220</t>
  </si>
  <si>
    <t>(323) 354-9955</t>
  </si>
  <si>
    <t>149 E. Adair St.</t>
  </si>
  <si>
    <t>(213) 247-7467</t>
  </si>
  <si>
    <t>135 w 52nd st</t>
  </si>
  <si>
    <t>(213) 448-7347</t>
  </si>
  <si>
    <t>727 E 101ST ST</t>
  </si>
  <si>
    <t>(213) 706-7975</t>
  </si>
  <si>
    <t>439 W Gage Ave</t>
  </si>
  <si>
    <t>(323) 459-0139</t>
  </si>
  <si>
    <t>13203 Vanowen Street #2</t>
  </si>
  <si>
    <t>North Hollywood, CA 91605</t>
  </si>
  <si>
    <t>(818) 452-8247</t>
  </si>
  <si>
    <t>4717 Gambier St Apt G</t>
  </si>
  <si>
    <t>Los Angeles, CA 90032</t>
  </si>
  <si>
    <t>(323) 519-0850</t>
  </si>
  <si>
    <t>3931 Ursula Ave.</t>
  </si>
  <si>
    <t>Los angeles, CA 90008</t>
  </si>
  <si>
    <t>(323) 984-6274</t>
  </si>
  <si>
    <t>217 e. 8th st Apt 504</t>
  </si>
  <si>
    <t>Los Angeles, CA 90014</t>
  </si>
  <si>
    <t>(773) 260-2832</t>
  </si>
  <si>
    <t>4524 e 56th st</t>
  </si>
  <si>
    <t>(562) 250-8445</t>
  </si>
  <si>
    <t>8704 Creeland St.</t>
  </si>
  <si>
    <t>(562) 479-9904</t>
  </si>
  <si>
    <t>1422 Miramar st aptB8</t>
  </si>
  <si>
    <t>(323) 404-5149</t>
  </si>
  <si>
    <t>5822 w Olympic bl</t>
  </si>
  <si>
    <t>Los angeles, CA 90036</t>
  </si>
  <si>
    <t>(323) 533-4046</t>
  </si>
  <si>
    <t>11748 allin street apt 131</t>
  </si>
  <si>
    <t>culver city, CA 90230</t>
  </si>
  <si>
    <t>3233773382</t>
  </si>
  <si>
    <t>9771 HAINES CANYON AVE</t>
  </si>
  <si>
    <t>Tujunga, CA 91042</t>
  </si>
  <si>
    <t>(818) 439-5007</t>
  </si>
  <si>
    <t>2025 Stanford Avenue</t>
  </si>
  <si>
    <t>(213) 275-8005</t>
  </si>
  <si>
    <t>1605 S Curtis Ave Apt #3</t>
  </si>
  <si>
    <t>Alhambra, CA 91803</t>
  </si>
  <si>
    <t>(626) 315-7516</t>
  </si>
  <si>
    <t>1141 e 28th st APT #3</t>
  </si>
  <si>
    <t>(323) 495-0109</t>
  </si>
  <si>
    <t>428 e Hardy st</t>
  </si>
  <si>
    <t>Inglewood, CA 90301</t>
  </si>
  <si>
    <t>(323) 986-0798</t>
  </si>
  <si>
    <t>1518 E 22ND ST</t>
  </si>
  <si>
    <t>(213) 528-1876</t>
  </si>
  <si>
    <t>Walnut, CA 91789</t>
  </si>
  <si>
    <t>(626) 715-8410</t>
  </si>
  <si>
    <t>6571 Thunder Bay Trl</t>
  </si>
  <si>
    <t>Riverside, CA 92509</t>
  </si>
  <si>
    <t>(909) 489-0084</t>
  </si>
  <si>
    <t>4500 Woodman Ave B203</t>
  </si>
  <si>
    <t>(818) 836-8894</t>
  </si>
  <si>
    <t>640 kingswood ln. Unit-E</t>
  </si>
  <si>
    <t>Simivalley, CA 93065</t>
  </si>
  <si>
    <t>(805) 501-1217</t>
  </si>
  <si>
    <t>Los Angeles, CA 90008</t>
  </si>
  <si>
    <t>4232 South Grand Avenue</t>
  </si>
  <si>
    <t>(213) 909-3876</t>
  </si>
  <si>
    <t>4238 s grand ave apt 3</t>
  </si>
  <si>
    <t>(213) 858-8610</t>
  </si>
  <si>
    <t>3805 Flower Drive</t>
  </si>
  <si>
    <t>(323) 955-9626</t>
  </si>
  <si>
    <t>Inglewood, CA 90302</t>
  </si>
  <si>
    <t>6316 Stafford Ave #A</t>
  </si>
  <si>
    <t>(323) 635-7729</t>
  </si>
  <si>
    <t>10404 Oxnard Street</t>
  </si>
  <si>
    <t>North Hollywood, CA 91606</t>
  </si>
  <si>
    <t>(818) 802-9901</t>
  </si>
  <si>
    <t>2227 Angelus Ave</t>
  </si>
  <si>
    <t>Rosemead, CA 91770</t>
  </si>
  <si>
    <t>(626) 438-2001</t>
  </si>
  <si>
    <t>1223 west 112th st</t>
  </si>
  <si>
    <t>(323) 333-6919</t>
  </si>
  <si>
    <t>1109 south lake street #301</t>
  </si>
  <si>
    <t>(213) 570-9839</t>
  </si>
  <si>
    <t>2626 Kenwood Ave</t>
  </si>
  <si>
    <t>Los Angeles, CA 90007</t>
  </si>
  <si>
    <t>(818) 693-7227</t>
  </si>
  <si>
    <t>Los angeles, CA 90037</t>
  </si>
  <si>
    <t>352 E 51 st</t>
  </si>
  <si>
    <t>Los Ángeles, CA 90011</t>
  </si>
  <si>
    <t>(323) 921-1201</t>
  </si>
  <si>
    <t>2701 Exposition Pl</t>
  </si>
  <si>
    <t>(323) 239-7122</t>
  </si>
  <si>
    <t>2083 Chestnut ave</t>
  </si>
  <si>
    <t>(818) 802-2127</t>
  </si>
  <si>
    <t>421 North Doheny Dr#9</t>
  </si>
  <si>
    <t>Beverly Hills, CA 90210</t>
  </si>
  <si>
    <t>(310) 228-0763</t>
  </si>
  <si>
    <t>2308 W.Corydon St</t>
  </si>
  <si>
    <t>Compton, CA 90220-3310</t>
  </si>
  <si>
    <t>(310) 722-2863</t>
  </si>
  <si>
    <t>616 S. Taylor Ave.</t>
  </si>
  <si>
    <t>(609) 412-0859</t>
  </si>
  <si>
    <t>1960 corson street</t>
  </si>
  <si>
    <t>Pasadena, CA 91107</t>
  </si>
  <si>
    <t>(626) 360-8949</t>
  </si>
  <si>
    <t>2071 Lemon ave</t>
  </si>
  <si>
    <t>(562) 290-7279</t>
  </si>
  <si>
    <t>930 E 106th St</t>
  </si>
  <si>
    <t>(323) 944-4474</t>
  </si>
  <si>
    <t>13246 Old Foothill Blvd</t>
  </si>
  <si>
    <t>Santa Ana, CA 92705</t>
  </si>
  <si>
    <t>(502) 224-9052</t>
  </si>
  <si>
    <t>11658 Coldbrook Ave</t>
  </si>
  <si>
    <t>Downey, CA 90241</t>
  </si>
  <si>
    <t>(951) 616-8598</t>
  </si>
  <si>
    <t>426 E 40th pla</t>
  </si>
  <si>
    <t>(818) 619-4541</t>
  </si>
  <si>
    <t>3730 West 27th street apt.308</t>
  </si>
  <si>
    <t>(310) 749-4840</t>
  </si>
  <si>
    <t>354 S Normandie Ave</t>
  </si>
  <si>
    <t>(817) 602-7825</t>
  </si>
  <si>
    <t>4212 s grand ave</t>
  </si>
  <si>
    <t>(323) 470-7337</t>
  </si>
  <si>
    <t>4212 S Grand ave</t>
  </si>
  <si>
    <t>(323) 767-9324</t>
  </si>
  <si>
    <t>430 South Union Avenue Apt #100</t>
  </si>
  <si>
    <t>(213) 451-9772</t>
  </si>
  <si>
    <t>1113 w 42nd st</t>
  </si>
  <si>
    <t>(714) 702-2326</t>
  </si>
  <si>
    <t>1360 s Burlington Ave apt 110</t>
  </si>
  <si>
    <t>12121 Ainsworth Street</t>
  </si>
  <si>
    <t>(562) 241-8201</t>
  </si>
  <si>
    <t>5929 Laurel Canyon Blvd. #18</t>
  </si>
  <si>
    <t>(323) 203-7854</t>
  </si>
  <si>
    <t>9814 S Budlong Ave</t>
  </si>
  <si>
    <t>(323) 972-2196</t>
  </si>
  <si>
    <t>1025 W 23rd Street Apt 5</t>
  </si>
  <si>
    <t>(213) 400-9512</t>
  </si>
  <si>
    <t>4226 S. Grand Ave Apt.4</t>
  </si>
  <si>
    <t>(323) 810-3317</t>
  </si>
  <si>
    <t>8720 Bandera s.t</t>
  </si>
  <si>
    <t>Los angeles, CA 90002</t>
  </si>
  <si>
    <t>(323) 581-5554</t>
  </si>
  <si>
    <t>5115 Monte Vista St Apt 11</t>
  </si>
  <si>
    <t>(213) 464-7388</t>
  </si>
  <si>
    <t>5316 Knowlton Street</t>
  </si>
  <si>
    <t>Los Angeles, CA 90045</t>
  </si>
  <si>
    <t>(424) 393-9033</t>
  </si>
  <si>
    <t>417 South Hill St. Apt 931</t>
  </si>
  <si>
    <t>Los Angeles, CA 90013</t>
  </si>
  <si>
    <t>(240) 357-8325</t>
  </si>
  <si>
    <t>312 1/2 Newland street</t>
  </si>
  <si>
    <t>LosAngeles, CA 90042</t>
  </si>
  <si>
    <t>(323) 381-8022</t>
  </si>
  <si>
    <t>702 s harris ave</t>
  </si>
  <si>
    <t>Campton, CA 90221</t>
  </si>
  <si>
    <t>547-77-1250</t>
  </si>
  <si>
    <t>AYALA, RANDY</t>
  </si>
  <si>
    <t>609-82-2243</t>
  </si>
  <si>
    <t>Gonzalez Rosas, Abelardo</t>
  </si>
  <si>
    <t>602-33-7921</t>
  </si>
  <si>
    <t>553-89-7204</t>
  </si>
  <si>
    <t>3525 1/2 Randolph Place</t>
  </si>
  <si>
    <t>(323) 479-4165</t>
  </si>
  <si>
    <t>HAMLIN, PHYLLIS E.</t>
  </si>
  <si>
    <t>558-11-8126</t>
  </si>
  <si>
    <t>373  East Washington Boulevard Suite F</t>
  </si>
  <si>
    <t>(323) 356-5825</t>
  </si>
  <si>
    <t>603-66-3162</t>
  </si>
  <si>
    <t>HARRIS, JASMINE J.</t>
  </si>
  <si>
    <t>604-07-2517</t>
  </si>
  <si>
    <t>11652 York Ave unit 5</t>
  </si>
  <si>
    <t>(323) 875-3535</t>
  </si>
  <si>
    <t>Marcial, Edith</t>
  </si>
  <si>
    <t>738-47-4709</t>
  </si>
  <si>
    <t>146 W 76th St</t>
  </si>
  <si>
    <t>(323) 476-8951</t>
  </si>
  <si>
    <t>MARTINEZ DE GUADARRAMA, MARIA</t>
  </si>
  <si>
    <t>614-05-9861</t>
  </si>
  <si>
    <t>4110  S. Wall</t>
  </si>
  <si>
    <t>(213) 422-8903</t>
  </si>
  <si>
    <t>MARTINEZ, FRANK A.</t>
  </si>
  <si>
    <t>618-90-6628</t>
  </si>
  <si>
    <t>MELNIK, DANILO</t>
  </si>
  <si>
    <t>476-77-2469</t>
  </si>
  <si>
    <t>625-65-1205</t>
  </si>
  <si>
    <t>938 S Eastman Ave</t>
  </si>
  <si>
    <t>(323) 537-6583</t>
  </si>
  <si>
    <t>REYES, JUAN</t>
  </si>
  <si>
    <t>699-97-0101</t>
  </si>
  <si>
    <t>2508 Walnut St</t>
  </si>
  <si>
    <t>Huntington pk, CA 90255</t>
  </si>
  <si>
    <t>(213) 997-3244</t>
  </si>
  <si>
    <t>SENSENEY, Martha (MARTY) E.</t>
  </si>
  <si>
    <t>233-74-4365</t>
  </si>
  <si>
    <t>1253 N. Hayworth Ave. Apt 201</t>
  </si>
  <si>
    <t>West Hollywood, CA 90046</t>
  </si>
  <si>
    <t>(310) 927-1746</t>
  </si>
  <si>
    <t>ANDON Gomez, KEVIN D.</t>
  </si>
  <si>
    <t>096-88-6401</t>
  </si>
  <si>
    <t>(818) 209-5759</t>
  </si>
  <si>
    <t>BOYD, ODESSER</t>
  </si>
  <si>
    <t>249-97-3944</t>
  </si>
  <si>
    <t>Brito, Mario R.</t>
  </si>
  <si>
    <t>603-60-4601</t>
  </si>
  <si>
    <t>232 W 49th St</t>
  </si>
  <si>
    <t>(213) 298-7039</t>
  </si>
  <si>
    <t>1654 W 60th St</t>
  </si>
  <si>
    <t>Ceniceros, Luis</t>
  </si>
  <si>
    <t>602-24-2686</t>
  </si>
  <si>
    <t>Christopher, Jahcai</t>
  </si>
  <si>
    <t>608-53-9720</t>
  </si>
  <si>
    <t>Playa vista, CA 90293</t>
  </si>
  <si>
    <t>(323) 348-3435</t>
  </si>
  <si>
    <t>Christopher, jahmai</t>
  </si>
  <si>
    <t>608-53-9719</t>
  </si>
  <si>
    <t>(323) 348-3467</t>
  </si>
  <si>
    <t>COCOMA, Jayde C.</t>
  </si>
  <si>
    <t>578-39-0167</t>
  </si>
  <si>
    <t>COOKE II, ROBERT</t>
  </si>
  <si>
    <t>623-48-1831</t>
  </si>
  <si>
    <t>DIAZ SENIOR, ENRIQUE</t>
  </si>
  <si>
    <t>556-95-9081</t>
  </si>
  <si>
    <t>1133 Justin Ave #231</t>
  </si>
  <si>
    <t>Glendale, CA 91201</t>
  </si>
  <si>
    <t>(818) 667-8927</t>
  </si>
  <si>
    <t>ESPINOZA, KIMBERLY</t>
  </si>
  <si>
    <t>607-25-6240</t>
  </si>
  <si>
    <t>Garcia, Rosa</t>
  </si>
  <si>
    <t>608-31-3192</t>
  </si>
  <si>
    <t>Gonzalez, Dahlia</t>
  </si>
  <si>
    <t>602-15-1131</t>
  </si>
  <si>
    <t>(909) 373-5232</t>
  </si>
  <si>
    <t>LOPEZ, ESMERALDA</t>
  </si>
  <si>
    <t>539-25-3879</t>
  </si>
  <si>
    <t>MANZANARES, BLANCA</t>
  </si>
  <si>
    <t>560-99-0363</t>
  </si>
  <si>
    <t>Downey, CA 90240</t>
  </si>
  <si>
    <t>MANZO, ALONSO D.</t>
  </si>
  <si>
    <t>602-33-8851</t>
  </si>
  <si>
    <t>825 1/2 W 41St Dr</t>
  </si>
  <si>
    <t>(323) 571-8357</t>
  </si>
  <si>
    <t>MOLETT, DEVONTAY T.</t>
  </si>
  <si>
    <t>607-48-0044</t>
  </si>
  <si>
    <t>POLIO, ANDREW</t>
  </si>
  <si>
    <t>624-94-2740</t>
  </si>
  <si>
    <t>(424) 210-1082</t>
  </si>
  <si>
    <t>RIVERA, THALIA Y.</t>
  </si>
  <si>
    <t>605-23-7149</t>
  </si>
  <si>
    <t>1229 E 47th St</t>
  </si>
  <si>
    <t>(213) 507-8360</t>
  </si>
  <si>
    <t>Los Angeles, CA 90029</t>
  </si>
  <si>
    <t>Woods, Nicole C.</t>
  </si>
  <si>
    <t>551-45-7307</t>
  </si>
  <si>
    <t>612 w 81st St #5</t>
  </si>
  <si>
    <t>(424) 207-0301</t>
  </si>
  <si>
    <t>Gillespie, Myles</t>
  </si>
  <si>
    <t>349-96-9614</t>
  </si>
  <si>
    <t>Reed, Erin</t>
  </si>
  <si>
    <t>128-84-9274</t>
  </si>
  <si>
    <t>Rosales, Larry</t>
  </si>
  <si>
    <t>622-05-2748</t>
  </si>
  <si>
    <t>ABDULLAH-LEE, NOAH H.</t>
  </si>
  <si>
    <t>614-39-2240</t>
  </si>
  <si>
    <t>AGUIRRE, ALICE</t>
  </si>
  <si>
    <t>611-49-7156</t>
  </si>
  <si>
    <t>ALLEN, ANIYA</t>
  </si>
  <si>
    <t>615-31-0176</t>
  </si>
  <si>
    <t>Bevans, Wahnee K.</t>
  </si>
  <si>
    <t>553-83-0638</t>
  </si>
  <si>
    <t>BRIGGS, ANDREW</t>
  </si>
  <si>
    <t>620-53-5252</t>
  </si>
  <si>
    <t>CARRERO, NICHOLAS J.</t>
  </si>
  <si>
    <t>142-96-2053</t>
  </si>
  <si>
    <t>COLY, ELISABETH EVA CHRIST</t>
  </si>
  <si>
    <t>718-61-6659</t>
  </si>
  <si>
    <t>Daffin, Jada C.</t>
  </si>
  <si>
    <t>623-49-8777</t>
  </si>
  <si>
    <t>DELONG, KIRK D.</t>
  </si>
  <si>
    <t>542-04-4415</t>
  </si>
  <si>
    <t>FIELDS, PARIS C.</t>
  </si>
  <si>
    <t>616-49-4899</t>
  </si>
  <si>
    <t>FLETCHER -BELL, DAMONTE</t>
  </si>
  <si>
    <t>353-96-8417</t>
  </si>
  <si>
    <t>FORD, CHRISTOPHER RYAN</t>
  </si>
  <si>
    <t>430-75-8818</t>
  </si>
  <si>
    <t>GONZALEZ, RANDY</t>
  </si>
  <si>
    <t>603-53-4868</t>
  </si>
  <si>
    <t>GRANDBERRY, WILLIAM</t>
  </si>
  <si>
    <t>563-43-3745</t>
  </si>
  <si>
    <t>HAMPTOM IV, VERNON</t>
  </si>
  <si>
    <t>589-15-8380</t>
  </si>
  <si>
    <t>MACIAS BARJAS, MIGUEL</t>
  </si>
  <si>
    <t>615-45-4078</t>
  </si>
  <si>
    <t>MARTINEZ-PEREZ, ANA BEATRIZ</t>
  </si>
  <si>
    <t>007-87-9623</t>
  </si>
  <si>
    <t>MARTINEZ, JORGE L.</t>
  </si>
  <si>
    <t>603-58-2964</t>
  </si>
  <si>
    <t>Maxie, Carris</t>
  </si>
  <si>
    <t>610-51-3600</t>
  </si>
  <si>
    <t>McGee III, Bobby E.</t>
  </si>
  <si>
    <t>606-39-5663</t>
  </si>
  <si>
    <t>MELARA, ANA PAOLA</t>
  </si>
  <si>
    <t>609-11-0760</t>
  </si>
  <si>
    <t>MONTES FAUSTO, CHRISTOPHER E.</t>
  </si>
  <si>
    <t>495-83-0498</t>
  </si>
  <si>
    <t>MORRIS, JONAI STANLEY</t>
  </si>
  <si>
    <t>625-04-4432</t>
  </si>
  <si>
    <t>Mulat, Tsehaynesh T.</t>
  </si>
  <si>
    <t>616-63-8801</t>
  </si>
  <si>
    <t>OROZCO, AMY</t>
  </si>
  <si>
    <t>608-66-3129</t>
  </si>
  <si>
    <t>PERCINO, BRIAN M.</t>
  </si>
  <si>
    <t>625-43-5169</t>
  </si>
  <si>
    <t>PEREZ GRANADOS, ARASELI G.</t>
  </si>
  <si>
    <t>603-62-0590</t>
  </si>
  <si>
    <t>PEREZ, RAYMOND I.</t>
  </si>
  <si>
    <t>615-51-5678</t>
  </si>
  <si>
    <t>PEREZ, RICHARD D.</t>
  </si>
  <si>
    <t>605-29-0216</t>
  </si>
  <si>
    <t>PRINCEIPE, ALEXANDER</t>
  </si>
  <si>
    <t>671-10-4627</t>
  </si>
  <si>
    <t>RODRIGUEZ, DAVID</t>
  </si>
  <si>
    <t>613-29-7222</t>
  </si>
  <si>
    <t>SABBS, EBONY</t>
  </si>
  <si>
    <t>624-54-4527</t>
  </si>
  <si>
    <t>SANCHEZ II, MARCIA A.</t>
  </si>
  <si>
    <t>756-79-5916</t>
  </si>
  <si>
    <t>SANCHEZ, KEVIN</t>
  </si>
  <si>
    <t>620-29-1892</t>
  </si>
  <si>
    <t>SHORTER, ASHTON</t>
  </si>
  <si>
    <t>620-19-6755</t>
  </si>
  <si>
    <t>SIMS, Angel</t>
  </si>
  <si>
    <t>610-31-4976</t>
  </si>
  <si>
    <t>URQUILLA FRANCO, DIEGO M.</t>
  </si>
  <si>
    <t>623-45-5609</t>
  </si>
  <si>
    <t>VAN DER PLAS, QUINCY SAMUEL</t>
  </si>
  <si>
    <t>607-21-0701</t>
  </si>
  <si>
    <t>VILLEGAS, DESIREE</t>
  </si>
  <si>
    <t>612-39-7554</t>
  </si>
  <si>
    <t>WASHINGTON, ANTHONEY D.</t>
  </si>
  <si>
    <t>613-19-1782</t>
  </si>
  <si>
    <t>WYATT, ALBERT LOUIS</t>
  </si>
  <si>
    <t>556-90-6764</t>
  </si>
  <si>
    <t>ZARATE, DAVID A.</t>
  </si>
  <si>
    <t>610-51-7839</t>
  </si>
  <si>
    <t>15700 Belshire Ave Apt.22</t>
  </si>
  <si>
    <t>(562) 607-9499</t>
  </si>
  <si>
    <t>8770 South Broadway</t>
  </si>
  <si>
    <t>(661) 802-2786</t>
  </si>
  <si>
    <t>Lynwood, CA 90262</t>
  </si>
  <si>
    <t>24093 Seton Pl</t>
  </si>
  <si>
    <t>Moreno Valley, CA 92557</t>
  </si>
  <si>
    <t>(818) 814-4622</t>
  </si>
  <si>
    <t>426 E 20 TH ST</t>
  </si>
  <si>
    <t>(323) 812-1323</t>
  </si>
  <si>
    <t>7407 Ciro St</t>
  </si>
  <si>
    <t>(562) 333-0754</t>
  </si>
  <si>
    <t>21104 Normandie ave spc 33</t>
  </si>
  <si>
    <t>Torrance, CA 90502</t>
  </si>
  <si>
    <t>(323) 395-1260</t>
  </si>
  <si>
    <t>1641 W 58th ST</t>
  </si>
  <si>
    <t>(323) 849-5548</t>
  </si>
  <si>
    <t>2341 Portland st Apt 205</t>
  </si>
  <si>
    <t>(323) 423-7275</t>
  </si>
  <si>
    <t>722 E 116th Pl</t>
  </si>
  <si>
    <t>(661) 917-2626</t>
  </si>
  <si>
    <t>3963 McClung Drive</t>
  </si>
  <si>
    <t>1554 E 107th st</t>
  </si>
  <si>
    <t>407 South Caswell Avenue</t>
  </si>
  <si>
    <t>Compton, CA, CA 90220</t>
  </si>
  <si>
    <t>(424) 526-6499</t>
  </si>
  <si>
    <t>RAMSEY I, JEREARL D.</t>
  </si>
  <si>
    <t>617-17-1093</t>
  </si>
  <si>
    <t>10422 Evers Ave Apt 179</t>
  </si>
  <si>
    <t>(213) 422-8437</t>
  </si>
  <si>
    <t>Quintanar, Rosemary</t>
  </si>
  <si>
    <t>20700 san jose hills rd Apt 60</t>
  </si>
  <si>
    <t>SHERVANLOO, SCHAHRZAD</t>
  </si>
  <si>
    <t>Diaz, Ana I.</t>
  </si>
  <si>
    <t>Sanchez, Marina</t>
  </si>
  <si>
    <t>3306 Casitas Ave</t>
  </si>
  <si>
    <t>Los Angeles, CA 90039</t>
  </si>
  <si>
    <t>Hoover, Darcell</t>
  </si>
  <si>
    <t>Hernandez, Lissette</t>
  </si>
  <si>
    <t>Rivas, Maria</t>
  </si>
  <si>
    <t>Juan, Pablo</t>
  </si>
  <si>
    <t>Diaz, Jorge</t>
  </si>
  <si>
    <t>Espinoza, Reina I.</t>
  </si>
  <si>
    <t>Rojas, lesley</t>
  </si>
  <si>
    <t>Leave of absence</t>
  </si>
  <si>
    <t>TORRES, BLANCA E.</t>
  </si>
  <si>
    <t>Tipton II, Bradford C.</t>
  </si>
  <si>
    <t>Heisler, Ashley</t>
  </si>
  <si>
    <t>BEBO, STEPHANIE</t>
  </si>
  <si>
    <t>GUERRERO, ALEJANDRA</t>
  </si>
  <si>
    <t>BLANEY, JOURDYN N.</t>
  </si>
  <si>
    <t>RODRIGUEZ, ZOILA M.</t>
  </si>
  <si>
    <t>HARDY, TEAKATA</t>
  </si>
  <si>
    <t>TOCAY, RONALD</t>
  </si>
  <si>
    <t>ZHAO, NANCY</t>
  </si>
  <si>
    <t>SOBERANES, ALEJANDRO</t>
  </si>
  <si>
    <t>MARKS, CAILEN C.</t>
  </si>
  <si>
    <t>333 1st Street F209</t>
  </si>
  <si>
    <t>Seal Beach, CA 90740</t>
  </si>
  <si>
    <t>PENA MEDINA, GREGORIA</t>
  </si>
  <si>
    <t>1323 w 23rd st</t>
  </si>
  <si>
    <t>MAK, Samatha</t>
  </si>
  <si>
    <t>CHAPA, VICTOR</t>
  </si>
  <si>
    <t>Zuniga, Destiny P.</t>
  </si>
  <si>
    <t>GONZALES, LUPE</t>
  </si>
  <si>
    <t>Hunter, Isis</t>
  </si>
  <si>
    <t>Cash, Paul</t>
  </si>
  <si>
    <t>Kakhetelidze, Luka</t>
  </si>
  <si>
    <t>Rojas Herrera, Ana M.</t>
  </si>
  <si>
    <t>Meraz, Ingrid L.</t>
  </si>
  <si>
    <t>Torres, Hermes</t>
  </si>
  <si>
    <t>AMEZOLA, FRED</t>
  </si>
  <si>
    <t>GONZALEZ, FREDY</t>
  </si>
  <si>
    <t>Haro, John</t>
  </si>
  <si>
    <t>PAULINO, MARIA</t>
  </si>
  <si>
    <t>5914 Willowcrest Apt 1</t>
  </si>
  <si>
    <t>1437 E 15th St</t>
  </si>
  <si>
    <t>Alonso, Jose</t>
  </si>
  <si>
    <t>626-47-1926</t>
  </si>
  <si>
    <t>514 S Westlake Ave, Apt 107</t>
  </si>
  <si>
    <t>(213) 705-9380</t>
  </si>
  <si>
    <t>Bravo, Fernando</t>
  </si>
  <si>
    <t>605-41-8022</t>
  </si>
  <si>
    <t>748 E 43rd St</t>
  </si>
  <si>
    <t>(323) 678-8290</t>
  </si>
  <si>
    <t>COLLAZO, ALYSSA A.</t>
  </si>
  <si>
    <t>622-43-7887</t>
  </si>
  <si>
    <t>7402 Whitsett Ave</t>
  </si>
  <si>
    <t>(323) 540-1599</t>
  </si>
  <si>
    <t>FELDER, SHY</t>
  </si>
  <si>
    <t>545-53-3876</t>
  </si>
  <si>
    <t>3589 Mulford Ave.</t>
  </si>
  <si>
    <t>Lynnwood, CA 90262</t>
  </si>
  <si>
    <t>(323) 239-9114</t>
  </si>
  <si>
    <t>Fuentes, Luis A.</t>
  </si>
  <si>
    <t>612-41-3532</t>
  </si>
  <si>
    <t>4760 s central ave</t>
  </si>
  <si>
    <t>Gonzalez, Apolinar</t>
  </si>
  <si>
    <t>621-01-4930</t>
  </si>
  <si>
    <t>1659 W 51 Pl</t>
  </si>
  <si>
    <t>(323) 247-1060</t>
  </si>
  <si>
    <t>Hunt, Asia</t>
  </si>
  <si>
    <t>621-48-1396</t>
  </si>
  <si>
    <t>Larios, Candelaria</t>
  </si>
  <si>
    <t>856-54-1976</t>
  </si>
  <si>
    <t>OSEGUERA, SUSAN</t>
  </si>
  <si>
    <t>626-84-8384</t>
  </si>
  <si>
    <t>(714) 597-3366</t>
  </si>
  <si>
    <t>RAMIREZ, ANGEL S.</t>
  </si>
  <si>
    <t>376-65-8772</t>
  </si>
  <si>
    <t>1170 1/2 Exposition Blvd</t>
  </si>
  <si>
    <t>(213) 418-5047</t>
  </si>
  <si>
    <t>Redden, Phillip D.</t>
  </si>
  <si>
    <t>554-71-5274</t>
  </si>
  <si>
    <t>4725 August St Apt.1</t>
  </si>
  <si>
    <t>(323) 291-8111</t>
  </si>
  <si>
    <t>Rivera, Kaitlin M.</t>
  </si>
  <si>
    <t>624-45-7412</t>
  </si>
  <si>
    <t>4131 1/4 Normal Ave</t>
  </si>
  <si>
    <t>(323) 805-9684</t>
  </si>
  <si>
    <t>Rocha, Maria I.</t>
  </si>
  <si>
    <t>625-07-3111</t>
  </si>
  <si>
    <t>Sevilla, Juan C.</t>
  </si>
  <si>
    <t>604-51-6170</t>
  </si>
  <si>
    <t>Acosta, Vilma E.</t>
  </si>
  <si>
    <t>710-94-5604</t>
  </si>
  <si>
    <t>Addison, Richard</t>
  </si>
  <si>
    <t>610-59-5928</t>
  </si>
  <si>
    <t>Aguilera, Kevin</t>
  </si>
  <si>
    <t>608-80-8895</t>
  </si>
  <si>
    <t>Allison, Kameron</t>
  </si>
  <si>
    <t>323-02-9689</t>
  </si>
  <si>
    <t>Amaya, Alma</t>
  </si>
  <si>
    <t>618-50-8242</t>
  </si>
  <si>
    <t>Apolinar, Citlali</t>
  </si>
  <si>
    <t>624-45-2335</t>
  </si>
  <si>
    <t>Barnes, Darrionna</t>
  </si>
  <si>
    <t>346-90-4314</t>
  </si>
  <si>
    <t>Blair, Sasha</t>
  </si>
  <si>
    <t>609-46-1299</t>
  </si>
  <si>
    <t>Broadie, Zakiyiah</t>
  </si>
  <si>
    <t>578-39-0498</t>
  </si>
  <si>
    <t>Camargo Arguelles, Rafael A.</t>
  </si>
  <si>
    <t>598-11-3759</t>
  </si>
  <si>
    <t>Diaz, Denisse</t>
  </si>
  <si>
    <t>515-23-7423</t>
  </si>
  <si>
    <t>Fabian, Jonathan</t>
  </si>
  <si>
    <t>123-81-6858</t>
  </si>
  <si>
    <t>Farfan, Aaron</t>
  </si>
  <si>
    <t>618-78-3623</t>
  </si>
  <si>
    <t>Green-Butler, Alexandria D.</t>
  </si>
  <si>
    <t>621-15-5729</t>
  </si>
  <si>
    <t>Johnson, Arjay</t>
  </si>
  <si>
    <t>603-41-8493</t>
  </si>
  <si>
    <t>Lopez, Andrew</t>
  </si>
  <si>
    <t>625-31-4915</t>
  </si>
  <si>
    <t>Maduena, Steve</t>
  </si>
  <si>
    <t>611-49-1501</t>
  </si>
  <si>
    <t>McCray, Johnathan L.</t>
  </si>
  <si>
    <t>612-53-1502</t>
  </si>
  <si>
    <t>Nahajar, Robin</t>
  </si>
  <si>
    <t>609-86-6562</t>
  </si>
  <si>
    <t>Ponce, Andrew A.</t>
  </si>
  <si>
    <t>624-47-6137</t>
  </si>
  <si>
    <t>Purifoy, Tatrique D.</t>
  </si>
  <si>
    <t>430-87-2838</t>
  </si>
  <si>
    <t>Ramirez, Martin</t>
  </si>
  <si>
    <t>614-49-1972</t>
  </si>
  <si>
    <t>Reyes, Frank</t>
  </si>
  <si>
    <t>626-80-7870</t>
  </si>
  <si>
    <t>Reyes, Ricardo</t>
  </si>
  <si>
    <t>626-74-0984</t>
  </si>
  <si>
    <t>Rosales, Jhezrel R.</t>
  </si>
  <si>
    <t>613-41-0337</t>
  </si>
  <si>
    <t>Salazar-Castillo, Noemi</t>
  </si>
  <si>
    <t>620-23-2439</t>
  </si>
  <si>
    <t>Torres, Angel O.</t>
  </si>
  <si>
    <t>605-55-8388</t>
  </si>
  <si>
    <t>Villalobos, Hector</t>
  </si>
  <si>
    <t>620-53-2760</t>
  </si>
  <si>
    <t>Zavala, Melissa M.</t>
  </si>
  <si>
    <t>607-47-0531</t>
  </si>
  <si>
    <t>153 w 71 st</t>
  </si>
  <si>
    <t>(213) 446-4417</t>
  </si>
  <si>
    <t>5153 S Victoria Ave</t>
  </si>
  <si>
    <t>Los Angeles, CA 90043</t>
  </si>
  <si>
    <t>(213) 820-2054</t>
  </si>
  <si>
    <t>9706 San Miguel Ave</t>
  </si>
  <si>
    <t>(323) 775-3036</t>
  </si>
  <si>
    <t>133 E 25th St</t>
  </si>
  <si>
    <t>(323) 379-9899</t>
  </si>
  <si>
    <t>752 S Main St 452</t>
  </si>
  <si>
    <t>(773) 541-0977</t>
  </si>
  <si>
    <t>2222 w 15th st. Apt#307</t>
  </si>
  <si>
    <t>(213) 842-5276</t>
  </si>
  <si>
    <t>855 W El Repetto Dr. Apt D81</t>
  </si>
  <si>
    <t>Monterey Park, CA 91754</t>
  </si>
  <si>
    <t>(310) 406-4260</t>
  </si>
  <si>
    <t>14135 Cerise Ave Apt 117</t>
  </si>
  <si>
    <t>(424) 217-9833</t>
  </si>
  <si>
    <t>3816 Josephine St</t>
  </si>
  <si>
    <t>(323) 615-8989</t>
  </si>
  <si>
    <t>2228 w 14th st apt 105</t>
  </si>
  <si>
    <t>Los angeles, CA 90006</t>
  </si>
  <si>
    <t>(323) 403-6172</t>
  </si>
  <si>
    <t>110 E 105th st</t>
  </si>
  <si>
    <t>Los Ángeles, CA 90003</t>
  </si>
  <si>
    <t>(424) 768-2156</t>
  </si>
  <si>
    <t>3900 s Broadway st</t>
  </si>
  <si>
    <t>(323) 517-8351</t>
  </si>
  <si>
    <t>11421 California Ave</t>
  </si>
  <si>
    <t>1325 S Hoover St. apt 102</t>
  </si>
  <si>
    <t>(323) 401-5314</t>
  </si>
  <si>
    <t>3108 El Segundo Blvd Apt 2</t>
  </si>
  <si>
    <t>(424) 373-0997</t>
  </si>
  <si>
    <t>1302 E 41st street Apt #201</t>
  </si>
  <si>
    <t>(323) 557-2667</t>
  </si>
  <si>
    <t>ALCAZAR, LOUIE A.</t>
  </si>
  <si>
    <t>Amigon, Judith</t>
  </si>
  <si>
    <t>623-78-6472</t>
  </si>
  <si>
    <t>Arellanes, Jacob</t>
  </si>
  <si>
    <t>614-80-4086</t>
  </si>
  <si>
    <t>Bailon, Denisse M.</t>
  </si>
  <si>
    <t>729-14-9013</t>
  </si>
  <si>
    <t>Baker, Aniyah</t>
  </si>
  <si>
    <t>760-01-7557</t>
  </si>
  <si>
    <t>Ball, Sanaiya</t>
  </si>
  <si>
    <t>609-55-0657</t>
  </si>
  <si>
    <t>Bravo, Gabriela</t>
  </si>
  <si>
    <t>616-20-6904</t>
  </si>
  <si>
    <t>Cardenas, Daniel F.</t>
  </si>
  <si>
    <t>613-57-2649</t>
  </si>
  <si>
    <t>Castillo, Christian</t>
  </si>
  <si>
    <t>606-17-2939</t>
  </si>
  <si>
    <t>Cerezo, Osman D.</t>
  </si>
  <si>
    <t>607-51-5318</t>
  </si>
  <si>
    <t>Cortes, Luis F.</t>
  </si>
  <si>
    <t>623-15-8342</t>
  </si>
  <si>
    <t>De La Rosa, Gesel</t>
  </si>
  <si>
    <t>626-25-3481</t>
  </si>
  <si>
    <t>Duhon, Dylan J.</t>
  </si>
  <si>
    <t>594-45-9478</t>
  </si>
  <si>
    <t>Ford, Lonnie E.</t>
  </si>
  <si>
    <t>616-43-6511</t>
  </si>
  <si>
    <t>Guardado, Omar J.</t>
  </si>
  <si>
    <t>615-19-5717</t>
  </si>
  <si>
    <t>Hernandez, Robert</t>
  </si>
  <si>
    <t>615-51-5584</t>
  </si>
  <si>
    <t>Jackson Jr., Warren E.</t>
  </si>
  <si>
    <t>606-48-9945</t>
  </si>
  <si>
    <t>JEWETT, BEVERLY</t>
  </si>
  <si>
    <t>425-04-6097</t>
  </si>
  <si>
    <t>Lagunas Gomez, Azucena</t>
  </si>
  <si>
    <t>572-04-7593</t>
  </si>
  <si>
    <t>Madison, Taylor</t>
  </si>
  <si>
    <t>248-91-3694</t>
  </si>
  <si>
    <t>Marroquin, Jennifer</t>
  </si>
  <si>
    <t>609-76-8023</t>
  </si>
  <si>
    <t>Mendoza, Bryan</t>
  </si>
  <si>
    <t>624-51-1770</t>
  </si>
  <si>
    <t>Molina, Erick</t>
  </si>
  <si>
    <t>625-47-1856</t>
  </si>
  <si>
    <t>Parra III, Robert</t>
  </si>
  <si>
    <t>604-30-6463</t>
  </si>
  <si>
    <t>Rodriguez, Yulissa</t>
  </si>
  <si>
    <t>611-98-6309</t>
  </si>
  <si>
    <t>Romero, Sonia</t>
  </si>
  <si>
    <t>548-67-2698</t>
  </si>
  <si>
    <t>Salazar, Raquel</t>
  </si>
  <si>
    <t>625-47-7046</t>
  </si>
  <si>
    <t>Smith, Amira</t>
  </si>
  <si>
    <t>626-47-0948</t>
  </si>
  <si>
    <t>Sola, Jacob</t>
  </si>
  <si>
    <t>605-13-6149</t>
  </si>
  <si>
    <t>Talley, Tieantay</t>
  </si>
  <si>
    <t>612-38-6924</t>
  </si>
  <si>
    <t>Uribe, Mauricio</t>
  </si>
  <si>
    <t>603-72-9717</t>
  </si>
  <si>
    <t>Vergara Carranza, Petra</t>
  </si>
  <si>
    <t>612-43-8414</t>
  </si>
  <si>
    <t>Wilson, Dorian</t>
  </si>
  <si>
    <t>250-91-0492</t>
  </si>
  <si>
    <t>Quiroa, Glenda</t>
  </si>
  <si>
    <t>706-62-1518</t>
  </si>
  <si>
    <t>3951 HALLDALE AVE.</t>
  </si>
  <si>
    <t>1120 W 6TH ST #1154</t>
  </si>
  <si>
    <t>1661 W 182nd St Apt 8</t>
  </si>
  <si>
    <t>Gardena, CA 90248</t>
  </si>
  <si>
    <t>(323) 944-8679</t>
  </si>
  <si>
    <t>(323) 772-2409</t>
  </si>
  <si>
    <t>181 W 41st Pl Apt, 5</t>
  </si>
  <si>
    <t>Los Anfgeles, CA 90037</t>
  </si>
  <si>
    <t>(626) 549-7403</t>
  </si>
  <si>
    <t>762 Via Altamira Apt 21</t>
  </si>
  <si>
    <t>(323) 712-5623</t>
  </si>
  <si>
    <t>1514 West 46 Street 1/2</t>
  </si>
  <si>
    <t>(323) 694-8834</t>
  </si>
  <si>
    <t>1205 W 65th Pl</t>
  </si>
  <si>
    <t>(539) 281-9291</t>
  </si>
  <si>
    <t>Inglewood, CA 90303</t>
  </si>
  <si>
    <t>762 Via Altamira apt.21</t>
  </si>
  <si>
    <t>(323) 360-2977</t>
  </si>
  <si>
    <t>1033 W 56th St</t>
  </si>
  <si>
    <t>(323) 534-5611</t>
  </si>
  <si>
    <t>2842 E 6th Street</t>
  </si>
  <si>
    <t>(323) 702-5129</t>
  </si>
  <si>
    <t>2408 S Grand Ave Apt 2</t>
  </si>
  <si>
    <t>Los Angeles, CA 90007-2649</t>
  </si>
  <si>
    <t>(310) 266-5769</t>
  </si>
  <si>
    <t>118 E 97th St</t>
  </si>
  <si>
    <t>(323) 922-9626</t>
  </si>
  <si>
    <t>1884 1/2 West Adams BLVD</t>
  </si>
  <si>
    <t>(323) 891-9646</t>
  </si>
  <si>
    <t>1146 East 54st</t>
  </si>
  <si>
    <t>(323) 897-5690</t>
  </si>
  <si>
    <t>Los Angeles, CA 90031</t>
  </si>
  <si>
    <t>430 Coronado Ter. Apt. 2</t>
  </si>
  <si>
    <t>(213) 908-8512</t>
  </si>
  <si>
    <t>1325 S Hoover St Apt 102</t>
  </si>
  <si>
    <t>(323) 801-3266</t>
  </si>
  <si>
    <t>Bell Gardens, CA 90201</t>
  </si>
  <si>
    <t>1201 W 65th Pl</t>
  </si>
  <si>
    <t>(323) 514-3030</t>
  </si>
  <si>
    <t>5973 Loveland Street</t>
  </si>
  <si>
    <t>1134 E 47TH PL</t>
  </si>
  <si>
    <t>(323) 421-0466</t>
  </si>
  <si>
    <t>231 s carondelet st 10</t>
  </si>
  <si>
    <t>(213) 595-3721</t>
  </si>
  <si>
    <t>LEAL SILVA, MARCO A.</t>
  </si>
  <si>
    <t>730-35-6068</t>
  </si>
  <si>
    <t>729 E NUTWOOD ST APT 1</t>
  </si>
  <si>
    <t>(424) 361-9012</t>
  </si>
  <si>
    <t>Rumiantsev, Dmitrii</t>
  </si>
  <si>
    <t>123-35-5539</t>
  </si>
  <si>
    <t>6053 Craner Ave</t>
  </si>
  <si>
    <t>Los Angeles, CA 91606</t>
  </si>
  <si>
    <t>(310) 905-0450</t>
  </si>
  <si>
    <t>STAFFORD, KENNETH A.</t>
  </si>
  <si>
    <t>626-68-7118</t>
  </si>
  <si>
    <t>5321 2nd ave</t>
  </si>
  <si>
    <t>La, CA 90043</t>
  </si>
  <si>
    <t>(323) 713-8013</t>
  </si>
  <si>
    <t>Allen, Yeshayahuw</t>
  </si>
  <si>
    <t>606-35-4445</t>
  </si>
  <si>
    <t>1947 W 39th Pl Van Ness Avenue</t>
  </si>
  <si>
    <t>(323) 217-8663</t>
  </si>
  <si>
    <t>ALVAREZ, LUIS F.</t>
  </si>
  <si>
    <t>608-59-1294</t>
  </si>
  <si>
    <t>629 w 43rd st</t>
  </si>
  <si>
    <t>(424) 404-2342</t>
  </si>
  <si>
    <t>BROWN, NICHOLAS</t>
  </si>
  <si>
    <t>612-23-8959</t>
  </si>
  <si>
    <t>762 W 99th St</t>
  </si>
  <si>
    <t>(213) 400-6838</t>
  </si>
  <si>
    <t>Calzada, Noel</t>
  </si>
  <si>
    <t>613-25-6715</t>
  </si>
  <si>
    <t>COLEMAN-OWENS, YOLANDA</t>
  </si>
  <si>
    <t>545-43-3363</t>
  </si>
  <si>
    <t>5437 Virginia Ave APT 306</t>
  </si>
  <si>
    <t>(213) 678-0266</t>
  </si>
  <si>
    <t>DAVILA, WALTER S.</t>
  </si>
  <si>
    <t>611-02-6005</t>
  </si>
  <si>
    <t>DUNN, DIMITRO</t>
  </si>
  <si>
    <t>572-57-0299</t>
  </si>
  <si>
    <t>632 n brittania st</t>
  </si>
  <si>
    <t>(424) 888-9119</t>
  </si>
  <si>
    <t>FLOWERS, CHANELL</t>
  </si>
  <si>
    <t>614-10-9157</t>
  </si>
  <si>
    <t>GIRON, NALLELIZ</t>
  </si>
  <si>
    <t>616-55-8852</t>
  </si>
  <si>
    <t>JACKSON Jr., NYKAZA D.</t>
  </si>
  <si>
    <t>569-93-2580</t>
  </si>
  <si>
    <t>JONES, KIRSTEN</t>
  </si>
  <si>
    <t>407-59-6763</t>
  </si>
  <si>
    <t>Los Angeles, CA 90025</t>
  </si>
  <si>
    <t>Maluenda, Randall</t>
  </si>
  <si>
    <t>218-66-5912</t>
  </si>
  <si>
    <t>1831 Vine Street</t>
  </si>
  <si>
    <t>(626) 485-7748</t>
  </si>
  <si>
    <t>MCGILL, Melissa</t>
  </si>
  <si>
    <t>568-33-3171</t>
  </si>
  <si>
    <t>4159 Buckingham Rd #10#A</t>
  </si>
  <si>
    <t>(323) 471-9975</t>
  </si>
  <si>
    <t>ROJAS-ROMERO, STACEY</t>
  </si>
  <si>
    <t>606-49-8233</t>
  </si>
  <si>
    <t>1109 S Lake St Apt 301</t>
  </si>
  <si>
    <t>(213) 618-6748</t>
  </si>
  <si>
    <t>ZAVALA, JUAN A.</t>
  </si>
  <si>
    <t>618-55-8337</t>
  </si>
  <si>
    <t>1302 E 41st St Apt 201</t>
  </si>
  <si>
    <t>(323) 247-1305</t>
  </si>
  <si>
    <t>BESSER III, FRANK L.</t>
  </si>
  <si>
    <t>176-76-8381</t>
  </si>
  <si>
    <t>Covarrubias, Jacqueline</t>
  </si>
  <si>
    <t>623-37-6459</t>
  </si>
  <si>
    <t>6751 5th Ave</t>
  </si>
  <si>
    <t>Los Ángeles, CA 90043</t>
  </si>
  <si>
    <t>(323) 212-8381</t>
  </si>
  <si>
    <t>Maximo, Andrew</t>
  </si>
  <si>
    <t>625-27-9129</t>
  </si>
  <si>
    <t>Perez, Daisy</t>
  </si>
  <si>
    <t>608-49-3939</t>
  </si>
  <si>
    <t>SILVA, PAUL</t>
  </si>
  <si>
    <t>603-87-4824</t>
  </si>
  <si>
    <t>270 Margaret Ave</t>
  </si>
  <si>
    <t>(323) 522-1424</t>
  </si>
  <si>
    <t>SOLORZANO, MOISES I.</t>
  </si>
  <si>
    <t>624-49-0188</t>
  </si>
  <si>
    <t>Villegas, Haley D.</t>
  </si>
  <si>
    <t>608-19-1571</t>
  </si>
  <si>
    <t>ZARAGOZA, MARTHA</t>
  </si>
  <si>
    <t>609-50-6974</t>
  </si>
  <si>
    <t>SIBRIAN, NAIRBIS</t>
  </si>
  <si>
    <t>Concession Cart Attendant</t>
  </si>
  <si>
    <t>618-04-6521</t>
  </si>
  <si>
    <t>3573 Bell Ave</t>
  </si>
  <si>
    <t>(323) 456-9341</t>
  </si>
  <si>
    <t>CASTILLO, CARLOS A.</t>
  </si>
  <si>
    <t>616-57-9184</t>
  </si>
  <si>
    <t>1136 W 42nd St</t>
  </si>
  <si>
    <t>(323) 774-4831</t>
  </si>
  <si>
    <t>Cruz, Juilan</t>
  </si>
  <si>
    <t>680-64-4979</t>
  </si>
  <si>
    <t>EDINBYRD, RONALD</t>
  </si>
  <si>
    <t>616-84-5179</t>
  </si>
  <si>
    <t>Guerra, Augusto V.</t>
  </si>
  <si>
    <t>585-39-0577</t>
  </si>
  <si>
    <t>15548 Lassen Street</t>
  </si>
  <si>
    <t>Mission Hills, CA 91345</t>
  </si>
  <si>
    <t>(818) 515-2008</t>
  </si>
  <si>
    <t>Sanchez, Jesus</t>
  </si>
  <si>
    <t>609-60-1320</t>
  </si>
  <si>
    <t>BAKER, TYNASIA L.</t>
  </si>
  <si>
    <t>610-84-2914</t>
  </si>
  <si>
    <t>3016 w 82nd Street</t>
  </si>
  <si>
    <t>(323) 674-4900</t>
  </si>
  <si>
    <t>BORQUEZ, NATHAN</t>
  </si>
  <si>
    <t>619-43-3593</t>
  </si>
  <si>
    <t>2814 Walnut St</t>
  </si>
  <si>
    <t>(323) 440-7511</t>
  </si>
  <si>
    <t>ORTIZ, VANESSA</t>
  </si>
  <si>
    <t>555-91-0498</t>
  </si>
  <si>
    <t>ROYAL, TONIA</t>
  </si>
  <si>
    <t>458-29-4960</t>
  </si>
  <si>
    <t>Castillo, Janet</t>
  </si>
  <si>
    <t>569-73-5997</t>
  </si>
  <si>
    <t>6625 Loma Vista Pl Apt.C</t>
  </si>
  <si>
    <t>(323) 239-0089</t>
  </si>
  <si>
    <t>AGUILERA, MARCOS</t>
  </si>
  <si>
    <t>605-90-0984</t>
  </si>
  <si>
    <t>450 s Normandie Ave Apt 109</t>
  </si>
  <si>
    <t>(323) 500-3392</t>
  </si>
  <si>
    <t>ALVARADO, FREDY</t>
  </si>
  <si>
    <t>626-55-1785</t>
  </si>
  <si>
    <t>5334 Oakland St</t>
  </si>
  <si>
    <t>(323) 714-7509</t>
  </si>
  <si>
    <t>ANGEL, MELVIN</t>
  </si>
  <si>
    <t>626-29-6117</t>
  </si>
  <si>
    <t>Huerta, Alma</t>
  </si>
  <si>
    <t>208-13-2798</t>
  </si>
  <si>
    <t>207 E 24th St Apt 3</t>
  </si>
  <si>
    <t>(323) 677-3118</t>
  </si>
  <si>
    <t>Morales, Martha</t>
  </si>
  <si>
    <t>616-17-9130</t>
  </si>
  <si>
    <t>1131 East Washington Boulevard 205</t>
  </si>
  <si>
    <t>(213) 915-7917</t>
  </si>
  <si>
    <t>Velasquez Sr., Kelly M.</t>
  </si>
  <si>
    <t>671-45-3847</t>
  </si>
  <si>
    <t>1820 11th Place 4</t>
  </si>
  <si>
    <t>(702) 630-9732</t>
  </si>
  <si>
    <t>Wright, Bree</t>
  </si>
  <si>
    <t>626-84-4281</t>
  </si>
  <si>
    <t>Los angeles, CA 90044</t>
  </si>
  <si>
    <t>Bachez, Elba</t>
  </si>
  <si>
    <t>085-87-9317</t>
  </si>
  <si>
    <t>2222 S FIGUEROA ST PH25</t>
  </si>
  <si>
    <t>LOS ANGELES, CA 90007</t>
  </si>
  <si>
    <t>(323) 789-9181</t>
  </si>
  <si>
    <t>DIXON, KAMESHA S.</t>
  </si>
  <si>
    <t>550-79-8394</t>
  </si>
  <si>
    <t>Dixon, Tamesha F.</t>
  </si>
  <si>
    <t>550-79-6307</t>
  </si>
  <si>
    <t>GRAY, TIAUNTA</t>
  </si>
  <si>
    <t>616-82-6688</t>
  </si>
  <si>
    <t>2600 vernon ave</t>
  </si>
  <si>
    <t>los Angeles, CA 90043</t>
  </si>
  <si>
    <t>(562) 335-4770</t>
  </si>
  <si>
    <t>MERINO, WENDY Y.</t>
  </si>
  <si>
    <t>725-31-9712</t>
  </si>
  <si>
    <t>1820 W 11TH PL APT 4</t>
  </si>
  <si>
    <t>LOS ANGELES, CA 90006</t>
  </si>
  <si>
    <t>(213) 926-1690</t>
  </si>
  <si>
    <t>SANTIAGO LOPEZ, ELIZABETH</t>
  </si>
  <si>
    <t>874-10-2549</t>
  </si>
  <si>
    <t>2688 S. LONGWOOD AVE</t>
  </si>
  <si>
    <t>LOS ANGELES, CA 90016</t>
  </si>
  <si>
    <t>(213) 570-0054</t>
  </si>
  <si>
    <t>SORIA, MA YSABEL</t>
  </si>
  <si>
    <t>729-20-0297</t>
  </si>
  <si>
    <t>608 E 21st St Apt 1</t>
  </si>
  <si>
    <t>(213) 949-3878</t>
  </si>
  <si>
    <t>GARZA, GAVIN A.</t>
  </si>
  <si>
    <t>622-23-1952</t>
  </si>
  <si>
    <t>4202 Lexington Ave</t>
  </si>
  <si>
    <t>(818) 294-6858</t>
  </si>
  <si>
    <t>RAMOS, VALERIE</t>
  </si>
  <si>
    <t>614-18-6777</t>
  </si>
  <si>
    <t>Tep, Vandarith</t>
  </si>
  <si>
    <t>571-85-1105</t>
  </si>
  <si>
    <t>Aguilar, Caesar</t>
  </si>
  <si>
    <t>616-84-1189</t>
  </si>
  <si>
    <t>6929 Coldwater Canyon Ave Apt 107</t>
  </si>
  <si>
    <t>(818) 599-4140</t>
  </si>
  <si>
    <t>Kacou, Patrick</t>
  </si>
  <si>
    <t>351-94-5910</t>
  </si>
  <si>
    <t>28820 Conejo View Drive</t>
  </si>
  <si>
    <t>Agoura Hills, CA 91301</t>
  </si>
  <si>
    <t>(310) 621-8129</t>
  </si>
  <si>
    <t>RAMIREZ, MANUEL</t>
  </si>
  <si>
    <t>572-87-8425</t>
  </si>
  <si>
    <t>4160 Kingsley St Apt J</t>
  </si>
  <si>
    <t>Montclair, CA 91763</t>
  </si>
  <si>
    <t>(213) 278-1850</t>
  </si>
  <si>
    <t>Arteaga, Juan A.</t>
  </si>
  <si>
    <t>621-78-4344</t>
  </si>
  <si>
    <t>10603 Felton ave</t>
  </si>
  <si>
    <t>Lennox, CA 90304</t>
  </si>
  <si>
    <t>(213) 844-1561</t>
  </si>
  <si>
    <t>Chun, Alex</t>
  </si>
  <si>
    <t>624-25-0520</t>
  </si>
  <si>
    <t>1633 3rd Avenue</t>
  </si>
  <si>
    <t>(805) 377-3916</t>
  </si>
  <si>
    <t>COSINA, SUSANA E.</t>
  </si>
  <si>
    <t>187-23-1246</t>
  </si>
  <si>
    <t>1332 W 99th Street</t>
  </si>
  <si>
    <t>(323) 812-4418</t>
  </si>
  <si>
    <t>FRAZIER Jr., JAMEZIA V.</t>
  </si>
  <si>
    <t>625-27-4912</t>
  </si>
  <si>
    <t>4600 W MartinLutherKingBlvd #3</t>
  </si>
  <si>
    <t>(323) 218-6510</t>
  </si>
  <si>
    <t>Florian, Jose</t>
  </si>
  <si>
    <t>612-39-6448</t>
  </si>
  <si>
    <t>1720 S Union Ave</t>
  </si>
  <si>
    <t>(213) 479-0049</t>
  </si>
  <si>
    <t>HERNANDEZ, ANTHONY T.</t>
  </si>
  <si>
    <t>625-53-6916</t>
  </si>
  <si>
    <t>1139 west 68th street</t>
  </si>
  <si>
    <t>(323) 507-1901</t>
  </si>
  <si>
    <t>Perez, Jerry</t>
  </si>
  <si>
    <t>618-55-7530</t>
  </si>
  <si>
    <t>1641 W 58th</t>
  </si>
  <si>
    <t>(323) 830-8324</t>
  </si>
  <si>
    <t>100089151</t>
  </si>
  <si>
    <t>100004749</t>
  </si>
  <si>
    <t>100089112</t>
  </si>
  <si>
    <t>100089129</t>
  </si>
  <si>
    <t>100089134</t>
  </si>
  <si>
    <t>100089121</t>
  </si>
  <si>
    <t>100089142</t>
  </si>
  <si>
    <t>100089117</t>
  </si>
  <si>
    <t>100089115</t>
  </si>
  <si>
    <t>100089119</t>
  </si>
  <si>
    <t>100089243</t>
  </si>
  <si>
    <t>100089113</t>
  </si>
  <si>
    <t>100089136</t>
  </si>
  <si>
    <t>100089148</t>
  </si>
  <si>
    <t>100089109</t>
  </si>
  <si>
    <t>100089135</t>
  </si>
  <si>
    <t>100089105</t>
  </si>
  <si>
    <t>100089126</t>
  </si>
  <si>
    <t>100052692</t>
  </si>
  <si>
    <t>100089111</t>
  </si>
  <si>
    <t>100042064</t>
  </si>
  <si>
    <t>100075410</t>
  </si>
  <si>
    <t>100089138</t>
  </si>
  <si>
    <t>100089143</t>
  </si>
  <si>
    <t>100089152</t>
  </si>
  <si>
    <t>100089146</t>
  </si>
  <si>
    <t>100089137</t>
  </si>
  <si>
    <t>100089127</t>
  </si>
  <si>
    <t>100089124</t>
  </si>
  <si>
    <t>100026310</t>
  </si>
  <si>
    <t>100089106</t>
  </si>
  <si>
    <t>100089122</t>
  </si>
  <si>
    <t>100089123</t>
  </si>
  <si>
    <t>100089131</t>
  </si>
  <si>
    <t>100089132</t>
  </si>
  <si>
    <t>100089125</t>
  </si>
  <si>
    <t>100089140</t>
  </si>
  <si>
    <t>100089139</t>
  </si>
  <si>
    <t>100089101</t>
  </si>
  <si>
    <t>100089116</t>
  </si>
  <si>
    <t>100089107</t>
  </si>
  <si>
    <t>100075386</t>
  </si>
  <si>
    <t>100089141</t>
  </si>
  <si>
    <t>100089145</t>
  </si>
  <si>
    <t>100089110</t>
  </si>
  <si>
    <t>100089118</t>
  </si>
  <si>
    <t>100045962</t>
  </si>
  <si>
    <t>100089144</t>
  </si>
  <si>
    <t>100089150</t>
  </si>
  <si>
    <t>100089149</t>
  </si>
  <si>
    <t>100089128</t>
  </si>
  <si>
    <t>100089120</t>
  </si>
  <si>
    <t>Adkins Sr., Christopher M.</t>
  </si>
  <si>
    <t>Aguirre, Harold W.</t>
  </si>
  <si>
    <t>Anderson, Rashad</t>
  </si>
  <si>
    <t>Arredondo, Militza</t>
  </si>
  <si>
    <t>Avalos, Gabriela C.</t>
  </si>
  <si>
    <t>Branch, Rita</t>
  </si>
  <si>
    <t>Brown, Eric J.</t>
  </si>
  <si>
    <t>Cabral Jr., Edgardo</t>
  </si>
  <si>
    <t>Cifuentes, Genesis</t>
  </si>
  <si>
    <t>Cohn, Mark I.</t>
  </si>
  <si>
    <t>Delas Alas, Freida B.</t>
  </si>
  <si>
    <t>Farias, Alejandro</t>
  </si>
  <si>
    <t>Flores Patino, Aurora</t>
  </si>
  <si>
    <t>Fobbs Jr., Keith</t>
  </si>
  <si>
    <t>Galan, Heidy</t>
  </si>
  <si>
    <t>Gonzalez, Richard</t>
  </si>
  <si>
    <t>Gonzalez, Rihanna</t>
  </si>
  <si>
    <t>Guevara, Zaira</t>
  </si>
  <si>
    <t>Harris, Christopher</t>
  </si>
  <si>
    <t>Hoskins, Monique</t>
  </si>
  <si>
    <t>John, Matthew</t>
  </si>
  <si>
    <t>Jones Jr., Sean A.</t>
  </si>
  <si>
    <t>Kemp, Janaya N.</t>
  </si>
  <si>
    <t>King West, Nicole</t>
  </si>
  <si>
    <t>Kuk Sr., Peter</t>
  </si>
  <si>
    <t>Leines Martinez, Veronica</t>
  </si>
  <si>
    <t>Lima, Maribel</t>
  </si>
  <si>
    <t>Mcintyre, Timara</t>
  </si>
  <si>
    <t>Mejia, Isabel</t>
  </si>
  <si>
    <t>Mondragon, Ruby E.</t>
  </si>
  <si>
    <t>Musa, Yahmani</t>
  </si>
  <si>
    <t>Oliveira, Geralda M.</t>
  </si>
  <si>
    <t>Ondiegi, Paul J.</t>
  </si>
  <si>
    <t>Orozco, Wilber-Paul M.</t>
  </si>
  <si>
    <t>Perez, Martha L.</t>
  </si>
  <si>
    <t>Pinto Quinteros, Michael</t>
  </si>
  <si>
    <t>Ramirez, Angela L.</t>
  </si>
  <si>
    <t>Recinos, Oscar A.</t>
  </si>
  <si>
    <t>Rivera, Alain</t>
  </si>
  <si>
    <t>Rivera, Diego A.</t>
  </si>
  <si>
    <t>Ruiz-Chavez, Irena A.</t>
  </si>
  <si>
    <t>RUTLEDGE, AMY</t>
  </si>
  <si>
    <t>Shores, Steve</t>
  </si>
  <si>
    <t>Smith, Candice</t>
  </si>
  <si>
    <t>Thomas, Terell</t>
  </si>
  <si>
    <t>Thompson, Jalan</t>
  </si>
  <si>
    <t>Tunstall, Denise</t>
  </si>
  <si>
    <t>Ugarte, Haglan</t>
  </si>
  <si>
    <t>Wallace, Lilla D.</t>
  </si>
  <si>
    <t>Whitlock, Nicole C.</t>
  </si>
  <si>
    <t>Williams, Kelly</t>
  </si>
  <si>
    <t>Zhen, Ying</t>
  </si>
  <si>
    <t>612-92-8587</t>
  </si>
  <si>
    <t>604-60-9937</t>
  </si>
  <si>
    <t>591-11-4797</t>
  </si>
  <si>
    <t>062-17-7339</t>
  </si>
  <si>
    <t>833-07-5886</t>
  </si>
  <si>
    <t>566-49-7242</t>
  </si>
  <si>
    <t>622-35-4628</t>
  </si>
  <si>
    <t>624-60-2824</t>
  </si>
  <si>
    <t>621-70-4186</t>
  </si>
  <si>
    <t>261-08-7197</t>
  </si>
  <si>
    <t>607-55-7293</t>
  </si>
  <si>
    <t>551-89-5062</t>
  </si>
  <si>
    <t>605-41-1214</t>
  </si>
  <si>
    <t>215-27-4959</t>
  </si>
  <si>
    <t>048-95-8425</t>
  </si>
  <si>
    <t>606-43-2878</t>
  </si>
  <si>
    <t>605-61-9067</t>
  </si>
  <si>
    <t>083-55-9893</t>
  </si>
  <si>
    <t>237-25-6251</t>
  </si>
  <si>
    <t>551-55-8572</t>
  </si>
  <si>
    <t>621-44-4218</t>
  </si>
  <si>
    <t>617-33-6113</t>
  </si>
  <si>
    <t>611-55-6853</t>
  </si>
  <si>
    <t>620-24-7202</t>
  </si>
  <si>
    <t>616-01-6584</t>
  </si>
  <si>
    <t>767-58-7065</t>
  </si>
  <si>
    <t>668-97-6054</t>
  </si>
  <si>
    <t>625-65-4236</t>
  </si>
  <si>
    <t>055-47-2788</t>
  </si>
  <si>
    <t>177-57-0298</t>
  </si>
  <si>
    <t>603-23-0185</t>
  </si>
  <si>
    <t>593-40-7140</t>
  </si>
  <si>
    <t>628-24-6308</t>
  </si>
  <si>
    <t>624-32-6026</t>
  </si>
  <si>
    <t>546-51-0594</t>
  </si>
  <si>
    <t>614-53-4688</t>
  </si>
  <si>
    <t>604-57-7954</t>
  </si>
  <si>
    <t>612-76-3997</t>
  </si>
  <si>
    <t>616-92-5853</t>
  </si>
  <si>
    <t>493-85-9701</t>
  </si>
  <si>
    <t>606-32-3489</t>
  </si>
  <si>
    <t>152-76-6204</t>
  </si>
  <si>
    <t>620-72-0079</t>
  </si>
  <si>
    <t>614-64-6449</t>
  </si>
  <si>
    <t>619-19-4696</t>
  </si>
  <si>
    <t>605-11-7509</t>
  </si>
  <si>
    <t>569-45-8804</t>
  </si>
  <si>
    <t>212-97-5728</t>
  </si>
  <si>
    <t>549-57-2191</t>
  </si>
  <si>
    <t>518-96-3355</t>
  </si>
  <si>
    <t>604-88-2133</t>
  </si>
  <si>
    <t>615-51-4818</t>
  </si>
  <si>
    <t>2440 East 112thplace</t>
  </si>
  <si>
    <t>613 W Wardlow Rd</t>
  </si>
  <si>
    <t>888 S Olive St Apt 3007</t>
  </si>
  <si>
    <t>1780 E 109th Pl</t>
  </si>
  <si>
    <t>10413 S Gravillea Ave</t>
  </si>
  <si>
    <t>1323 W. 82nd St.</t>
  </si>
  <si>
    <t>957 1/2 west 42nd street</t>
  </si>
  <si>
    <t>241 S. Ave 57 #122</t>
  </si>
  <si>
    <t>Lawndale, CA 90260</t>
  </si>
  <si>
    <t>861 Fedora St Apt 210</t>
  </si>
  <si>
    <t>843 E. 93rd st</t>
  </si>
  <si>
    <t>353 W 67TH ST</t>
  </si>
  <si>
    <t>3809 Lockland Drive Apt 4</t>
  </si>
  <si>
    <t>2500 South Normandie Avenue</t>
  </si>
  <si>
    <t>4900 W 95th St</t>
  </si>
  <si>
    <t>4900 W 95th St.</t>
  </si>
  <si>
    <t>3317 w 108 th street</t>
  </si>
  <si>
    <t>10932 S Chanera Ave</t>
  </si>
  <si>
    <t>2238 Griffith Park Blvd Apt 1</t>
  </si>
  <si>
    <t>1145 west 65th place</t>
  </si>
  <si>
    <t>5004 Hayter Ave N/A</t>
  </si>
  <si>
    <t>Lakewood, CA 90712</t>
  </si>
  <si>
    <t>6233 W Avenue J-5</t>
  </si>
  <si>
    <t>Lancaster, CA 93536</t>
  </si>
  <si>
    <t>1901 w. 6th st. apt 411</t>
  </si>
  <si>
    <t>171 W 41st Pl</t>
  </si>
  <si>
    <t>3203 Long Beach Avenue</t>
  </si>
  <si>
    <t>Los Angeles, CA 90058</t>
  </si>
  <si>
    <t>11035 S Western Ave</t>
  </si>
  <si>
    <t>8176 Seville ave Unit 7</t>
  </si>
  <si>
    <t>860 W Washington Blvd</t>
  </si>
  <si>
    <t>2510 Ocean View Ave</t>
  </si>
  <si>
    <t>LA, CA 90057</t>
  </si>
  <si>
    <t>6226 Colfax Ave Apt 208</t>
  </si>
  <si>
    <t>7210 Richfield St Apt 15</t>
  </si>
  <si>
    <t>Paramount, CA 90723</t>
  </si>
  <si>
    <t>11724 Julius ave</t>
  </si>
  <si>
    <t>345 Columbia Ave Apt. 410</t>
  </si>
  <si>
    <t>161 w 113th St</t>
  </si>
  <si>
    <t>1195  1/2 W 39Pl</t>
  </si>
  <si>
    <t>6929 State Street</t>
  </si>
  <si>
    <t>938 w 223rd st</t>
  </si>
  <si>
    <t>3417 South St. Andrews Place</t>
  </si>
  <si>
    <t>14020 NW Passage 308</t>
  </si>
  <si>
    <t>1824 e. 66th street</t>
  </si>
  <si>
    <t>5721 S. Western Ave</t>
  </si>
  <si>
    <t>15325 bellflower blvd 5</t>
  </si>
  <si>
    <t>Bellflower, CA 90706</t>
  </si>
  <si>
    <t>8350 Gardendale St Apt 108</t>
  </si>
  <si>
    <t>6521 1/2 Crenshaw Blvd</t>
  </si>
  <si>
    <t>639 N Juanita Ave Apart 6</t>
  </si>
  <si>
    <t>1712 E 56th St</t>
  </si>
  <si>
    <t>P.O. Box 25712</t>
  </si>
  <si>
    <t>3722 w Adams blvd apt2</t>
  </si>
  <si>
    <t>los Angeles, CA 90018</t>
  </si>
  <si>
    <t>3259 1/2 Stevens Ave</t>
  </si>
  <si>
    <t>(213) 779-8809</t>
  </si>
  <si>
    <t>(562) 761-4202</t>
  </si>
  <si>
    <t>(813) 796-2072</t>
  </si>
  <si>
    <t>(323) 635-4727</t>
  </si>
  <si>
    <t>(424) 393-8674</t>
  </si>
  <si>
    <t>(323) 697-6163</t>
  </si>
  <si>
    <t>(323) 631-7550</t>
  </si>
  <si>
    <t>(323) 551-7247</t>
  </si>
  <si>
    <t>(323) 594-2393</t>
  </si>
  <si>
    <t>(213) 810-1052</t>
  </si>
  <si>
    <t>(323) 548-2892</t>
  </si>
  <si>
    <t>(240) 416-4805</t>
  </si>
  <si>
    <t>(213) 254-7529</t>
  </si>
  <si>
    <t>(720) 205-6783</t>
  </si>
  <si>
    <t>(562) 485-7661</t>
  </si>
  <si>
    <t>(774) 327-4016</t>
  </si>
  <si>
    <t>(818) 699-7380</t>
  </si>
  <si>
    <t>(323) 706-2308</t>
  </si>
  <si>
    <t>(323) 351-6396</t>
  </si>
  <si>
    <t>(323) 568-6685</t>
  </si>
  <si>
    <t>(818) 219-2644</t>
  </si>
  <si>
    <t>(213) 278-8888</t>
  </si>
  <si>
    <t>(323) 677-8941</t>
  </si>
  <si>
    <t>(213) 285-6713</t>
  </si>
  <si>
    <t>(213) 491-5304</t>
  </si>
  <si>
    <t>(213) 324-2401</t>
  </si>
  <si>
    <t>(818) 643-9316</t>
  </si>
  <si>
    <t>(747) 305-3199</t>
  </si>
  <si>
    <t>(562) 415-6782</t>
  </si>
  <si>
    <t>(213) 326-3585</t>
  </si>
  <si>
    <t>(323) 867-3863</t>
  </si>
  <si>
    <t>(323) 781-8884</t>
  </si>
  <si>
    <t>(323) 599-8715</t>
  </si>
  <si>
    <t>(424) 371-3890</t>
  </si>
  <si>
    <t>(323) 481-6971</t>
  </si>
  <si>
    <t>(908) 303-5882</t>
  </si>
  <si>
    <t>(213) 776-2884</t>
  </si>
  <si>
    <t>(678) 900-9841</t>
  </si>
  <si>
    <t>(562) 719-3998</t>
  </si>
  <si>
    <t>(323) 209-8146</t>
  </si>
  <si>
    <t>(760) 552-1468</t>
  </si>
  <si>
    <t>(832) 879-6108</t>
  </si>
  <si>
    <t>(760) 449-3094</t>
  </si>
  <si>
    <t>(818) 693-5443</t>
  </si>
  <si>
    <t>(323) 747-4582</t>
  </si>
  <si>
    <t>(626) 545-3817</t>
  </si>
  <si>
    <t>Adamashvili, Nik</t>
  </si>
  <si>
    <t>Bisaha, Mark</t>
  </si>
  <si>
    <t>Brulee, Mark A.</t>
  </si>
  <si>
    <t>Carranza, Miguel A.</t>
  </si>
  <si>
    <t>Collins, Tamir</t>
  </si>
  <si>
    <t>Dale, Shania L.</t>
  </si>
  <si>
    <t>Duran, Juan</t>
  </si>
  <si>
    <t>Gladstone, Eric</t>
  </si>
  <si>
    <t>Gonzalez, Marisela</t>
  </si>
  <si>
    <t>Jones, Giovanni</t>
  </si>
  <si>
    <t>McMiller, Daris</t>
  </si>
  <si>
    <t>Morales, Marta R.</t>
  </si>
  <si>
    <t>Oroduag, Kayana</t>
  </si>
  <si>
    <t>Palmer, Valencia</t>
  </si>
  <si>
    <t>Perez, April</t>
  </si>
  <si>
    <t>Velasquez, Mauricio</t>
  </si>
  <si>
    <t>Washington Jr., Morris E.</t>
  </si>
  <si>
    <t>292-99-5284</t>
  </si>
  <si>
    <t>572-96-9800</t>
  </si>
  <si>
    <t>553-19-6616</t>
  </si>
  <si>
    <t>557-89-2800</t>
  </si>
  <si>
    <t>617-49-6974</t>
  </si>
  <si>
    <t>624-55-1439</t>
  </si>
  <si>
    <t>603-36-8535</t>
  </si>
  <si>
    <t>553-93-9538</t>
  </si>
  <si>
    <t>050-67-5658</t>
  </si>
  <si>
    <t>555-75-4133</t>
  </si>
  <si>
    <t>241-67-9158</t>
  </si>
  <si>
    <t>789-11-7700</t>
  </si>
  <si>
    <t>624-64-6295</t>
  </si>
  <si>
    <t>617-16-4590</t>
  </si>
  <si>
    <t>617-35-4928</t>
  </si>
  <si>
    <t>607-36-0970</t>
  </si>
  <si>
    <t>568-75-4657</t>
  </si>
  <si>
    <t>15136 Magnolia Blvd</t>
  </si>
  <si>
    <t>Sherman Oaks, CA 91403</t>
  </si>
  <si>
    <t>5420 Russell Avenue Apt 8</t>
  </si>
  <si>
    <t>Los Angeles, CA 90027</t>
  </si>
  <si>
    <t>1861 Middleton</t>
  </si>
  <si>
    <t>1758 W 49th street apt 201</t>
  </si>
  <si>
    <t>1518 Laurel Canyon Bl Apartment 7</t>
  </si>
  <si>
    <t>Los Angeles, CA 90046</t>
  </si>
  <si>
    <t>625 e 80th st</t>
  </si>
  <si>
    <t>501 e 7th st # 410</t>
  </si>
  <si>
    <t>965 N VENDOME ST APT 104</t>
  </si>
  <si>
    <t>LOS ANGELES, CA 90026</t>
  </si>
  <si>
    <t>2020 Miramar St APT 104</t>
  </si>
  <si>
    <t>2 Abarrota St</t>
  </si>
  <si>
    <t>Rancho Mission Viejo, CA 92694</t>
  </si>
  <si>
    <t>10915 s Figueroa street 208</t>
  </si>
  <si>
    <t>2928 Iowa Ave</t>
  </si>
  <si>
    <t>149 e 62nd st.</t>
  </si>
  <si>
    <t>Los angeles, CA 90003</t>
  </si>
  <si>
    <t>(213) 335-0335</t>
  </si>
  <si>
    <t>(213) 221-7416</t>
  </si>
  <si>
    <t>(323) 540-1387</t>
  </si>
  <si>
    <t>(213) 264-2681</t>
  </si>
  <si>
    <t>(310) 869-3153</t>
  </si>
  <si>
    <t>(562) 391-6140</t>
  </si>
  <si>
    <t>(562) 533-9927</t>
  </si>
  <si>
    <t>(704) 458-7776</t>
  </si>
  <si>
    <t>(213) 603-0829</t>
  </si>
  <si>
    <t>(949) 293-7788</t>
  </si>
  <si>
    <t>(310) 817-1328</t>
  </si>
  <si>
    <t>(323) 599-3088</t>
  </si>
  <si>
    <t>(323) 921-4706</t>
  </si>
  <si>
    <t>100093400</t>
  </si>
  <si>
    <t>Aleman, Amelia</t>
  </si>
  <si>
    <t>623-44-4835</t>
  </si>
  <si>
    <t>12223 Atlantic Ave Unit 1305</t>
  </si>
  <si>
    <t>(323) 273-7429</t>
  </si>
  <si>
    <t>100093373</t>
  </si>
  <si>
    <t>Ambrocio IV, Marco A.</t>
  </si>
  <si>
    <t>625-59-6704</t>
  </si>
  <si>
    <t>15348 Firmona Ave</t>
  </si>
  <si>
    <t>(310) 706-8049</t>
  </si>
  <si>
    <t>100093414</t>
  </si>
  <si>
    <t>Apolinar, Carlos</t>
  </si>
  <si>
    <t>611-31-2369</t>
  </si>
  <si>
    <t>(323) 816-5696</t>
  </si>
  <si>
    <t>100093395</t>
  </si>
  <si>
    <t>Avelar, Yovani</t>
  </si>
  <si>
    <t>624-98-2754</t>
  </si>
  <si>
    <t>1599 E 45th st Apt 3</t>
  </si>
  <si>
    <t>100093374</t>
  </si>
  <si>
    <t>Avila, Francisco</t>
  </si>
  <si>
    <t>612-55-7694</t>
  </si>
  <si>
    <t>11507 S New Hampshire Ave</t>
  </si>
  <si>
    <t>(323) 326-2496</t>
  </si>
  <si>
    <t>100093434</t>
  </si>
  <si>
    <t>Bernstine, Royalle J.</t>
  </si>
  <si>
    <t>631-56-7062</t>
  </si>
  <si>
    <t>2233 e 69th Street</t>
  </si>
  <si>
    <t>(562) 721-7450</t>
  </si>
  <si>
    <t>100093389</t>
  </si>
  <si>
    <t>Boone, Rachel</t>
  </si>
  <si>
    <t>329-48-4240</t>
  </si>
  <si>
    <t>510 Centinela Avenue Apt. 205</t>
  </si>
  <si>
    <t>(310) 345-6933</t>
  </si>
  <si>
    <t>100093411</t>
  </si>
  <si>
    <t>Bruton, Diamond</t>
  </si>
  <si>
    <t>274-98-4416</t>
  </si>
  <si>
    <t>1037 W 85th St</t>
  </si>
  <si>
    <t>100093387</t>
  </si>
  <si>
    <t>Burman III, Darryl</t>
  </si>
  <si>
    <t>617-33-6506</t>
  </si>
  <si>
    <t>7827 S Normandie Ave</t>
  </si>
  <si>
    <t>(562) 302-3737</t>
  </si>
  <si>
    <t>100093435</t>
  </si>
  <si>
    <t>Caloca Jr., Oscar</t>
  </si>
  <si>
    <t>613-53-3952</t>
  </si>
  <si>
    <t>10849 Gorman ave</t>
  </si>
  <si>
    <t>(323) 425-7562</t>
  </si>
  <si>
    <t>100093398</t>
  </si>
  <si>
    <t>Cao, Audrey</t>
  </si>
  <si>
    <t>606-53-7804</t>
  </si>
  <si>
    <t>6007 village rd</t>
  </si>
  <si>
    <t>Lakewood, CA 90713</t>
  </si>
  <si>
    <t>(562) 515-8520</t>
  </si>
  <si>
    <t>100093408</t>
  </si>
  <si>
    <t>Cardenas, Bryan</t>
  </si>
  <si>
    <t>606-08-9773</t>
  </si>
  <si>
    <t>581 W Blaine st</t>
  </si>
  <si>
    <t>Riverside, CA 92507</t>
  </si>
  <si>
    <t>(951) 660-6697</t>
  </si>
  <si>
    <t>100093369</t>
  </si>
  <si>
    <t>Carter, Nakika</t>
  </si>
  <si>
    <t>550-43-2917</t>
  </si>
  <si>
    <t>211 Witmer st. #101</t>
  </si>
  <si>
    <t>(515) 868-9823</t>
  </si>
  <si>
    <t>100093375</t>
  </si>
  <si>
    <t>Ceron Sr., Francisco J.</t>
  </si>
  <si>
    <t>604-17-0363</t>
  </si>
  <si>
    <t>1184 Browning Blvd</t>
  </si>
  <si>
    <t>Los Angeles, CA 90037-1628</t>
  </si>
  <si>
    <t>(323) 705-2307</t>
  </si>
  <si>
    <t>100093441</t>
  </si>
  <si>
    <t>Cervantes, Brenda L.</t>
  </si>
  <si>
    <t>565-83-7889</t>
  </si>
  <si>
    <t>2806 S Hobart Blvd</t>
  </si>
  <si>
    <t>(213) 318-7109</t>
  </si>
  <si>
    <t>100093376</t>
  </si>
  <si>
    <t>Colop I, Brandi M.</t>
  </si>
  <si>
    <t>707-86-0595</t>
  </si>
  <si>
    <t>(213) 435-6047</t>
  </si>
  <si>
    <t>100093390</t>
  </si>
  <si>
    <t>Cooper, Cornell</t>
  </si>
  <si>
    <t>554-57-2577</t>
  </si>
  <si>
    <t>100093404</t>
  </si>
  <si>
    <t>Coronado, Erik</t>
  </si>
  <si>
    <t>624-49-9349</t>
  </si>
  <si>
    <t>1181 Browning Blvd.</t>
  </si>
  <si>
    <t>(619) 384-1810</t>
  </si>
  <si>
    <t>100093407</t>
  </si>
  <si>
    <t>Davis, Dimmery</t>
  </si>
  <si>
    <t>620-53-4186</t>
  </si>
  <si>
    <t>100093364</t>
  </si>
  <si>
    <t>De Haro, Jeffrey D.</t>
  </si>
  <si>
    <t>607-76-5882</t>
  </si>
  <si>
    <t>11843 Hamlin St Unit #8</t>
  </si>
  <si>
    <t>(206) 697-1090</t>
  </si>
  <si>
    <t>100093421</t>
  </si>
  <si>
    <t>De Jesus Esq., Silvia L.</t>
  </si>
  <si>
    <t>085-17-0004</t>
  </si>
  <si>
    <t>5531 Gotham St Apt #31</t>
  </si>
  <si>
    <t>(323) 630-5754</t>
  </si>
  <si>
    <t>100093382</t>
  </si>
  <si>
    <t>De Jesus Garcia, Anthony</t>
  </si>
  <si>
    <t>610-78-5023</t>
  </si>
  <si>
    <t>500 almond avenue Apt c</t>
  </si>
  <si>
    <t>(562) 387-4871</t>
  </si>
  <si>
    <t>100093396</t>
  </si>
  <si>
    <t>Downing Sr., Taran M.</t>
  </si>
  <si>
    <t>559-73-4035</t>
  </si>
  <si>
    <t>3745 South Grand Avenue</t>
  </si>
  <si>
    <t>(213) 796-1077</t>
  </si>
  <si>
    <t>100093420</t>
  </si>
  <si>
    <t>Duarte, Beatrice A.</t>
  </si>
  <si>
    <t>547-17-1303</t>
  </si>
  <si>
    <t>1635 Neil Armstrong Street # 109</t>
  </si>
  <si>
    <t>(323) 440-4819</t>
  </si>
  <si>
    <t>100093424</t>
  </si>
  <si>
    <t>Duarte, Maria</t>
  </si>
  <si>
    <t>547-17-1356</t>
  </si>
  <si>
    <t>1024 Royal Oaks Dr # 312</t>
  </si>
  <si>
    <t>Monrovia, CA 91016</t>
  </si>
  <si>
    <t>(626) 367-2393</t>
  </si>
  <si>
    <t>100093372</t>
  </si>
  <si>
    <t>Equels, William</t>
  </si>
  <si>
    <t>442-82-8052</t>
  </si>
  <si>
    <t>1495 W 36th Pl</t>
  </si>
  <si>
    <t>(213) 578-8798</t>
  </si>
  <si>
    <t>100093371</t>
  </si>
  <si>
    <t>Freeman, Chris</t>
  </si>
  <si>
    <t>606-08-7659</t>
  </si>
  <si>
    <t>3553 Atlantic Ave 1235</t>
  </si>
  <si>
    <t>Long Beach, CA 90807</t>
  </si>
  <si>
    <t>(310) 422-2056</t>
  </si>
  <si>
    <t>100093418</t>
  </si>
  <si>
    <t>Garcia, Edgar M.</t>
  </si>
  <si>
    <t>604-61-1977</t>
  </si>
  <si>
    <t>12442 Pacific Ave</t>
  </si>
  <si>
    <t>Los Angeles, CA 90066</t>
  </si>
  <si>
    <t>(310) 709-8266</t>
  </si>
  <si>
    <t>100093409</t>
  </si>
  <si>
    <t>Garcia, Juan M.</t>
  </si>
  <si>
    <t>613-47-2632</t>
  </si>
  <si>
    <t>15739 Aravaca Dr</t>
  </si>
  <si>
    <t>(310) 627-7432</t>
  </si>
  <si>
    <t>100093442</t>
  </si>
  <si>
    <t>Garcia, Keisha M.</t>
  </si>
  <si>
    <t>448-13-6017</t>
  </si>
  <si>
    <t>8418 1/2 Wall St</t>
  </si>
  <si>
    <t>(323) 500-6344</t>
  </si>
  <si>
    <t>100093419</t>
  </si>
  <si>
    <t>Garcia, Paul</t>
  </si>
  <si>
    <t>556-85-2974</t>
  </si>
  <si>
    <t>10816 saint Andrews pl</t>
  </si>
  <si>
    <t>(424) 768-3014</t>
  </si>
  <si>
    <t>100093443</t>
  </si>
  <si>
    <t>Garcia, Yesenia</t>
  </si>
  <si>
    <t>770-40-1397</t>
  </si>
  <si>
    <t>8418 1/2 Wall st.</t>
  </si>
  <si>
    <t>100093381</t>
  </si>
  <si>
    <t>Gimenez Vargas, Leomari D.</t>
  </si>
  <si>
    <t>744-24-0578</t>
  </si>
  <si>
    <t>14518 S Berendo Ave C</t>
  </si>
  <si>
    <t>Gardena, CA 90247</t>
  </si>
  <si>
    <t>(424) 297-8644</t>
  </si>
  <si>
    <t>100093367</t>
  </si>
  <si>
    <t>Gonzales, Michael A.</t>
  </si>
  <si>
    <t>571-67-7532</t>
  </si>
  <si>
    <t>240 west tenth st</t>
  </si>
  <si>
    <t>azusa, CA 91702</t>
  </si>
  <si>
    <t>(626) 540-8434</t>
  </si>
  <si>
    <t>100093399</t>
  </si>
  <si>
    <t>Gonzalez, Yadira</t>
  </si>
  <si>
    <t>621-15-6394</t>
  </si>
  <si>
    <t>2801 Saturn Ave Apt A</t>
  </si>
  <si>
    <t>(323) 975-5271</t>
  </si>
  <si>
    <t>100093403</t>
  </si>
  <si>
    <t>Gonzalez, Yarely</t>
  </si>
  <si>
    <t>621-15-6400</t>
  </si>
  <si>
    <t>2801 Saturn Ave</t>
  </si>
  <si>
    <t>(323) 792-9112</t>
  </si>
  <si>
    <t>100093386</t>
  </si>
  <si>
    <t>Hall IV, Sir Charles S.</t>
  </si>
  <si>
    <t>607-37-6877</t>
  </si>
  <si>
    <t>501 S Spring St Apt 435</t>
  </si>
  <si>
    <t>(323) 672-6351</t>
  </si>
  <si>
    <t>100093413</t>
  </si>
  <si>
    <t>Hardy, Ellis</t>
  </si>
  <si>
    <t>616-31-1358</t>
  </si>
  <si>
    <t>1132 W Elberon Ave</t>
  </si>
  <si>
    <t>San Pedro, CA 90732</t>
  </si>
  <si>
    <t>(310) 418-7932</t>
  </si>
  <si>
    <t>100093410</t>
  </si>
  <si>
    <t>Henderson, Eris</t>
  </si>
  <si>
    <t>618-51-0782</t>
  </si>
  <si>
    <t>3306 Thomas Ave</t>
  </si>
  <si>
    <t>Palmdale, CA 93550</t>
  </si>
  <si>
    <t>(323) 893-2425</t>
  </si>
  <si>
    <t>100093438</t>
  </si>
  <si>
    <t>Henderson, Kelcey J.</t>
  </si>
  <si>
    <t>612-90-9579</t>
  </si>
  <si>
    <t>7842 Shoup Ave.</t>
  </si>
  <si>
    <t>Canoga Park, CA 91304</t>
  </si>
  <si>
    <t>(818) 614-0195</t>
  </si>
  <si>
    <t>100093391</t>
  </si>
  <si>
    <t>Hernandez, Pat</t>
  </si>
  <si>
    <t>117-68-6379</t>
  </si>
  <si>
    <t>2591 Griffin Way</t>
  </si>
  <si>
    <t>Corona, CA 92879</t>
  </si>
  <si>
    <t>(951) 323-6388</t>
  </si>
  <si>
    <t>100093370</t>
  </si>
  <si>
    <t>Hill-Armstrong, Jacquelyn</t>
  </si>
  <si>
    <t>555-43-9589</t>
  </si>
  <si>
    <t>100093402</t>
  </si>
  <si>
    <t>Johnson, Christopher</t>
  </si>
  <si>
    <t>554-85-3428</t>
  </si>
  <si>
    <t>1443 W 84th PL Apt 6</t>
  </si>
  <si>
    <t>(725) 335-6242</t>
  </si>
  <si>
    <t>100093377</t>
  </si>
  <si>
    <t>Lawrence, Kahlib D.</t>
  </si>
  <si>
    <t>132-92-7437</t>
  </si>
  <si>
    <t>2120 North Valley Street</t>
  </si>
  <si>
    <t>(808) 740-5962</t>
  </si>
  <si>
    <t>100093440</t>
  </si>
  <si>
    <t>Lewis, Cary</t>
  </si>
  <si>
    <t>603-37-4289</t>
  </si>
  <si>
    <t>5701 S western ave</t>
  </si>
  <si>
    <t>(619) 915-9076</t>
  </si>
  <si>
    <t>100093383</t>
  </si>
  <si>
    <t>Little, Deajon</t>
  </si>
  <si>
    <t>614-35-1017</t>
  </si>
  <si>
    <t>4539 w 159th St 2</t>
  </si>
  <si>
    <t>(310) 592-4836</t>
  </si>
  <si>
    <t>100093378</t>
  </si>
  <si>
    <t>Lopez Luna, Edvin D.</t>
  </si>
  <si>
    <t>146-99-4001</t>
  </si>
  <si>
    <t>1519N mona BLVD</t>
  </si>
  <si>
    <t>COMPTON, CA 90222</t>
  </si>
  <si>
    <t>(323) 708-3738</t>
  </si>
  <si>
    <t>100093437</t>
  </si>
  <si>
    <t>Martinez, Francisco</t>
  </si>
  <si>
    <t>619-53-2888</t>
  </si>
  <si>
    <t>2212 E Century Blvd Apt 102</t>
  </si>
  <si>
    <t>(213) 952-6654</t>
  </si>
  <si>
    <t>100093397</t>
  </si>
  <si>
    <t>Martinez, Natalie</t>
  </si>
  <si>
    <t>616-57-3232</t>
  </si>
  <si>
    <t>1574 W 227th St Apt 5</t>
  </si>
  <si>
    <t>Torrance, CA 90501</t>
  </si>
  <si>
    <t>(424) 552-8834</t>
  </si>
  <si>
    <t>100093436</t>
  </si>
  <si>
    <t>Mateo, Brianna</t>
  </si>
  <si>
    <t>625-27-6744</t>
  </si>
  <si>
    <t>144 W Colden Ave</t>
  </si>
  <si>
    <t>(310) 706-5716</t>
  </si>
  <si>
    <t>100093426</t>
  </si>
  <si>
    <t>Mateo, Carmen A.</t>
  </si>
  <si>
    <t>798-25-6681</t>
  </si>
  <si>
    <t>343 E 68th St</t>
  </si>
  <si>
    <t>(951) 263-8012</t>
  </si>
  <si>
    <t>100093362</t>
  </si>
  <si>
    <t>Mccoy, Justin</t>
  </si>
  <si>
    <t>621-29-8088</t>
  </si>
  <si>
    <t>9911 ramona st Apt 18</t>
  </si>
  <si>
    <t>(909) 660-0760</t>
  </si>
  <si>
    <t>100093368</t>
  </si>
  <si>
    <t>McGill, Monique</t>
  </si>
  <si>
    <t>569-45-2366</t>
  </si>
  <si>
    <t>1611 w 80 th street</t>
  </si>
  <si>
    <t>(323) 287-7154</t>
  </si>
  <si>
    <t>100093392</t>
  </si>
  <si>
    <t>Medina-Vargas, Melissa</t>
  </si>
  <si>
    <t>616-19-8027</t>
  </si>
  <si>
    <t>350 E 51st St</t>
  </si>
  <si>
    <t>(323) 805-1104</t>
  </si>
  <si>
    <t>100093425</t>
  </si>
  <si>
    <t>Mendoza, Maria G.</t>
  </si>
  <si>
    <t>679-66-5553</t>
  </si>
  <si>
    <t>9309 Dearborn Ave</t>
  </si>
  <si>
    <t>SOUTH GATE, CA 90280</t>
  </si>
  <si>
    <t>(323) 852-2928</t>
  </si>
  <si>
    <t>100093423</t>
  </si>
  <si>
    <t>Mondragon, Nancy</t>
  </si>
  <si>
    <t>610-93-8208</t>
  </si>
  <si>
    <t>805 w 98 th st</t>
  </si>
  <si>
    <t>100093385</t>
  </si>
  <si>
    <t>Montiel, Samantha N.</t>
  </si>
  <si>
    <t>615-54-1386</t>
  </si>
  <si>
    <t>965 W Lincoln Ave APT 248</t>
  </si>
  <si>
    <t>(323) 313-4100</t>
  </si>
  <si>
    <t>100093432</t>
  </si>
  <si>
    <t>Mukanya, Rayden B.</t>
  </si>
  <si>
    <t>833-72-5629</t>
  </si>
  <si>
    <t>9800 S Broadway 205</t>
  </si>
  <si>
    <t>(323) 476-8380</t>
  </si>
  <si>
    <t>100093379</t>
  </si>
  <si>
    <t>Munoz, Michael</t>
  </si>
  <si>
    <t>614-55-3497</t>
  </si>
  <si>
    <t>2045 W 65th St</t>
  </si>
  <si>
    <t>(323) 847-7293</t>
  </si>
  <si>
    <t>100093366</t>
  </si>
  <si>
    <t>Partida Jr., Gerardo</t>
  </si>
  <si>
    <t>611-45-8799</t>
  </si>
  <si>
    <t>(323) 473-2234</t>
  </si>
  <si>
    <t>100093412</t>
  </si>
  <si>
    <t>Perez Sr., Dimara Y.</t>
  </si>
  <si>
    <t>828-14-3428</t>
  </si>
  <si>
    <t>12517 Cranbrook ave Apt A</t>
  </si>
  <si>
    <t>(424) 998-7117</t>
  </si>
  <si>
    <t>100093433</t>
  </si>
  <si>
    <t>Perez, Michiko</t>
  </si>
  <si>
    <t>545-87-7296</t>
  </si>
  <si>
    <t>5959 La Tijera Blvd</t>
  </si>
  <si>
    <t>Los Angeles, CA 90056</t>
  </si>
  <si>
    <t>(323) 915-5278</t>
  </si>
  <si>
    <t>100093415</t>
  </si>
  <si>
    <t>Quinonez, Amanda D.</t>
  </si>
  <si>
    <t>612-62-0794</t>
  </si>
  <si>
    <t>9647 Par Place</t>
  </si>
  <si>
    <t>(323) 579-6750</t>
  </si>
  <si>
    <t>100093428</t>
  </si>
  <si>
    <t>Rivera, Rudy A.</t>
  </si>
  <si>
    <t>753-97-3504</t>
  </si>
  <si>
    <t>1531 E 89 TH ST</t>
  </si>
  <si>
    <t>(213) 292-8620</t>
  </si>
  <si>
    <t>100093394</t>
  </si>
  <si>
    <t>Rodriguez, Paula</t>
  </si>
  <si>
    <t>546-79-9896</t>
  </si>
  <si>
    <t>7116 Hood Ave Apt A</t>
  </si>
  <si>
    <t>(323) 338-6281</t>
  </si>
  <si>
    <t>100093430</t>
  </si>
  <si>
    <t>Rosal, Cyril</t>
  </si>
  <si>
    <t>612-43-0278</t>
  </si>
  <si>
    <t>2650 N Lamer St</t>
  </si>
  <si>
    <t>Burbank, CA 91504</t>
  </si>
  <si>
    <t>(818) 281-8358</t>
  </si>
  <si>
    <t>100093439</t>
  </si>
  <si>
    <t>Russell, Bill</t>
  </si>
  <si>
    <t>552-59-6255</t>
  </si>
  <si>
    <t>1500 E Ezmirlian St.</t>
  </si>
  <si>
    <t>compton, CA 90221</t>
  </si>
  <si>
    <t>(310) 505-3357</t>
  </si>
  <si>
    <t>100093444</t>
  </si>
  <si>
    <t>Sandoval, Emilio A.</t>
  </si>
  <si>
    <t>875-66-9163</t>
  </si>
  <si>
    <t>10346 pinehurst ave</t>
  </si>
  <si>
    <t>Los angeles, CA 90280</t>
  </si>
  <si>
    <t>(323) 879-2811</t>
  </si>
  <si>
    <t>100093405</t>
  </si>
  <si>
    <t>Siles, Deidra U.</t>
  </si>
  <si>
    <t>619-86-3598</t>
  </si>
  <si>
    <t>5634 Cartwright Ave</t>
  </si>
  <si>
    <t>(818) 220-9729</t>
  </si>
  <si>
    <t>100093417</t>
  </si>
  <si>
    <t>Smith, April E.</t>
  </si>
  <si>
    <t>041-66-2985</t>
  </si>
  <si>
    <t>1231 W 70th St</t>
  </si>
  <si>
    <t>(323) 805-1544</t>
  </si>
  <si>
    <t>100093388</t>
  </si>
  <si>
    <t>Solorio, Liliana</t>
  </si>
  <si>
    <t>614-58-6479</t>
  </si>
  <si>
    <t>521 Bridewell st</t>
  </si>
  <si>
    <t>(213) 667-1747</t>
  </si>
  <si>
    <t>100093406</t>
  </si>
  <si>
    <t>Soular, Richard D.</t>
  </si>
  <si>
    <t>603-41-6476</t>
  </si>
  <si>
    <t>57 Linden Ave. Apt 9</t>
  </si>
  <si>
    <t>(817) 940-1305</t>
  </si>
  <si>
    <t>100093427</t>
  </si>
  <si>
    <t>Taylor, Seneca</t>
  </si>
  <si>
    <t>664-14-9368</t>
  </si>
  <si>
    <t>211 E 85th St</t>
  </si>
  <si>
    <t>(213) 876-7516</t>
  </si>
  <si>
    <t>100019014</t>
  </si>
  <si>
    <t>Teyuca, Alejandra G.</t>
  </si>
  <si>
    <t>614-60-2841</t>
  </si>
  <si>
    <t>1660 e ML king jr blvd</t>
  </si>
  <si>
    <t>(323) 496-7190</t>
  </si>
  <si>
    <t>100093393</t>
  </si>
  <si>
    <t>Torres, Daniel</t>
  </si>
  <si>
    <t>618-02-5552</t>
  </si>
  <si>
    <t>11913 Highdale Street</t>
  </si>
  <si>
    <t>(310) 654-1047</t>
  </si>
  <si>
    <t>100093422</t>
  </si>
  <si>
    <t>Turner, Kenneth</t>
  </si>
  <si>
    <t>605-72-6963</t>
  </si>
  <si>
    <t>3957 halldale ave</t>
  </si>
  <si>
    <t>(323) 445-1161</t>
  </si>
  <si>
    <t>100093380</t>
  </si>
  <si>
    <t>Zamaro, Cesar D.</t>
  </si>
  <si>
    <t>619-49-2989</t>
  </si>
  <si>
    <t>11730 Denver Ave</t>
  </si>
  <si>
    <t>(323) 397-5205</t>
  </si>
  <si>
    <t>100093365</t>
  </si>
  <si>
    <t>Zarate, Carlos E.</t>
  </si>
  <si>
    <t>606-58-1160</t>
  </si>
  <si>
    <t>7521 Simpson Ave  Apt #306</t>
  </si>
  <si>
    <t>(818) 987-6166</t>
  </si>
  <si>
    <t>100094450</t>
  </si>
  <si>
    <t>100094458</t>
  </si>
  <si>
    <t>100094459</t>
  </si>
  <si>
    <t>100094452</t>
  </si>
  <si>
    <t>100094456</t>
  </si>
  <si>
    <t>100094454</t>
  </si>
  <si>
    <t>100094457</t>
  </si>
  <si>
    <t>100094455</t>
  </si>
  <si>
    <t>100094453</t>
  </si>
  <si>
    <t>Aleman, Fransico</t>
  </si>
  <si>
    <t>Espinosa, Estella</t>
  </si>
  <si>
    <t>Espinosa, Mariana</t>
  </si>
  <si>
    <t>Nene, Chanthen</t>
  </si>
  <si>
    <t>Reyes, Oliver</t>
  </si>
  <si>
    <t>Skinner, Patrick</t>
  </si>
  <si>
    <t>Valdez, Antonio</t>
  </si>
  <si>
    <t>Ward, Darren</t>
  </si>
  <si>
    <t>Williams, Tristan</t>
  </si>
  <si>
    <t>613-17-1565</t>
  </si>
  <si>
    <t>560-19-1908</t>
  </si>
  <si>
    <t>615-45-8305</t>
  </si>
  <si>
    <t>226-89-4903</t>
  </si>
  <si>
    <t>609-42-5606</t>
  </si>
  <si>
    <t>605-23-6199</t>
  </si>
  <si>
    <t>555-83-7648</t>
  </si>
  <si>
    <t>550-97-8399</t>
  </si>
  <si>
    <t>363-08-2626</t>
  </si>
  <si>
    <t>435 e 105th st</t>
  </si>
  <si>
    <t>5030 Santa Ana Street Apt 15</t>
  </si>
  <si>
    <t>Cudahy, CA 90201</t>
  </si>
  <si>
    <t>5030 Apartment 15 Santa Ana</t>
  </si>
  <si>
    <t>4824 Tujunga Ave APT 210</t>
  </si>
  <si>
    <t>Los Angeles, CA 91601</t>
  </si>
  <si>
    <t>10941 Strathmore Dr Apt 50</t>
  </si>
  <si>
    <t>Los Angeles, CA 90024</t>
  </si>
  <si>
    <t>1046 e 41st pl</t>
  </si>
  <si>
    <t>10910 Long Beach Blvd #224</t>
  </si>
  <si>
    <t>500 n. Avenue 19</t>
  </si>
  <si>
    <t>(323) 994-7216</t>
  </si>
  <si>
    <t>(323) 916-8566</t>
  </si>
  <si>
    <t>(562) 523-9047</t>
  </si>
  <si>
    <t>(703) 217-9987</t>
  </si>
  <si>
    <t>(310) 487-4250</t>
  </si>
  <si>
    <t>(213) 651-5569</t>
  </si>
  <si>
    <t>(424) 505-2819</t>
  </si>
  <si>
    <t>(213) 805-1192</t>
  </si>
  <si>
    <t>100067126</t>
  </si>
  <si>
    <t>Castillo, Maria</t>
  </si>
  <si>
    <t>100066163</t>
  </si>
  <si>
    <t>Johnson, Bennie Ray</t>
  </si>
  <si>
    <t>100093816</t>
  </si>
  <si>
    <t>Rodriguez JR, Daniel</t>
  </si>
  <si>
    <t>100077493</t>
  </si>
  <si>
    <t>SANCHEZ I, MARIA</t>
  </si>
  <si>
    <t>100036391</t>
  </si>
  <si>
    <t>100036537</t>
  </si>
  <si>
    <t>Siliezar, Eduardo</t>
  </si>
  <si>
    <t>622-57-1987</t>
  </si>
  <si>
    <t>613-38-7218</t>
  </si>
  <si>
    <t>623-50-1838</t>
  </si>
  <si>
    <t>555-19-7196</t>
  </si>
  <si>
    <t>603-63-0442</t>
  </si>
  <si>
    <t>3513 west 132nd st</t>
  </si>
  <si>
    <t>(310) 467-7421</t>
  </si>
  <si>
    <t>9465 s western ave</t>
  </si>
  <si>
    <t>(747) 260-9612</t>
  </si>
  <si>
    <t>922 New Depot St</t>
  </si>
  <si>
    <t>(213) 216-7821</t>
  </si>
  <si>
    <t>713 N Harvard Blvd Apt 1</t>
  </si>
  <si>
    <t>(323) 496-5267</t>
  </si>
  <si>
    <t>3732 hill st</t>
  </si>
  <si>
    <t>(323) 810-1629</t>
  </si>
  <si>
    <t>5821 Gage Ave</t>
  </si>
  <si>
    <t>(530) 314-9233</t>
  </si>
  <si>
    <t>Person Department</t>
  </si>
  <si>
    <t>Working Dept</t>
  </si>
  <si>
    <t>Person Name</t>
  </si>
  <si>
    <t>PersonType</t>
  </si>
  <si>
    <t>EventID</t>
  </si>
  <si>
    <t>Event Name</t>
  </si>
  <si>
    <t>Event Start</t>
  </si>
  <si>
    <t>Facility</t>
  </si>
  <si>
    <t>PositionID</t>
  </si>
  <si>
    <t>Pos.Team</t>
  </si>
  <si>
    <t>Date</t>
  </si>
  <si>
    <t>Day of Week</t>
  </si>
  <si>
    <t>Weekend Event</t>
  </si>
  <si>
    <t>IN Time</t>
  </si>
  <si>
    <t>OUT Time</t>
  </si>
  <si>
    <t>Rate</t>
  </si>
  <si>
    <t>RateType</t>
  </si>
  <si>
    <t>PayType</t>
  </si>
  <si>
    <t>Total Hrs</t>
  </si>
  <si>
    <t>Reg Hrs</t>
  </si>
  <si>
    <t>OT Hrs</t>
  </si>
  <si>
    <t>DT Hrs</t>
  </si>
  <si>
    <t>Other Hrs</t>
  </si>
  <si>
    <t>Missed Meal Hrs</t>
  </si>
  <si>
    <t>Missed Rest Hrs</t>
  </si>
  <si>
    <t>Addl Event Pay</t>
  </si>
  <si>
    <t>Commission</t>
  </si>
  <si>
    <t>Tips</t>
  </si>
  <si>
    <t>Tips CashedOut</t>
  </si>
  <si>
    <t>Svc/Admin Chg</t>
  </si>
  <si>
    <t>Reg Earnings</t>
  </si>
  <si>
    <t>OT Earnings</t>
  </si>
  <si>
    <t>DT Earnings</t>
  </si>
  <si>
    <t>Other Earnings</t>
  </si>
  <si>
    <t>Missed Meal Earnings</t>
  </si>
  <si>
    <t>Missed Rest Earnings</t>
  </si>
  <si>
    <t>Allowances</t>
  </si>
  <si>
    <t>Deductions</t>
  </si>
  <si>
    <t>Total Earnings</t>
  </si>
  <si>
    <t>Is Late</t>
  </si>
  <si>
    <t>Actual IN</t>
  </si>
  <si>
    <t>Actual OUT</t>
  </si>
  <si>
    <t>Sched IN</t>
  </si>
  <si>
    <t xml:space="preserve"> Sched OUT</t>
  </si>
  <si>
    <t>Person Team/Area</t>
  </si>
  <si>
    <t>HomeComponent</t>
  </si>
  <si>
    <t>WkgComponent</t>
  </si>
  <si>
    <t>Meal Hrs</t>
  </si>
  <si>
    <t>Meal Times</t>
  </si>
  <si>
    <t>Approved Date</t>
  </si>
  <si>
    <t>Flat Rate Reduction</t>
  </si>
  <si>
    <t>WorkType Desc.</t>
  </si>
  <si>
    <t>Comments</t>
  </si>
  <si>
    <t>Event Additional Pay Hours 1</t>
  </si>
  <si>
    <t>Event Additional Pay Hours 2</t>
  </si>
  <si>
    <t>Special Handling Type</t>
  </si>
  <si>
    <t>Hours for Additional Pay Rules</t>
  </si>
  <si>
    <t>FCADM</t>
  </si>
  <si>
    <t>PT</t>
  </si>
  <si>
    <t>BSADM</t>
  </si>
  <si>
    <t>Saturday</t>
  </si>
  <si>
    <t>Yes</t>
  </si>
  <si>
    <t>H</t>
  </si>
  <si>
    <t>FCADM - LAFC - ADMIN</t>
  </si>
  <si>
    <t>No</t>
  </si>
  <si>
    <t>FIRST MEAL MANUALLY RECORDED</t>
  </si>
  <si>
    <t>ROBERTS, PAMALA B</t>
  </si>
  <si>
    <t>STAFFING COORDINATOR</t>
  </si>
  <si>
    <t>Friday</t>
  </si>
  <si>
    <t>FA0065</t>
  </si>
  <si>
    <t>FASTCO</t>
  </si>
  <si>
    <t>FDAILY</t>
  </si>
  <si>
    <t>DAILY WORK - LAFC</t>
  </si>
  <si>
    <t>FASTCO04</t>
  </si>
  <si>
    <t>Monday</t>
  </si>
  <si>
    <t>IN AND OUT PUNCH/FIRST MEAL MANUALLY RECORDED</t>
  </si>
  <si>
    <t>Tuesday</t>
  </si>
  <si>
    <t>Wednesday</t>
  </si>
  <si>
    <t>Thursday</t>
  </si>
  <si>
    <t>OUT PUNCH MANUALLY RECORDED</t>
  </si>
  <si>
    <t>Sunday</t>
  </si>
  <si>
    <t>FCKIT</t>
  </si>
  <si>
    <t>CULINARY ADMIN</t>
  </si>
  <si>
    <t>FCCULAD1</t>
  </si>
  <si>
    <t>FKCULADM</t>
  </si>
  <si>
    <t>FKCADM</t>
  </si>
  <si>
    <t>FKPPROD</t>
  </si>
  <si>
    <t>FCCON</t>
  </si>
  <si>
    <t>FCBAR</t>
  </si>
  <si>
    <t>FB0035</t>
  </si>
  <si>
    <t>MISSED PUNCH</t>
  </si>
  <si>
    <t>FB0025</t>
  </si>
  <si>
    <t>FBBBTD</t>
  </si>
  <si>
    <t>BARTENDER</t>
  </si>
  <si>
    <t>DIAZ, ANA I</t>
  </si>
  <si>
    <t>BSPB4</t>
  </si>
  <si>
    <t>FCCAT</t>
  </si>
  <si>
    <t>CATERING BARTENDER</t>
  </si>
  <si>
    <t>FCCATB03</t>
  </si>
  <si>
    <t>BSCAT</t>
  </si>
  <si>
    <t>FC020</t>
  </si>
  <si>
    <t>FCBART</t>
  </si>
  <si>
    <t>FB0040</t>
  </si>
  <si>
    <t>FBSUP</t>
  </si>
  <si>
    <t>PREMIUM SUPERVISOR</t>
  </si>
  <si>
    <t>DAILY WORK SUPERVISOR</t>
  </si>
  <si>
    <t>FADSUP03</t>
  </si>
  <si>
    <t>FCBARS</t>
  </si>
  <si>
    <t>FCCATB02</t>
  </si>
  <si>
    <t>FB0010</t>
  </si>
  <si>
    <t>FCCATB01</t>
  </si>
  <si>
    <t>FCSTE</t>
  </si>
  <si>
    <t>FCSUITES</t>
  </si>
  <si>
    <t>CHERBONY, YVETTE D</t>
  </si>
  <si>
    <t>FADSUP01</t>
  </si>
  <si>
    <t>FB0042</t>
  </si>
  <si>
    <t>FIELD CLUB 100 BARBACK</t>
  </si>
  <si>
    <t>FBBBBK</t>
  </si>
  <si>
    <t>BARBACK</t>
  </si>
  <si>
    <t>FADSUP02</t>
  </si>
  <si>
    <t>LEAL SILVA, MARCO A</t>
  </si>
  <si>
    <t>FCCLB</t>
  </si>
  <si>
    <t>FSSN500</t>
  </si>
  <si>
    <t>CATERING SERVER</t>
  </si>
  <si>
    <t>FCCAT23</t>
  </si>
  <si>
    <t>FC0030</t>
  </si>
  <si>
    <t>FCCAT - LAFC - CATERING</t>
  </si>
  <si>
    <t>FCBSRV</t>
  </si>
  <si>
    <t>CATERING  SERVER</t>
  </si>
  <si>
    <t>SOSA, VALERIA R</t>
  </si>
  <si>
    <t>FCCAT25</t>
  </si>
  <si>
    <t>FCCAT21</t>
  </si>
  <si>
    <t>FCCAT22</t>
  </si>
  <si>
    <t>HERNANDEZ, JESUS E</t>
  </si>
  <si>
    <t>FCCAT24</t>
  </si>
  <si>
    <t>MEAL PREMIUM</t>
  </si>
  <si>
    <t>GODOY, DENISE A</t>
  </si>
  <si>
    <t>CATERIND LEAD</t>
  </si>
  <si>
    <t>FCCATLD7</t>
  </si>
  <si>
    <t>FC0035</t>
  </si>
  <si>
    <t>FCLEAD</t>
  </si>
  <si>
    <t>CATERING LEAD</t>
  </si>
  <si>
    <t>FCCATLD5</t>
  </si>
  <si>
    <t>FCCATLD6</t>
  </si>
  <si>
    <t>ESPINOZA, REINA I</t>
  </si>
  <si>
    <t>FCCAT27</t>
  </si>
  <si>
    <t>HEADLEY, SAMANTHA K</t>
  </si>
  <si>
    <t>CATERING SUPERVISOR</t>
  </si>
  <si>
    <t>FC0040</t>
  </si>
  <si>
    <t>FCBSUP</t>
  </si>
  <si>
    <t>FCCATP10</t>
  </si>
  <si>
    <t>FCCATP11</t>
  </si>
  <si>
    <t>ZAMARO, CESAR D</t>
  </si>
  <si>
    <t>FP0050</t>
  </si>
  <si>
    <t>BAR SUPERVISOR</t>
  </si>
  <si>
    <t>FCBARSP1</t>
  </si>
  <si>
    <t>FCCAT100</t>
  </si>
  <si>
    <t>FCINS</t>
  </si>
  <si>
    <t>BROWN, ERIC J</t>
  </si>
  <si>
    <t>FCCON - LAFC - CONCESSIONS</t>
  </si>
  <si>
    <t>CONCESSIONS SUPERVISOR</t>
  </si>
  <si>
    <t>BSCSUP</t>
  </si>
  <si>
    <t>FN0075</t>
  </si>
  <si>
    <t>FNSUP</t>
  </si>
  <si>
    <t>CONCESSION SUPERVISOR</t>
  </si>
  <si>
    <t>FN0076</t>
  </si>
  <si>
    <t>FNSUP01</t>
  </si>
  <si>
    <t>FNSUP02</t>
  </si>
  <si>
    <t>CASTILLO, DEMICA L</t>
  </si>
  <si>
    <t>WEBER, EDWARD A</t>
  </si>
  <si>
    <t>FCFIN</t>
  </si>
  <si>
    <t>FT</t>
  </si>
  <si>
    <t>PAYROLL CLERK</t>
  </si>
  <si>
    <t>FFPAYC01</t>
  </si>
  <si>
    <t>FF0055</t>
  </si>
  <si>
    <t>FCFIN - FINANCE</t>
  </si>
  <si>
    <t>FFPAY</t>
  </si>
  <si>
    <t>ACCOUNTING CLERK</t>
  </si>
  <si>
    <t>FFACCLRK</t>
  </si>
  <si>
    <t>FAVLT100</t>
  </si>
  <si>
    <t>FF0016</t>
  </si>
  <si>
    <t>FFACCL</t>
  </si>
  <si>
    <t>LAF/BMO</t>
  </si>
  <si>
    <t>FK0020</t>
  </si>
  <si>
    <t>FCKIT - LAFC - KITCHEN</t>
  </si>
  <si>
    <t>COOK C</t>
  </si>
  <si>
    <t>FKMAINK</t>
  </si>
  <si>
    <t>CATERING COOK A</t>
  </si>
  <si>
    <t>FKCATA03</t>
  </si>
  <si>
    <t>FKCATKIT</t>
  </si>
  <si>
    <t>FK0040</t>
  </si>
  <si>
    <t>FKOOKA</t>
  </si>
  <si>
    <t>FKCATA02</t>
  </si>
  <si>
    <t>LOPEZ, MAGDA N</t>
  </si>
  <si>
    <t>CULINARY SUPERVISOR</t>
  </si>
  <si>
    <t>FKSUP09</t>
  </si>
  <si>
    <t>FK0054</t>
  </si>
  <si>
    <t>FKSUPR</t>
  </si>
  <si>
    <t>FKSUP08</t>
  </si>
  <si>
    <t>FKSUP07</t>
  </si>
  <si>
    <t>FKSUP13</t>
  </si>
  <si>
    <t>LOPEZ, MARIA T</t>
  </si>
  <si>
    <t>MAIN KITCHEN  COOK A</t>
  </si>
  <si>
    <t>FKMNA02</t>
  </si>
  <si>
    <t>FKMNA06</t>
  </si>
  <si>
    <t>FKSUP04</t>
  </si>
  <si>
    <t>FKSUP10</t>
  </si>
  <si>
    <t>FKSUP05</t>
  </si>
  <si>
    <t>FK0030</t>
  </si>
  <si>
    <t>FKOOKB</t>
  </si>
  <si>
    <t>FKSUP15</t>
  </si>
  <si>
    <t>FKSUP06</t>
  </si>
  <si>
    <t>VELASQUEZ, PATRICIA E</t>
  </si>
  <si>
    <t>PASTRY COOK</t>
  </si>
  <si>
    <t>FKCPCK01</t>
  </si>
  <si>
    <t>FKITCHEN</t>
  </si>
  <si>
    <t>FK0076</t>
  </si>
  <si>
    <t>FKPCOO</t>
  </si>
  <si>
    <t>FKCPCK02</t>
  </si>
  <si>
    <t>FKMNA05</t>
  </si>
  <si>
    <t>FKSUP14</t>
  </si>
  <si>
    <t>SANCHEZ, LINDA N</t>
  </si>
  <si>
    <t>FK0053</t>
  </si>
  <si>
    <t>FKMNA04</t>
  </si>
  <si>
    <t>FKCPCK03</t>
  </si>
  <si>
    <t>FKMNA03</t>
  </si>
  <si>
    <t>FKMNA01</t>
  </si>
  <si>
    <t>SARAVIA, INGRID L</t>
  </si>
  <si>
    <t>FKCATA04</t>
  </si>
  <si>
    <t>FKCATA01</t>
  </si>
  <si>
    <t>FKCATA05</t>
  </si>
  <si>
    <t>BRIDGEWATER, WILLIE J</t>
  </si>
  <si>
    <t>FKCATSP1</t>
  </si>
  <si>
    <t>FCKPT</t>
  </si>
  <si>
    <t>ACOSTA AMAYA, VILMA E</t>
  </si>
  <si>
    <t>PORTERS - DAILY WORK</t>
  </si>
  <si>
    <t>FCKPORT</t>
  </si>
  <si>
    <t>FKP010</t>
  </si>
  <si>
    <t xml:space="preserve">FCKPT - </t>
  </si>
  <si>
    <t>FPDISH</t>
  </si>
  <si>
    <t>PORTERS</t>
  </si>
  <si>
    <t>FCPORT03</t>
  </si>
  <si>
    <t>FCPORT01</t>
  </si>
  <si>
    <t>AQUINO CARRILLO, FEBRONIA J</t>
  </si>
  <si>
    <t>FCPORT02</t>
  </si>
  <si>
    <t>FCPORT07</t>
  </si>
  <si>
    <t>CARRANZA, EULOGIO S</t>
  </si>
  <si>
    <t>STEWARD SUPERVISOR</t>
  </si>
  <si>
    <t>FCSTEW01</t>
  </si>
  <si>
    <t>FKP058</t>
  </si>
  <si>
    <t>FPSTEW</t>
  </si>
  <si>
    <t>FCPORT05</t>
  </si>
  <si>
    <t>FCPORT06</t>
  </si>
  <si>
    <t>MERINO, WENDY Y</t>
  </si>
  <si>
    <t>FCPORT08</t>
  </si>
  <si>
    <t>CS- ROTISSERIE PORTERS</t>
  </si>
  <si>
    <t>FCSTE - LAFC - SUITES</t>
  </si>
  <si>
    <t>SUITES COORDINATOR 01</t>
  </si>
  <si>
    <t>FSSCORD1</t>
  </si>
  <si>
    <t>FS0056</t>
  </si>
  <si>
    <t>FSSCOO</t>
  </si>
  <si>
    <t>SUITES COORDINATOR</t>
  </si>
  <si>
    <t>FSSUP</t>
  </si>
  <si>
    <t>ALCANTAR, ANGELICA F</t>
  </si>
  <si>
    <t>FIELD SUITES 100 SUPERVISOR</t>
  </si>
  <si>
    <t>FSLDS01</t>
  </si>
  <si>
    <t>FS0052</t>
  </si>
  <si>
    <t>FCWHS</t>
  </si>
  <si>
    <t>BSWHS</t>
  </si>
  <si>
    <t>FCWHS - LAFC - WAREHOUSE</t>
  </si>
  <si>
    <t>WAREHOUSE SUPERVISOR</t>
  </si>
  <si>
    <t>FW0054</t>
  </si>
  <si>
    <t>FWHSUP</t>
  </si>
  <si>
    <t>FCBAR - CLUBS</t>
  </si>
  <si>
    <t>FCCATB04</t>
  </si>
  <si>
    <t>CATERING BARBACK</t>
  </si>
  <si>
    <t>FCCATB81</t>
  </si>
  <si>
    <t>FCBBCK</t>
  </si>
  <si>
    <t>FCCATBB1</t>
  </si>
  <si>
    <t>PASTRY SUPERVISOR</t>
  </si>
  <si>
    <t>FKPANT01</t>
  </si>
  <si>
    <t>FK0077</t>
  </si>
  <si>
    <t>FKPANT02</t>
  </si>
  <si>
    <t>FKPSTR</t>
  </si>
  <si>
    <t>FKCATSP3</t>
  </si>
  <si>
    <t>FKCATA08</t>
  </si>
  <si>
    <t>FKCATSP2</t>
  </si>
  <si>
    <t>FKCATA06</t>
  </si>
  <si>
    <t>FKCATA07</t>
  </si>
  <si>
    <t>FCCSP016</t>
  </si>
  <si>
    <t>FCCATB05</t>
  </si>
  <si>
    <t>FCCATBB2</t>
  </si>
  <si>
    <t>FCCATB08</t>
  </si>
  <si>
    <t>FCCATB06</t>
  </si>
  <si>
    <t>FCCATB07</t>
  </si>
  <si>
    <t>FCCATP13</t>
  </si>
  <si>
    <t>FCCAT32</t>
  </si>
  <si>
    <t>FCCAT33</t>
  </si>
  <si>
    <t>TENORIO, NELLY Y</t>
  </si>
  <si>
    <t>FCPORT04</t>
  </si>
  <si>
    <t>FCSTEW02</t>
  </si>
  <si>
    <t>IN PUNCH MANUALLY RECORDED OUT PUNCH MANUALLY RECORDED</t>
  </si>
  <si>
    <t>PERSON TIME HISTORY REPORT by Working Dept</t>
  </si>
  <si>
    <t>Employee Type(s):  FPVST</t>
  </si>
  <si>
    <t>Person id</t>
  </si>
  <si>
    <t>Dress Allowance Hrs</t>
  </si>
  <si>
    <t>WorkType_ID</t>
  </si>
  <si>
    <t xml:space="preserve">BC </t>
  </si>
  <si>
    <t xml:space="preserve">        </t>
  </si>
  <si>
    <t xml:space="preserve">         </t>
  </si>
  <si>
    <t xml:space="preserve">       </t>
  </si>
  <si>
    <t>12/02/2025 - PALCALA</t>
  </si>
  <si>
    <t xml:space="preserve">ALVARADO, LETICIA  </t>
  </si>
  <si>
    <t xml:space="preserve">SILIEZAR, EDUARDO  </t>
  </si>
  <si>
    <t xml:space="preserve">LEWIS, CRISTAL  </t>
  </si>
  <si>
    <t xml:space="preserve">BS </t>
  </si>
  <si>
    <t xml:space="preserve">MUNGUIA, JOSE  </t>
  </si>
  <si>
    <t xml:space="preserve">QUIROZ, BRENDA  </t>
  </si>
  <si>
    <t xml:space="preserve">URIBE, MAURICIO  </t>
  </si>
  <si>
    <t xml:space="preserve">GREEN, NATHANIEL  </t>
  </si>
  <si>
    <t xml:space="preserve">KACOU, PATRICK  </t>
  </si>
  <si>
    <t xml:space="preserve">RAMIREZ, MANUEL  </t>
  </si>
  <si>
    <t xml:space="preserve">FARIAS, ALEJANDRO  </t>
  </si>
  <si>
    <t xml:space="preserve">FCCLB - </t>
  </si>
  <si>
    <t xml:space="preserve">QUINTANAR, ROSEMARY  </t>
  </si>
  <si>
    <t xml:space="preserve">FCBAR - </t>
  </si>
  <si>
    <t xml:space="preserve">FCCON - </t>
  </si>
  <si>
    <t xml:space="preserve">CHAIREZ, RICARDO  </t>
  </si>
  <si>
    <t>FCCATB12</t>
  </si>
  <si>
    <t xml:space="preserve">HATCHER, LACONIA  </t>
  </si>
  <si>
    <t xml:space="preserve">MANCIA, JULIO  </t>
  </si>
  <si>
    <t>FCCATB10</t>
  </si>
  <si>
    <t xml:space="preserve">ARROYO, ISIAH  </t>
  </si>
  <si>
    <t>FCBARSP2</t>
  </si>
  <si>
    <t xml:space="preserve">GONZALES, LUPE  </t>
  </si>
  <si>
    <t xml:space="preserve">RODRIGUEZ, GLORIA  </t>
  </si>
  <si>
    <t xml:space="preserve">FCINS - </t>
  </si>
  <si>
    <t>FCCATB11</t>
  </si>
  <si>
    <t>FCCATB09</t>
  </si>
  <si>
    <t xml:space="preserve">PINTO QUINTEROS, MICHAEL  </t>
  </si>
  <si>
    <t xml:space="preserve">PARTIDA, GERARDO  </t>
  </si>
  <si>
    <t xml:space="preserve">MATEO, BRIANNA  </t>
  </si>
  <si>
    <t xml:space="preserve">RIVAS, ANGEL  </t>
  </si>
  <si>
    <t xml:space="preserve">ALCALA, PERLA  </t>
  </si>
  <si>
    <t xml:space="preserve">MELGAR, JOEL  </t>
  </si>
  <si>
    <t xml:space="preserve">DAVIS, DILLESHA  </t>
  </si>
  <si>
    <t xml:space="preserve">ACEVEDO, YOLANDA  </t>
  </si>
  <si>
    <t>FK0066</t>
  </si>
  <si>
    <t xml:space="preserve">VALLADARES, LETTY  </t>
  </si>
  <si>
    <t>FKCATSP7</t>
  </si>
  <si>
    <t xml:space="preserve">DURANGO EVANGELISTA, CLAUDIA  </t>
  </si>
  <si>
    <t>CATERING COOK B</t>
  </si>
  <si>
    <t xml:space="preserve">TORRES, PEDRO  </t>
  </si>
  <si>
    <t xml:space="preserve">NUNEZ, EVELIN  </t>
  </si>
  <si>
    <t xml:space="preserve">TLATOA, GUADALUPE  </t>
  </si>
  <si>
    <t xml:space="preserve">QUIROA, GLENDA  </t>
  </si>
  <si>
    <t xml:space="preserve">PENA MEDINA, GREGORIA  </t>
  </si>
  <si>
    <t xml:space="preserve">GONZALEZ, FREDY  </t>
  </si>
  <si>
    <t xml:space="preserve">GUTIERREZ, PORFIRIO  </t>
  </si>
  <si>
    <t xml:space="preserve">MELARA, ANA PAOLA  </t>
  </si>
  <si>
    <t xml:space="preserve">FABIAN, JONATHAN  </t>
  </si>
  <si>
    <t xml:space="preserve">CASTILLO, JANET  </t>
  </si>
  <si>
    <t xml:space="preserve">HERNANDEZ, ELVIRA  </t>
  </si>
  <si>
    <t xml:space="preserve">WYATT, ALBERT LOUIS  </t>
  </si>
  <si>
    <t xml:space="preserve">GRAY, TIAUNTA  </t>
  </si>
  <si>
    <t xml:space="preserve">GONZALEZ, MARISELA  </t>
  </si>
  <si>
    <t xml:space="preserve">GARCIA, YESENIA  </t>
  </si>
  <si>
    <t xml:space="preserve">GONZALEZ, ANAIS  </t>
  </si>
  <si>
    <t xml:space="preserve">AGUILERA, STEVE  </t>
  </si>
  <si>
    <t>12/01/2025  Thru  01/05/2026</t>
  </si>
  <si>
    <t>O-11:12:26 / I-12:09:08</t>
  </si>
  <si>
    <t>12/03/2025 - PALCALA</t>
  </si>
  <si>
    <t>O-11:55:14 / I-12:25:37</t>
  </si>
  <si>
    <t>12/08/2025 - PALCALA</t>
  </si>
  <si>
    <t>O-10:43:10 / I-11:27:13</t>
  </si>
  <si>
    <t>O-12:33:55 / I-13:07:36</t>
  </si>
  <si>
    <t>12/10/2025 - PALCALA</t>
  </si>
  <si>
    <t>O-11:40:03 / I-12:17:48</t>
  </si>
  <si>
    <t>12/12/2025 - PALCALA</t>
  </si>
  <si>
    <t>FIRST MEAL MANUALLY RECORDED IN PUNCH MANUALLY RECORDED</t>
  </si>
  <si>
    <t>12/17/2025 - PALCALA</t>
  </si>
  <si>
    <t>PAY 1 HR CALL WITH HR AND YOLANDA</t>
  </si>
  <si>
    <t>O-12:59:01 / I-13:52:27</t>
  </si>
  <si>
    <t>O-13:26:36 / I-13:57:34</t>
  </si>
  <si>
    <t>12/23/2025 - PALCALA</t>
  </si>
  <si>
    <t>O-11:12:47 / I-12:14:58</t>
  </si>
  <si>
    <t>FIELD CLUB 100 BARTENDER</t>
  </si>
  <si>
    <t>FB100B08</t>
  </si>
  <si>
    <t>12/16/2025 - PALCALA</t>
  </si>
  <si>
    <t>FB100B05</t>
  </si>
  <si>
    <t>12/18/2025 - PALCALA</t>
  </si>
  <si>
    <t>SUNSET TERRACE DECK BARTENDER</t>
  </si>
  <si>
    <t>FBSTDB01</t>
  </si>
  <si>
    <t>BSP7</t>
  </si>
  <si>
    <t>O-09:49:03 / I-10:20:22</t>
  </si>
  <si>
    <t>FB100B07</t>
  </si>
  <si>
    <t>FB100B01</t>
  </si>
  <si>
    <t>FB100B02</t>
  </si>
  <si>
    <t>SUNSET TERRACE DECK BARBACK</t>
  </si>
  <si>
    <t>FBSTDK01</t>
  </si>
  <si>
    <t>FB100801</t>
  </si>
  <si>
    <t>F25C96</t>
  </si>
  <si>
    <t>ABM HOLIDAY DINNER - CATERING</t>
  </si>
  <si>
    <t>FCCAT74</t>
  </si>
  <si>
    <t>O-15:03:51 / I-15:34:10</t>
  </si>
  <si>
    <t>F25C98</t>
  </si>
  <si>
    <t>LA CLEANTECH INCUBATOR DAY 1 - CATERING</t>
  </si>
  <si>
    <t>O-14:10:36 / I-14:41:19</t>
  </si>
  <si>
    <t>F25C99</t>
  </si>
  <si>
    <t>LA CLEANTECH INCUBATOR - DAY 2 - CATERING</t>
  </si>
  <si>
    <t>F25C00</t>
  </si>
  <si>
    <t>BEECAN HOLIDAY PARTY - CATERING</t>
  </si>
  <si>
    <t>FCCAT29</t>
  </si>
  <si>
    <t>F25C24</t>
  </si>
  <si>
    <t>FISHER PHILLIPS HOLIDAY PARTY - CATERING</t>
  </si>
  <si>
    <t>O-16:36:22 / I-17:06:40</t>
  </si>
  <si>
    <t>O-16:23:56 / I-16:54:28</t>
  </si>
  <si>
    <t>12/15/2025 - PALCALA</t>
  </si>
  <si>
    <t>FCCATB18</t>
  </si>
  <si>
    <t>F25C95</t>
  </si>
  <si>
    <t>GLORIA TREVI PRESS EVENT - CATERING</t>
  </si>
  <si>
    <t>O-08:43:29 / I-09:18:48</t>
  </si>
  <si>
    <t>FCCAT68</t>
  </si>
  <si>
    <t>F25C97</t>
  </si>
  <si>
    <t>FINNISH MOBILITY SHOWCASE - CATERING</t>
  </si>
  <si>
    <t>O-15:11:43 / I-15:42:39</t>
  </si>
  <si>
    <t>O-11:47:15 / I-12:19:18</t>
  </si>
  <si>
    <t>FCCAT76</t>
  </si>
  <si>
    <t>O-16:43:53 / I-17:18:03</t>
  </si>
  <si>
    <t>O-16:47:31 / I-17:19:19</t>
  </si>
  <si>
    <t>F25S39</t>
  </si>
  <si>
    <t>3252 END OF YEAR CELEBRATION - CATERING</t>
  </si>
  <si>
    <t>O-15:14:00 / I-15:45:00</t>
  </si>
  <si>
    <t>F25S40</t>
  </si>
  <si>
    <t>HEAD COACH PRESS CONFERENCE - CATERING</t>
  </si>
  <si>
    <t>O-10:17:26 / I-10:48:11</t>
  </si>
  <si>
    <t>GUENDULAIN ALCALA, EDUARDO A</t>
  </si>
  <si>
    <t>FCCAT70</t>
  </si>
  <si>
    <t>O-15:06:15 / I-15:37:05</t>
  </si>
  <si>
    <t>O-09:00:50 / I-09:31:15</t>
  </si>
  <si>
    <t>FCCAT69</t>
  </si>
  <si>
    <t>O-15:06:02 / I-15:36:28</t>
  </si>
  <si>
    <t>O-15:15:17 / I-15:45:30</t>
  </si>
  <si>
    <t>O-09:46:08 / I-10:16:14</t>
  </si>
  <si>
    <t>O-10:57:10 / I-11:27:11</t>
  </si>
  <si>
    <t>FCCAT75</t>
  </si>
  <si>
    <t>O-16:57:56 / I-17:28:21</t>
  </si>
  <si>
    <t>O-16:35:25 / I-17:05:39</t>
  </si>
  <si>
    <t>O-15:12:31 / I-15:42:35</t>
  </si>
  <si>
    <t>O-10:21:12 / I-10:51:29</t>
  </si>
  <si>
    <t>EXTRA CATERING SERVER</t>
  </si>
  <si>
    <t>FCCAT36</t>
  </si>
  <si>
    <t>O-16:58:02 / I-17:28:41</t>
  </si>
  <si>
    <t>CATERING SERVER RATE</t>
  </si>
  <si>
    <t>JUNIEL, MONIQUE Y</t>
  </si>
  <si>
    <t>O-16:24:40 / I-17:11:47</t>
  </si>
  <si>
    <t>FCCATLD8</t>
  </si>
  <si>
    <t>O-08:45:13 / I-09:15:19</t>
  </si>
  <si>
    <t>O-15:16:08 / I-15:46:47</t>
  </si>
  <si>
    <t>O-15:11:34 / I-15:42:12</t>
  </si>
  <si>
    <t>O-10:51:29 / I-11:21:49</t>
  </si>
  <si>
    <t>MEAL PREMIUM/SECOND LUNCH</t>
  </si>
  <si>
    <t>O-10:39:06 / I-11:10:01</t>
  </si>
  <si>
    <t>O-17:04:35 / I-17:35:01</t>
  </si>
  <si>
    <t>O-15:51:31 / I-16:21:53</t>
  </si>
  <si>
    <t>O-15:37:47 / I-16:13:23</t>
  </si>
  <si>
    <t>O-11:02:08 / I-11:32:34</t>
  </si>
  <si>
    <t>O-12:35:12 / I-13:05:32</t>
  </si>
  <si>
    <t>FCCATB51</t>
  </si>
  <si>
    <t>PAY TYPE ADJUSTED MEAL PREMIUM</t>
  </si>
  <si>
    <t>O-16:38:09</t>
  </si>
  <si>
    <t>PALAFOX, LUIS R</t>
  </si>
  <si>
    <t>O-16:31:35 / I-17:07:17</t>
  </si>
  <si>
    <t>FCBARSP4</t>
  </si>
  <si>
    <t xml:space="preserve">ZARLENGO, THERESE  </t>
  </si>
  <si>
    <t xml:space="preserve">SADRI, MICHAEL  </t>
  </si>
  <si>
    <t>FCCATB17</t>
  </si>
  <si>
    <t>O-16:46:21 / I-17:16:52</t>
  </si>
  <si>
    <t>FCCATB50</t>
  </si>
  <si>
    <t>O-09:08:38 / I-09:39:51</t>
  </si>
  <si>
    <t>12/09/2025 - PALCALA</t>
  </si>
  <si>
    <t>FCCATB71</t>
  </si>
  <si>
    <t>O-16:24:48</t>
  </si>
  <si>
    <t>FCCAT26</t>
  </si>
  <si>
    <t>O-14:09:58 / I-14:40:21</t>
  </si>
  <si>
    <t>O-14:56:11 / I-15:27:09</t>
  </si>
  <si>
    <t xml:space="preserve">DIAZ, JORGE  </t>
  </si>
  <si>
    <t>FCCAT72</t>
  </si>
  <si>
    <t>O-15:06:57 / I-15:37:23</t>
  </si>
  <si>
    <t>O-14:07:49 / I-14:38:26</t>
  </si>
  <si>
    <t>O-17:00:03 / I-17:30:15</t>
  </si>
  <si>
    <t>TORRES, BLANCA E</t>
  </si>
  <si>
    <t>O-16:53:22 / I-17:28:37</t>
  </si>
  <si>
    <t xml:space="preserve">BOREN, ADAM  </t>
  </si>
  <si>
    <t>O-14:11:30 / I-14:43:51</t>
  </si>
  <si>
    <t>O-15:07:33 / I-15:41:21</t>
  </si>
  <si>
    <t>FCCATB19</t>
  </si>
  <si>
    <t>O-16:50:10 / I-17:20:11</t>
  </si>
  <si>
    <t xml:space="preserve">FCSTE - </t>
  </si>
  <si>
    <t>FCCAT73</t>
  </si>
  <si>
    <t>O-15:02:43 / I-15:33:00</t>
  </si>
  <si>
    <t>O-14:08:11 / I-14:38:51</t>
  </si>
  <si>
    <t>FCCAT30</t>
  </si>
  <si>
    <t>O-16:57:53 / I-17:33:42</t>
  </si>
  <si>
    <t>FCCATSP1</t>
  </si>
  <si>
    <t>O-09:19:02 / I-10:00:38</t>
  </si>
  <si>
    <t>O-13:07:32 / I-13:39:52</t>
  </si>
  <si>
    <t>O-12:18:40 / I-12:50:56</t>
  </si>
  <si>
    <t>O-09:13:00 / I-09:45:25</t>
  </si>
  <si>
    <t>O-10:57:00</t>
  </si>
  <si>
    <t>FCCATSUP</t>
  </si>
  <si>
    <t>O-14:53:45 / I-15:35:24</t>
  </si>
  <si>
    <t>O-15:50:02 / I-16:21:05</t>
  </si>
  <si>
    <t>O-15:42:07 / I-16:18:45</t>
  </si>
  <si>
    <t>FCCATP12</t>
  </si>
  <si>
    <t>O-12:21:07 / I-12:52:00</t>
  </si>
  <si>
    <t>TAMAYO, ROBERT A</t>
  </si>
  <si>
    <t>FCCATB20</t>
  </si>
  <si>
    <t>O-16:37:57 / I-17:08:37</t>
  </si>
  <si>
    <t xml:space="preserve">DELGAUDIO, BRITTANI  </t>
  </si>
  <si>
    <t>FCCATB16</t>
  </si>
  <si>
    <t>O-17:04:22 / I-17:40:29</t>
  </si>
  <si>
    <t>O-15:02:48 / I-15:37:30</t>
  </si>
  <si>
    <t xml:space="preserve">MEJIA, JUAN  </t>
  </si>
  <si>
    <t>O-16:20:48 / I-16:54:02</t>
  </si>
  <si>
    <t>FCCATB21</t>
  </si>
  <si>
    <t>O-16:21:19 / I-16:51:28</t>
  </si>
  <si>
    <t xml:space="preserve">SEATON, MIRIAH  </t>
  </si>
  <si>
    <t>O-16:58:52 / I-17:29:03</t>
  </si>
  <si>
    <t>O-15:01:18 / I-16:56:57</t>
  </si>
  <si>
    <t>O-15:16:00 / I-15:46:16</t>
  </si>
  <si>
    <t>O-13:59:47 / I-14:30:06</t>
  </si>
  <si>
    <t>O-17:05:02 / I-17:37:39</t>
  </si>
  <si>
    <t>O-15:51:49 / I-16:24:28</t>
  </si>
  <si>
    <t>O-15:47:37 / I-16:18:08</t>
  </si>
  <si>
    <t>O-16:53:03 / I-17:28:32</t>
  </si>
  <si>
    <t>NGUYEN, AIMY K</t>
  </si>
  <si>
    <t>O-16:20:35 / I-16:51:08</t>
  </si>
  <si>
    <t xml:space="preserve">RODRIGUEZ, MIA  </t>
  </si>
  <si>
    <t>FC021</t>
  </si>
  <si>
    <t>O-15:01:35 / I-15:31:56</t>
  </si>
  <si>
    <t>GUERRA, AUGUSTO V</t>
  </si>
  <si>
    <t>O-16:55:18 / I-17:33:51</t>
  </si>
  <si>
    <t>manager override</t>
  </si>
  <si>
    <t>O-14:50:23 / I-15:24:29</t>
  </si>
  <si>
    <t>FCCATB72</t>
  </si>
  <si>
    <t>O-16:21:50 / I-16:51:53</t>
  </si>
  <si>
    <t>O-14:29:51 / I-15:00:27</t>
  </si>
  <si>
    <t>FCCATB32</t>
  </si>
  <si>
    <t>MANAGER OVERRIDE</t>
  </si>
  <si>
    <t>O-16:41:23 / I-17:11:27</t>
  </si>
  <si>
    <t>O-15:53:06 / I-16:23:21</t>
  </si>
  <si>
    <t>O-15:01:19 / I-15:31:46</t>
  </si>
  <si>
    <t>FCCAT67</t>
  </si>
  <si>
    <t>O-16:57:47 / I-17:28:05</t>
  </si>
  <si>
    <t>RAMIREZ, ANGELA L</t>
  </si>
  <si>
    <t>O-16:35:22 / I-17:08:42</t>
  </si>
  <si>
    <t xml:space="preserve">SANCHEZ, MAXIMILLIAN  </t>
  </si>
  <si>
    <t xml:space="preserve">ORODUAG, KAYANA  </t>
  </si>
  <si>
    <t>O-15:09:58 / I-15:40:05</t>
  </si>
  <si>
    <t>O-16:53:05 / I-17:24:54</t>
  </si>
  <si>
    <t>O-15:09:11 / I-15:39:47</t>
  </si>
  <si>
    <t>FCCAT66</t>
  </si>
  <si>
    <t>O-16:30:29 / I-17:01:25</t>
  </si>
  <si>
    <t>FUENTES, GABRIELA R</t>
  </si>
  <si>
    <t>EXTRA SUPERVISOR</t>
  </si>
  <si>
    <t>FXTRAS16</t>
  </si>
  <si>
    <t>FCCLUBS</t>
  </si>
  <si>
    <t>FP0073</t>
  </si>
  <si>
    <t>FCCLB - LAFC - CLUBS/PREMIUM</t>
  </si>
  <si>
    <t>FPBSUP</t>
  </si>
  <si>
    <t>O-12:39:07 / I-13:14:21</t>
  </si>
  <si>
    <t>FNSUP07</t>
  </si>
  <si>
    <t>O-12:11:56 / I-12:42:48</t>
  </si>
  <si>
    <t>FNSUP09</t>
  </si>
  <si>
    <t>O-11:21:15 / I-11:52:14</t>
  </si>
  <si>
    <t>O-11:38:38 / I-12:09:15</t>
  </si>
  <si>
    <t>O-12:26:56 / I-12:59:02</t>
  </si>
  <si>
    <t>FNSUP08</t>
  </si>
  <si>
    <t>O-11:45:35 / I-12:18:22</t>
  </si>
  <si>
    <t>O-11:21:16 / I-11:51:53</t>
  </si>
  <si>
    <t>O-12:20:06 / I-12:52:25</t>
  </si>
  <si>
    <t>O-11:11:08 / I-11:43:17</t>
  </si>
  <si>
    <t>12/03/2025 - MRUIZ</t>
  </si>
  <si>
    <t>O-11:58:43 / I-12:29:12</t>
  </si>
  <si>
    <t>12/05/2025 - MRUIZ</t>
  </si>
  <si>
    <t>O-10:19:49 / I-10:50:08</t>
  </si>
  <si>
    <t>12/08/2025 - MRUIZ</t>
  </si>
  <si>
    <t>O-11:44:47 / I-12:15:16</t>
  </si>
  <si>
    <t>12/10/2025 - MRUIZ</t>
  </si>
  <si>
    <t>LAF/BMO - PAYROLL CHECK MAILING</t>
  </si>
  <si>
    <t>O-11:27:46 / I-11:58:08</t>
  </si>
  <si>
    <t>12/17/2025 - MRUIZ</t>
  </si>
  <si>
    <t>O-11:56:47 / I-12:27:11</t>
  </si>
  <si>
    <t>O-11:49:37 / I-12:20:00</t>
  </si>
  <si>
    <t>O-11:51:12 / I-12:21:40</t>
  </si>
  <si>
    <t>12/23/2025 - BWILLIAM</t>
  </si>
  <si>
    <t>PASSING CHECKS PAY 8 HRS</t>
  </si>
  <si>
    <t>12/30/2025 - BWILLIAM</t>
  </si>
  <si>
    <t>LAF/BMO - PRE APPROVED REMOTE WORK DUE TO PAYROLL SUBMISSION; HOLIDAY 12/26 IN LIEU OF 12/24</t>
  </si>
  <si>
    <t>12/31/2025 - MRUIZ</t>
  </si>
  <si>
    <t>IN AND OUT PUNCH/FIRST MEAL MANUALLY RECORDED (BY BW) - PAYROLLL CHECK MAILING</t>
  </si>
  <si>
    <t xml:space="preserve">          </t>
  </si>
  <si>
    <t>O-12:33:19 / I-13:04:40</t>
  </si>
  <si>
    <t>12/09/2025 - MRUIZ</t>
  </si>
  <si>
    <t>LAF/BMO - EMAIL TO LEAVE EARLY</t>
  </si>
  <si>
    <t>O-11:40:37 / I-12:11:24</t>
  </si>
  <si>
    <t>KITCHEN - CULINARY SUPERVISOR</t>
  </si>
  <si>
    <t>O-12:32:17 / I-13:02:50</t>
  </si>
  <si>
    <t>O-13:30:29 / I-14:01:31</t>
  </si>
  <si>
    <t>O-11:23:25 / I-11:54:17</t>
  </si>
  <si>
    <t>O-13:43:32 / I-14:44:24</t>
  </si>
  <si>
    <t>O-09:40:03 / I-10:10:24</t>
  </si>
  <si>
    <t>KITCHEN - PASTRY SUPERVISOR</t>
  </si>
  <si>
    <t>O-11:38:28 / I-12:09:21</t>
  </si>
  <si>
    <t>O-14:02:52 / I-14:33:32</t>
  </si>
  <si>
    <t>O-16:12:00 / I-16:42:51</t>
  </si>
  <si>
    <t>O-15:44:34 / I-16:15:33</t>
  </si>
  <si>
    <t xml:space="preserve">MELGAR, KEVIN  </t>
  </si>
  <si>
    <t>O-12:26:10 / I-12:57:53</t>
  </si>
  <si>
    <t>O-11:52:38 / I-12:23:28</t>
  </si>
  <si>
    <t>O-13:00:03 / I-13:30:39</t>
  </si>
  <si>
    <t>O-13:01:08 / I-13:31:51</t>
  </si>
  <si>
    <t>O-13:17:30 / I-13:48:05</t>
  </si>
  <si>
    <t>O-11:09:27 / I-11:39:58</t>
  </si>
  <si>
    <t>O-08:38:50 / I-09:09:22</t>
  </si>
  <si>
    <t>O-12:10:39 / I-12:41:11</t>
  </si>
  <si>
    <t>O-12:47:27 / I-13:18:05</t>
  </si>
  <si>
    <t>O-11:56:08 / I-12:26:34</t>
  </si>
  <si>
    <t>O-10:24:57 / I-10:55:31</t>
  </si>
  <si>
    <t>O-12:11:09 / I-12:41:42</t>
  </si>
  <si>
    <t>O-11:31:42 / I-12:02:13</t>
  </si>
  <si>
    <t>O-11:58:32 / I-12:29:17</t>
  </si>
  <si>
    <t>O-14:05:34 / I-14:35:53</t>
  </si>
  <si>
    <t>FKCATA10</t>
  </si>
  <si>
    <t>O-12:00:11 / I-12:30:34</t>
  </si>
  <si>
    <t>KITCHEN - COOK A</t>
  </si>
  <si>
    <t>O-11:47:31 / I-12:17:53</t>
  </si>
  <si>
    <t>O-12:37:29 / I-13:07:51</t>
  </si>
  <si>
    <t>O-12:55:00 / I-13:25:33</t>
  </si>
  <si>
    <t>FKCATSP4</t>
  </si>
  <si>
    <t>O-11:52:27 / I-12:22:40</t>
  </si>
  <si>
    <t>FKCATSP5</t>
  </si>
  <si>
    <t>O-12:39:19 / I-13:09:25</t>
  </si>
  <si>
    <t>O-10:35:25 / I-11:05:42</t>
  </si>
  <si>
    <t>FKCATSP8</t>
  </si>
  <si>
    <t>O-12:02:19 / I-12:32:31</t>
  </si>
  <si>
    <t>FKCATSP6</t>
  </si>
  <si>
    <t>O-14:14:05 / I-14:44:25</t>
  </si>
  <si>
    <t>O-16:06:10 / I-16:36:25</t>
  </si>
  <si>
    <t>O-17:12:29 / I-17:42:59</t>
  </si>
  <si>
    <t>O-10:51:41 / I-11:21:56</t>
  </si>
  <si>
    <t>O-12:00:04 / I-12:35:09</t>
  </si>
  <si>
    <t>O-12:41:27 / I-13:14:36</t>
  </si>
  <si>
    <t>O-12:46:21 / I-13:21:53</t>
  </si>
  <si>
    <t>O-12:26:36 / I-12:57:00</t>
  </si>
  <si>
    <t>O-12:03:07 / I-12:38:10</t>
  </si>
  <si>
    <t>O-11:10:36 / I-11:46:29</t>
  </si>
  <si>
    <t>O-08:35:04 / I-09:10:08</t>
  </si>
  <si>
    <t>O-14:02:19 / I-14:34:28</t>
  </si>
  <si>
    <t>O-13:55:36 / I-14:34:20</t>
  </si>
  <si>
    <t>O-12:50:44 / I-13:22:57</t>
  </si>
  <si>
    <t>O-06:55:57</t>
  </si>
  <si>
    <t>No break/ early day</t>
  </si>
  <si>
    <t>O-12:38:07 / I-13:08:41</t>
  </si>
  <si>
    <t>O-12:00:10 / I-12:30:53</t>
  </si>
  <si>
    <t>O-13:28:56 / I-13:59:34</t>
  </si>
  <si>
    <t>O-13:00:05 / I-13:31:01</t>
  </si>
  <si>
    <t>O-09:52:00 / I-10:23:26</t>
  </si>
  <si>
    <t>O-12:19:59 / I-12:50:26</t>
  </si>
  <si>
    <t>O-14:55:22 / I-15:26:39</t>
  </si>
  <si>
    <t>O-15:53:06 / I-16:23:41</t>
  </si>
  <si>
    <t>O-14:00:04 / I-14:30:46</t>
  </si>
  <si>
    <t>O-11:10:45 / I-11:41:20</t>
  </si>
  <si>
    <t>O-12:15:30 / I-13:01:30</t>
  </si>
  <si>
    <t>O-12:39:40 / I-13:10:04</t>
  </si>
  <si>
    <t>O-12:22:24 / I-12:53:12</t>
  </si>
  <si>
    <t>O-12:29:13 / I-13:01:12</t>
  </si>
  <si>
    <t>O-12:07:08 / I-12:37:34</t>
  </si>
  <si>
    <t>O-12:26:28 / I-12:57:53</t>
  </si>
  <si>
    <t>O-08:51:00 / I-09:21:52</t>
  </si>
  <si>
    <t>O-15:17:36 / I-15:48:11</t>
  </si>
  <si>
    <t>O-13:50:38 / I-14:21:19</t>
  </si>
  <si>
    <t>O-13:50:29 / I-14:21:04</t>
  </si>
  <si>
    <t>O-12:50:29 / I-13:20:59</t>
  </si>
  <si>
    <t>O-11:45:03 / I-12:15:27</t>
  </si>
  <si>
    <t>O-12:37:30 / I-13:07:51</t>
  </si>
  <si>
    <t>O-12:43:52 / I-13:14:13</t>
  </si>
  <si>
    <t>O-12:54:59 / I-13:25:12</t>
  </si>
  <si>
    <t>O-11:54:05 / I-12:24:44</t>
  </si>
  <si>
    <t>O-12:39:48 / I-13:09:54</t>
  </si>
  <si>
    <t>O-10:35:26 / I-11:05:31</t>
  </si>
  <si>
    <t>O-12:02:27 / I-12:32:45</t>
  </si>
  <si>
    <t>O-14:14:10 / I-14:44:26</t>
  </si>
  <si>
    <t>O-16:05:36 / I-16:36:23</t>
  </si>
  <si>
    <t>O-17:12:47 / I-17:42:54</t>
  </si>
  <si>
    <t>O-10:51:48 / I-11:22:01</t>
  </si>
  <si>
    <t>O-11:21:23 / I-11:51:44</t>
  </si>
  <si>
    <t>KITCHEN - PASTRY COOK</t>
  </si>
  <si>
    <t>O-13:28:36 / I-13:59:25</t>
  </si>
  <si>
    <t>O-09:44:09 / I-10:14:53</t>
  </si>
  <si>
    <t>O-11:37:52 / I-12:08:29</t>
  </si>
  <si>
    <t>O-15:44:29</t>
  </si>
  <si>
    <t>O-11:47:06 / I-12:17:11</t>
  </si>
  <si>
    <t>O-12:23:35 / I-12:53:40</t>
  </si>
  <si>
    <t>O-12:42:49 / I-13:13:04</t>
  </si>
  <si>
    <t>O-12:50:17 / I-13:20:33</t>
  </si>
  <si>
    <t>O-11:54:07 / I-12:24:23</t>
  </si>
  <si>
    <t>O-12:38:55 / I-13:09:13</t>
  </si>
  <si>
    <t>O-08:45:06 / I-09:15:15</t>
  </si>
  <si>
    <t>O-14:05:19 / I-14:35:43</t>
  </si>
  <si>
    <t>O-17:11:10 / I-17:41:20</t>
  </si>
  <si>
    <t>O-09:40:31 / I-10:11:14</t>
  </si>
  <si>
    <t>FKCPCK05</t>
  </si>
  <si>
    <t>O-11:37:33 / I-12:08:15</t>
  </si>
  <si>
    <t>O-14:02:49</t>
  </si>
  <si>
    <t>O-15:43:17 / I-16:14:06</t>
  </si>
  <si>
    <t>O-12:42:42 / I-13:12:48</t>
  </si>
  <si>
    <t>O-11:53:52 / I-12:23:58</t>
  </si>
  <si>
    <t>O-12:40:48 / I-13:11:02</t>
  </si>
  <si>
    <t>O-08:42:44 / I-09:14:32</t>
  </si>
  <si>
    <t>O-11:59:45 / I-12:29:56</t>
  </si>
  <si>
    <t>O-10:52:28 / I-11:25:05</t>
  </si>
  <si>
    <t>O-12:37:25 / I-13:07:33</t>
  </si>
  <si>
    <t>O-12:51:06 / I-13:23:01</t>
  </si>
  <si>
    <t>O-12:29:05 / I-12:59:50</t>
  </si>
  <si>
    <t>O-11:13:11 / I-11:43:58</t>
  </si>
  <si>
    <t>O-08:34:30</t>
  </si>
  <si>
    <t>O-11:46:14 / I-12:16:53</t>
  </si>
  <si>
    <t>O-14:33:07 / I-15:11:50</t>
  </si>
  <si>
    <t>O-16:11:03 / I-16:42:12</t>
  </si>
  <si>
    <t>O-17:00:13</t>
  </si>
  <si>
    <t>O-12:27:58 / I-12:58:32</t>
  </si>
  <si>
    <t>O-12:44:11 / I-13:15:20</t>
  </si>
  <si>
    <t>O-12:50:19 / I-13:20:38</t>
  </si>
  <si>
    <t>O-12:38:53 / I-13:09:22</t>
  </si>
  <si>
    <t>O-11:59:46 / I-12:30:39</t>
  </si>
  <si>
    <t>O-14:05:30 / I-14:37:05</t>
  </si>
  <si>
    <t>O-15:49:29 / I-16:20:11</t>
  </si>
  <si>
    <t>O-17:11:05 / I-17:41:13</t>
  </si>
  <si>
    <t>ZUNIGA, DESTINY P</t>
  </si>
  <si>
    <t>O-13:29:32 / I-14:01:48</t>
  </si>
  <si>
    <t>O-11:37:33 / I-12:08:05</t>
  </si>
  <si>
    <t>O-14:03:48 / I-14:34:15</t>
  </si>
  <si>
    <t>O-16:16:57 / I-16:47:31</t>
  </si>
  <si>
    <t>O-11:47:25 / I-12:17:39</t>
  </si>
  <si>
    <t>O-12:44:14 / I-13:14:26</t>
  </si>
  <si>
    <t>O-12:50:12 / I-13:20:25</t>
  </si>
  <si>
    <t>O-12:01:02 / I-12:31:30</t>
  </si>
  <si>
    <t>O-12:40:08 / I-13:10:35</t>
  </si>
  <si>
    <t>O-08:44:32 / I-09:14:36</t>
  </si>
  <si>
    <t>O-12:00:11 / I-12:30:35</t>
  </si>
  <si>
    <t>O-15:49:59 / I-16:20:15</t>
  </si>
  <si>
    <t>O-17:01:20 / I-17:31:40</t>
  </si>
  <si>
    <t>O-12:01:56 / I-12:32:14</t>
  </si>
  <si>
    <t>O-12:48:01 / I-13:18:15</t>
  </si>
  <si>
    <t>O-12:38:10 / I-13:08:24</t>
  </si>
  <si>
    <t>O-12:43:47 / I-13:14:05</t>
  </si>
  <si>
    <t>O-12:03:25 / I-12:33:51</t>
  </si>
  <si>
    <t>O-09:04:47 / I-09:35:04</t>
  </si>
  <si>
    <t>O-11:32:04 / I-12:02:22</t>
  </si>
  <si>
    <t>O-13:53:06 / I-14:23:26</t>
  </si>
  <si>
    <t>O-14:32:37 / I-15:02:57</t>
  </si>
  <si>
    <t>O-17:03:37 / I-17:34:08</t>
  </si>
  <si>
    <t>O-11:38:43 / I-12:10:53</t>
  </si>
  <si>
    <t>O-13:59:24 / I-14:30:11</t>
  </si>
  <si>
    <t>O-16:06:27 / I-16:37:43</t>
  </si>
  <si>
    <t>FKSUP17</t>
  </si>
  <si>
    <t>FKCATA09</t>
  </si>
  <si>
    <t>O-11:47:02 / I-12:21:07</t>
  </si>
  <si>
    <t>O-12:48:28 / I-13:21:08</t>
  </si>
  <si>
    <t>O-12:44:13 / I-13:14:40</t>
  </si>
  <si>
    <t>O-12:39:47 / I-13:10:24</t>
  </si>
  <si>
    <t>O-12:00:01 / I-12:30:25</t>
  </si>
  <si>
    <t>O-14:01:30 / I-14:31:49</t>
  </si>
  <si>
    <t>O-15:49:36 / I-16:19:41</t>
  </si>
  <si>
    <t>O-11:36:27 / I-12:06:39</t>
  </si>
  <si>
    <t>O-12:25:22 / I-12:57:46</t>
  </si>
  <si>
    <t>O-11:31:30 / I-12:14:07</t>
  </si>
  <si>
    <t>O-13:51:00 / I-14:21:21</t>
  </si>
  <si>
    <t>O-13:50:46 / I-14:22:44</t>
  </si>
  <si>
    <t>O-11:43:39 / I-12:18:12</t>
  </si>
  <si>
    <t>O-12:52:12 / I-13:30:11</t>
  </si>
  <si>
    <t>O-12:25:46 / I-12:56:10</t>
  </si>
  <si>
    <t>O-08:48:44 / I-09:23:47</t>
  </si>
  <si>
    <t xml:space="preserve">LIMA, MARIBEL  </t>
  </si>
  <si>
    <t>FKCATB02</t>
  </si>
  <si>
    <t>O-14:17:41 / I-14:47:46</t>
  </si>
  <si>
    <t>KITCHEN - COOK B</t>
  </si>
  <si>
    <t>As directed by Chef Hugo, the employee will be compensated for 4 hours; however, they were sent home for not wearing the</t>
  </si>
  <si>
    <t>O-15:48:47 / I-16:19:13</t>
  </si>
  <si>
    <t xml:space="preserve">PEREZ, APRIL  </t>
  </si>
  <si>
    <t>O-11:21:02 / I-11:51:45</t>
  </si>
  <si>
    <t>O-16:16:57 / I-16:47:29</t>
  </si>
  <si>
    <t xml:space="preserve">BURMAN, DARRYL  </t>
  </si>
  <si>
    <t xml:space="preserve">   </t>
  </si>
  <si>
    <t>O-11:10:44 / I-11:41:09</t>
  </si>
  <si>
    <t>O-11:43:17 / I-12:13:33</t>
  </si>
  <si>
    <t>O-13:31:43 / I-14:02:08</t>
  </si>
  <si>
    <t>O-13:37:31 / I-14:08:13</t>
  </si>
  <si>
    <t>O-12:58:44 / I-13:29:03</t>
  </si>
  <si>
    <t>O-09:54:34 / I-10:26:07</t>
  </si>
  <si>
    <t>O-12:17:34 / I-12:48:08</t>
  </si>
  <si>
    <t>O-16:09:33 / I-16:39:53</t>
  </si>
  <si>
    <t>O-15:57:44 / I-16:27:45</t>
  </si>
  <si>
    <t>O-16:30:21 / I-17:01:12</t>
  </si>
  <si>
    <t>O-10:15:06 / I-10:46:17</t>
  </si>
  <si>
    <t>O-11:43:02 / I-12:13:18</t>
  </si>
  <si>
    <t>O-13:31:55 / I-14:02:20</t>
  </si>
  <si>
    <t>O-13:37:05 / I-14:07:30</t>
  </si>
  <si>
    <t>O-11:38:48 / I-12:09:11</t>
  </si>
  <si>
    <t>O-16:33:34 / I-17:06:25</t>
  </si>
  <si>
    <t>O-12:38:07 / I-13:08:54</t>
  </si>
  <si>
    <t>O-12:00:08 / I-12:30:51</t>
  </si>
  <si>
    <t>O-14:05:54 / I-14:36:35</t>
  </si>
  <si>
    <t>O-12:25:48 / I-12:56:24</t>
  </si>
  <si>
    <t>O-12:25:27 / I-12:55:57</t>
  </si>
  <si>
    <t>O-11:07:25 / I-11:37:45</t>
  </si>
  <si>
    <t>O-11:44:55 / I-12:18:31</t>
  </si>
  <si>
    <t>O-13:34:52 / I-14:04:58</t>
  </si>
  <si>
    <t>O-13:35:06 / I-14:05:11</t>
  </si>
  <si>
    <t>I-11:39:00 / O-11:39:23 / I-12:09:32</t>
  </si>
  <si>
    <t>DUPLICATE RECORD</t>
  </si>
  <si>
    <t>O-09:48:48 / I-10:18:49</t>
  </si>
  <si>
    <t>O-11:34:55 / I-12:05:48</t>
  </si>
  <si>
    <t>O-16:05:22 / I-16:35:37</t>
  </si>
  <si>
    <t>O-16:05:57 / I-16:36:04</t>
  </si>
  <si>
    <t>O-16:30:55 / I-17:01:30</t>
  </si>
  <si>
    <t>O-10:12:55 / I-10:43:18</t>
  </si>
  <si>
    <t>O-11:07:39 / I-11:45:18</t>
  </si>
  <si>
    <t>O-11:45:10 / I-12:16:12</t>
  </si>
  <si>
    <t>O-13:26:21 / I-14:00:55</t>
  </si>
  <si>
    <t>O-13:42:11 / I-14:14:12</t>
  </si>
  <si>
    <t>O-11:41:42 / I-12:12:04</t>
  </si>
  <si>
    <t>O-09:47:17 / I-10:19:28</t>
  </si>
  <si>
    <t>O-11:34:57 / I-12:10:05</t>
  </si>
  <si>
    <t>O-16:05:51 / I-16:38:26</t>
  </si>
  <si>
    <t>O-15:57:21 / I-16:28:32</t>
  </si>
  <si>
    <t>O-11:07:58 / I-11:42:44</t>
  </si>
  <si>
    <t>O-13:35:05 / I-14:05:15</t>
  </si>
  <si>
    <t>O-13:37:40 / I-14:08:36</t>
  </si>
  <si>
    <t>O-11:34:36 / I-12:13:54</t>
  </si>
  <si>
    <t>O-12:59:00 / I-13:29:47</t>
  </si>
  <si>
    <t>O-11:37:35 / I-12:09:03</t>
  </si>
  <si>
    <t>O-16:16:13 / I-16:46:20</t>
  </si>
  <si>
    <t>O-16:03:32 / I-16:33:39</t>
  </si>
  <si>
    <t>O-11:08:28 / I-11:44:59</t>
  </si>
  <si>
    <t>FCPORT09</t>
  </si>
  <si>
    <t>O-11:44:50 / I-12:18:08</t>
  </si>
  <si>
    <t>O-16:05:09 / I-16:36:46</t>
  </si>
  <si>
    <t xml:space="preserve">VELASQUEZ, MAURICIO  </t>
  </si>
  <si>
    <t>O-11:34:34 / I-12:14:18</t>
  </si>
  <si>
    <t>O-11:35:47 / I-12:14:30</t>
  </si>
  <si>
    <t>O-16:10:24 / I-16:46:47</t>
  </si>
  <si>
    <t>PEREZ, DIMARA Y</t>
  </si>
  <si>
    <t>O-16:16:23 / I-16:46:35</t>
  </si>
  <si>
    <t>RIVERA, RUDY A</t>
  </si>
  <si>
    <t>FCPORT10</t>
  </si>
  <si>
    <t>O-11:37:46 / I-12:08:52</t>
  </si>
  <si>
    <t>O-16:10:14 / I-16:41:23</t>
  </si>
  <si>
    <t>O-11:37:40 / I-12:08:57</t>
  </si>
  <si>
    <t>O-15:59:38 / I-16:29:46</t>
  </si>
  <si>
    <t>O-11:19:51 / I-11:52:12</t>
  </si>
  <si>
    <t>O-11:10:10 / I-11:40:41</t>
  </si>
  <si>
    <t>O-11:55:19 / I-12:25:53</t>
  </si>
  <si>
    <t>O-12:11:38 / I-12:42:07</t>
  </si>
  <si>
    <t>O-12:39:44 / I-13:10:20</t>
  </si>
  <si>
    <t>O-11:42:16 / I-12:13:08</t>
  </si>
  <si>
    <t>O-11:28:07 / I-11:58:56</t>
  </si>
  <si>
    <t>O-13:37:21 / I-14:08:17</t>
  </si>
  <si>
    <t>O-11:42:31 / I-12:13:02</t>
  </si>
  <si>
    <t>O-17:21:03</t>
  </si>
  <si>
    <t>FWSUP03</t>
  </si>
  <si>
    <t>O-11:12:49 / I-11:43:28</t>
  </si>
  <si>
    <t>O-11:16:50 / I-11:47:21</t>
  </si>
  <si>
    <t>O-10:30:25 / I-11:00:49</t>
  </si>
  <si>
    <t>O-11:29:27 / I-11:59:53</t>
  </si>
  <si>
    <t>O-12:29:48 / I-13:00:32</t>
  </si>
  <si>
    <t>O-17:43:44 / I-18:14:09</t>
  </si>
  <si>
    <t>O-12:34:32 / I-13:04:57</t>
  </si>
  <si>
    <t>O-10:09:46 / I-10:40:17</t>
  </si>
  <si>
    <t>O-13:21:37 / I-13:52:12</t>
  </si>
  <si>
    <t>O-12:34:59 / I-13:05:47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</si>
</sst>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27" x14ac:knownFonts="1">
    <font>
      <sz val="10"/>
      <color rgb="FF00000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10"/>
      <color rgb="FFFF0000"/>
      <name val="Tahoma"/>
      <family val="2"/>
    </font>
    <font>
      <sz val="12"/>
      <color rgb="FF454545"/>
      <name val="Arial"/>
      <family val="2"/>
    </font>
    <font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D2E2"/>
        <bgColor rgb="FFBFD2E2"/>
      </patternFill>
    </fill>
    <fill>
      <patternFill patternType="solid">
        <fgColor rgb="FFBFD2E2"/>
      </patternFill>
    </fill>
    <fill>
      <patternFill patternType="solid">
        <fgColor rgb="FFE7E5E5"/>
      </patternFill>
    </fill>
  </fills>
  <borders count="10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/>
      <bottom style="medium">
        <color rgb="FF608BB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6" fillId="0" borderId="0"/>
    <xf numFmtId="0" fontId="15" fillId="0" borderId="0"/>
    <xf numFmtId="43" fontId="14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4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24" fillId="0" borderId="0" applyFont="0" applyFill="0" applyBorder="0" applyAlignment="0" applyProtection="0"/>
  </cellStyleXfs>
  <cellXfs count="42">
    <xf numFmtId="0" fontId="0" fillId="0" borderId="0" xfId="0"/>
    <xf numFmtId="0" fontId="20" fillId="4" borderId="3" xfId="2" applyFont="1" applyFill="1" applyBorder="1" applyAlignment="1">
      <alignment horizontal="center" vertical="top"/>
    </xf>
    <xf numFmtId="0" fontId="15" fillId="0" borderId="0" xfId="2"/>
    <xf numFmtId="0" fontId="21" fillId="0" borderId="4" xfId="2" applyFont="1" applyBorder="1" applyAlignment="1">
      <alignment vertical="top"/>
    </xf>
    <xf numFmtId="164" fontId="21" fillId="0" borderId="4" xfId="2" applyNumberFormat="1" applyFont="1" applyBorder="1" applyAlignment="1">
      <alignment vertical="top"/>
    </xf>
    <xf numFmtId="0" fontId="15" fillId="0" borderId="4" xfId="2" applyBorder="1"/>
    <xf numFmtId="14" fontId="0" fillId="0" borderId="0" xfId="0" applyNumberFormat="1"/>
    <xf numFmtId="0" fontId="19" fillId="3" borderId="1" xfId="0" applyFont="1" applyFill="1" applyBorder="1" applyAlignment="1">
      <alignment horizontal="center" vertical="top"/>
    </xf>
    <xf numFmtId="0" fontId="21" fillId="0" borderId="6" xfId="0" applyFont="1" applyBorder="1" applyAlignment="1">
      <alignment horizontal="left" vertical="top"/>
    </xf>
    <xf numFmtId="164" fontId="21" fillId="0" borderId="6" xfId="0" applyNumberFormat="1" applyFont="1" applyBorder="1" applyAlignment="1">
      <alignment horizontal="left" vertical="top"/>
    </xf>
    <xf numFmtId="0" fontId="0" fillId="0" borderId="6" xfId="0" applyBorder="1"/>
    <xf numFmtId="0" fontId="22" fillId="0" borderId="0" xfId="0" applyFont="1"/>
    <xf numFmtId="0" fontId="18" fillId="0" borderId="0" xfId="0" applyFont="1" applyAlignment="1">
      <alignment horizontal="center" vertical="top"/>
    </xf>
    <xf numFmtId="0" fontId="17" fillId="3" borderId="2" xfId="0" applyFont="1" applyFill="1" applyBorder="1" applyAlignment="1">
      <alignment horizontal="center" vertical="top"/>
    </xf>
    <xf numFmtId="0" fontId="18" fillId="2" borderId="2" xfId="0" applyFont="1" applyFill="1" applyBorder="1" applyAlignment="1">
      <alignment horizontal="center" vertical="top"/>
    </xf>
    <xf numFmtId="14" fontId="20" fillId="4" borderId="3" xfId="2" applyNumberFormat="1" applyFont="1" applyFill="1" applyBorder="1" applyAlignment="1">
      <alignment horizontal="center" vertical="top"/>
    </xf>
    <xf numFmtId="14" fontId="21" fillId="0" borderId="4" xfId="2" applyNumberFormat="1" applyFont="1" applyBorder="1" applyAlignment="1">
      <alignment vertical="top"/>
    </xf>
    <xf numFmtId="14" fontId="15" fillId="0" borderId="0" xfId="2" applyNumberFormat="1"/>
    <xf numFmtId="0" fontId="14" fillId="0" borderId="0" xfId="0" applyFont="1"/>
    <xf numFmtId="0" fontId="18" fillId="0" borderId="7" xfId="0" applyFont="1" applyBorder="1" applyAlignment="1">
      <alignment horizontal="center" vertical="top"/>
    </xf>
    <xf numFmtId="0" fontId="17" fillId="0" borderId="7" xfId="0" applyFont="1" applyBorder="1" applyAlignment="1">
      <alignment horizontal="center" vertical="top"/>
    </xf>
    <xf numFmtId="0" fontId="17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21" fontId="0" fillId="0" borderId="0" xfId="0" applyNumberFormat="1"/>
    <xf numFmtId="46" fontId="0" fillId="0" borderId="0" xfId="0" applyNumberFormat="1"/>
    <xf numFmtId="0" fontId="23" fillId="0" borderId="7" xfId="0" applyFont="1" applyBorder="1" applyAlignment="1">
      <alignment horizontal="center" vertical="top"/>
    </xf>
    <xf numFmtId="43" fontId="18" fillId="0" borderId="0" xfId="18" applyFont="1" applyAlignment="1">
      <alignment horizontal="center" vertical="top"/>
    </xf>
    <xf numFmtId="43" fontId="18" fillId="2" borderId="2" xfId="18" applyFont="1" applyFill="1" applyBorder="1" applyAlignment="1">
      <alignment horizontal="center" vertical="top"/>
    </xf>
    <xf numFmtId="43" fontId="18" fillId="0" borderId="7" xfId="18" applyFont="1" applyBorder="1" applyAlignment="1">
      <alignment horizontal="center" vertical="top"/>
    </xf>
    <xf numFmtId="0" fontId="25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top"/>
    </xf>
    <xf numFmtId="14" fontId="25" fillId="3" borderId="2" xfId="0" applyNumberFormat="1" applyFont="1" applyFill="1" applyBorder="1" applyAlignment="1">
      <alignment horizontal="center" vertical="center"/>
    </xf>
    <xf numFmtId="14" fontId="18" fillId="0" borderId="0" xfId="0" applyNumberFormat="1" applyFont="1" applyAlignment="1">
      <alignment horizontal="center" vertical="top"/>
    </xf>
    <xf numFmtId="14" fontId="17" fillId="0" borderId="7" xfId="0" applyNumberFormat="1" applyFont="1" applyBorder="1" applyAlignment="1">
      <alignment horizontal="center" vertical="top"/>
    </xf>
    <xf numFmtId="0" fontId="18" fillId="0" borderId="0" xfId="0" applyFont="1" applyAlignment="1">
      <alignment horizontal="left" vertical="top"/>
    </xf>
    <xf numFmtId="14" fontId="18" fillId="0" borderId="7" xfId="0" applyNumberFormat="1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18" fillId="0" borderId="9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top"/>
    </xf>
    <xf numFmtId="0" fontId="26" fillId="0" borderId="8" xfId="0" applyFont="1" applyBorder="1" applyAlignment="1">
      <alignment horizontal="center" vertical="top"/>
    </xf>
    <xf numFmtId="43" fontId="18" fillId="0" borderId="0" xfId="18" applyFont="1" applyAlignment="1">
      <alignment horizontal="center" vertical="top"/>
    </xf>
    <xf numFmtId="43" fontId="18" fillId="0" borderId="5" xfId="18" applyFont="1" applyBorder="1" applyAlignment="1">
      <alignment horizontal="center" vertical="top"/>
    </xf>
  </cellXfs>
  <cellStyles count="19">
    <cellStyle name="Comma" xfId="18" builtinId="3"/>
    <cellStyle name="Comma 2" xfId="3" xr:uid="{00000000-0005-0000-0000-000000000000}"/>
    <cellStyle name="Normal" xfId="0" builtinId="0"/>
    <cellStyle name="Normal 2" xfId="1" xr:uid="{00000000-0005-0000-0000-000003000000}"/>
    <cellStyle name="Normal 2 10" xfId="13" xr:uid="{00000000-0005-0000-0000-000004000000}"/>
    <cellStyle name="Normal 2 11" xfId="14" xr:uid="{00000000-0005-0000-0000-000005000000}"/>
    <cellStyle name="Normal 2 12" xfId="15" xr:uid="{00000000-0005-0000-0000-000006000000}"/>
    <cellStyle name="Normal 2 13" xfId="16" xr:uid="{00000000-0005-0000-0000-000007000000}"/>
    <cellStyle name="Normal 2 14" xfId="17" xr:uid="{00000000-0005-0000-0000-000008000000}"/>
    <cellStyle name="Normal 2 2" xfId="4" xr:uid="{00000000-0005-0000-0000-000009000000}"/>
    <cellStyle name="Normal 2 3" xfId="5" xr:uid="{00000000-0005-0000-0000-00000A000000}"/>
    <cellStyle name="Normal 2 4" xfId="6" xr:uid="{00000000-0005-0000-0000-00000B000000}"/>
    <cellStyle name="Normal 2 5" xfId="7" xr:uid="{00000000-0005-0000-0000-00000C000000}"/>
    <cellStyle name="Normal 2 6" xfId="9" xr:uid="{00000000-0005-0000-0000-00000D000000}"/>
    <cellStyle name="Normal 2 7" xfId="10" xr:uid="{00000000-0005-0000-0000-00000E000000}"/>
    <cellStyle name="Normal 2 8" xfId="11" xr:uid="{00000000-0005-0000-0000-00000F000000}"/>
    <cellStyle name="Normal 2 9" xfId="12" xr:uid="{00000000-0005-0000-0000-000010000000}"/>
    <cellStyle name="Normal 3" xfId="2" xr:uid="{00000000-0005-0000-0000-000011000000}"/>
    <cellStyle name="Normal 4" xfId="8" xr:uid="{00000000-0005-0000-0000-00001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" cy="152400"/>
    <xdr:pic>
      <xdr:nvPicPr>
        <xdr:cNvPr id="2" name="filter.gif">
          <a:extLst>
            <a:ext uri="{FF2B5EF4-FFF2-40B4-BE49-F238E27FC236}">
              <a16:creationId xmlns:a16="http://schemas.microsoft.com/office/drawing/2014/main" id="{B0784AA0-C947-4EFA-B72D-5BA69BEF4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52400" cy="152400"/>
    <xdr:pic>
      <xdr:nvPicPr>
        <xdr:cNvPr id="3" name="sort.gif">
          <a:extLst>
            <a:ext uri="{FF2B5EF4-FFF2-40B4-BE49-F238E27FC236}">
              <a16:creationId xmlns:a16="http://schemas.microsoft.com/office/drawing/2014/main" id="{FC74CF20-2057-4DC0-9BC2-F4342493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5250" cy="95250"/>
    <xdr:pic>
      <xdr:nvPicPr>
        <xdr:cNvPr id="4" name="mnu_sort_asc.gif">
          <a:extLst>
            <a:ext uri="{FF2B5EF4-FFF2-40B4-BE49-F238E27FC236}">
              <a16:creationId xmlns:a16="http://schemas.microsoft.com/office/drawing/2014/main" id="{AFA0004E-41F6-4722-B7CC-84C454BD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0" y="0"/>
          <a:ext cx="95250" cy="95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2"/>
  <sheetViews>
    <sheetView tabSelected="1" topLeftCell="F1" zoomScaleNormal="100" workbookViewId="0">
      <pane ySplit="3" topLeftCell="A402" activePane="bottomLeft" state="frozen"/>
      <selection pane="bottomLeft" activeCell="L432" sqref="L432"/>
    </sheetView>
  </sheetViews>
  <sheetFormatPr defaultRowHeight="15" x14ac:dyDescent="0.2"/>
  <cols>
    <col min="1" max="1" width="17.7109375" style="12" bestFit="1" customWidth="1"/>
    <col min="2" max="2" width="45" style="12" bestFit="1" customWidth="1"/>
    <col min="3" max="3" width="17.7109375" style="12" customWidth="1"/>
    <col min="4" max="4" width="29.42578125" style="12" bestFit="1" customWidth="1"/>
    <col min="5" max="5" width="19" style="12" bestFit="1" customWidth="1"/>
    <col min="6" max="6" width="53" style="34" bestFit="1" customWidth="1"/>
    <col min="7" max="7" width="33.7109375" style="12" bestFit="1" customWidth="1"/>
    <col min="8" max="8" width="19" style="12" customWidth="1"/>
    <col min="9" max="10" width="19" style="32" customWidth="1"/>
    <col min="11" max="11" width="15.7109375" style="26" customWidth="1"/>
    <col min="12" max="12" width="16.7109375" style="26" customWidth="1"/>
    <col min="13" max="13" width="11.42578125" bestFit="1" customWidth="1"/>
  </cols>
  <sheetData>
    <row r="1" spans="1:13" x14ac:dyDescent="0.2">
      <c r="K1" s="40"/>
      <c r="L1" s="40"/>
    </row>
    <row r="2" spans="1:13" ht="15.75" thickBot="1" x14ac:dyDescent="0.25">
      <c r="K2" s="41"/>
      <c r="L2" s="41"/>
    </row>
    <row r="3" spans="1:13" ht="15.75" x14ac:dyDescent="0.2">
      <c r="A3" s="14" t="s">
        <v>1</v>
      </c>
      <c r="B3" s="14" t="s">
        <v>0</v>
      </c>
      <c r="C3" s="14" t="s">
        <v>37</v>
      </c>
      <c r="D3" s="14" t="s">
        <v>22</v>
      </c>
      <c r="E3" s="13" t="s">
        <v>2</v>
      </c>
      <c r="F3" s="29" t="s">
        <v>16</v>
      </c>
      <c r="G3" s="30" t="s">
        <v>17</v>
      </c>
      <c r="H3" s="29" t="s">
        <v>409</v>
      </c>
      <c r="I3" s="31" t="s">
        <v>410</v>
      </c>
      <c r="J3" s="31" t="s">
        <v>411</v>
      </c>
      <c r="K3" s="27" t="s">
        <v>15</v>
      </c>
      <c r="L3" s="27" t="s">
        <v>3</v>
      </c>
    </row>
    <row r="4" spans="1:13" x14ac:dyDescent="0.2">
      <c r="A4" s="19">
        <v>100029581</v>
      </c>
      <c r="B4" s="20" t="s">
        <v>1159</v>
      </c>
      <c r="C4" s="20" t="s">
        <v>39</v>
      </c>
      <c r="D4" s="20" t="s">
        <v>60</v>
      </c>
      <c r="E4" s="20" t="s">
        <v>1160</v>
      </c>
      <c r="F4" s="20" t="s">
        <v>1217</v>
      </c>
      <c r="G4" s="20" t="s">
        <v>448</v>
      </c>
      <c r="H4" s="20" t="s">
        <v>1218</v>
      </c>
      <c r="I4" s="33">
        <v>26170</v>
      </c>
      <c r="J4" s="33">
        <v>43182</v>
      </c>
      <c r="K4" s="28">
        <f ca="1">SUMIF(Data!$C$6:$V$29146,A4,Data!$V$6:$V$29146)</f>
        <v>96.84</v>
      </c>
      <c r="L4" s="28">
        <f ca="1">IFERROR(K4*0.25,"")</f>
        <v>24.21</v>
      </c>
      <c r="M4" s="11" t="s">
        <v>408</v>
      </c>
    </row>
    <row r="5" spans="1:13" x14ac:dyDescent="0.2">
      <c r="A5" s="19">
        <v>100090935</v>
      </c>
      <c r="B5" s="20" t="s">
        <v>1845</v>
      </c>
      <c r="C5" s="20" t="s">
        <v>39</v>
      </c>
      <c r="D5" s="20" t="s">
        <v>35</v>
      </c>
      <c r="E5" s="20" t="s">
        <v>1862</v>
      </c>
      <c r="F5" s="20" t="s">
        <v>1879</v>
      </c>
      <c r="G5" s="20" t="s">
        <v>1880</v>
      </c>
      <c r="H5" s="20" t="s">
        <v>1898</v>
      </c>
      <c r="I5" s="33">
        <v>34974</v>
      </c>
      <c r="J5" s="33">
        <v>45736</v>
      </c>
      <c r="K5" s="28">
        <f ca="1">SUMIF(Data!$C$6:$V$29146,A5,Data!$V$6:$V$29146)</f>
        <v>0</v>
      </c>
      <c r="L5" s="28">
        <f t="shared" ref="L5:L68" ca="1" si="0">IFERROR(K5*0.25,"")</f>
        <v>0</v>
      </c>
      <c r="M5" s="11" t="s">
        <v>408</v>
      </c>
    </row>
    <row r="6" spans="1:13" x14ac:dyDescent="0.2">
      <c r="A6" s="19">
        <v>100082265</v>
      </c>
      <c r="B6" s="20" t="s">
        <v>1161</v>
      </c>
      <c r="C6" s="20" t="s">
        <v>39</v>
      </c>
      <c r="D6" s="20" t="s">
        <v>27</v>
      </c>
      <c r="E6" s="20" t="s">
        <v>1162</v>
      </c>
      <c r="F6" s="20" t="s">
        <v>1219</v>
      </c>
      <c r="G6" s="20" t="s">
        <v>1220</v>
      </c>
      <c r="H6" s="20" t="s">
        <v>1221</v>
      </c>
      <c r="I6" s="33">
        <v>30930</v>
      </c>
      <c r="J6" s="33">
        <v>45414</v>
      </c>
      <c r="K6" s="28">
        <f ca="1">SUMIF(Data!$C$6:$V$29146,A6,Data!$V$6:$V$29146)</f>
        <v>0</v>
      </c>
      <c r="L6" s="28">
        <f t="shared" ca="1" si="0"/>
        <v>0</v>
      </c>
      <c r="M6" s="11" t="s">
        <v>408</v>
      </c>
    </row>
    <row r="7" spans="1:13" x14ac:dyDescent="0.2">
      <c r="A7" s="19" t="s">
        <v>1587</v>
      </c>
      <c r="B7" s="20" t="s">
        <v>1639</v>
      </c>
      <c r="C7" s="20" t="s">
        <v>39</v>
      </c>
      <c r="D7" s="20" t="s">
        <v>26</v>
      </c>
      <c r="E7" s="20" t="s">
        <v>1691</v>
      </c>
      <c r="F7" s="20" t="s">
        <v>1743</v>
      </c>
      <c r="G7" s="20" t="s">
        <v>588</v>
      </c>
      <c r="H7" s="20" t="s">
        <v>1799</v>
      </c>
      <c r="I7" s="33">
        <v>35316</v>
      </c>
      <c r="J7" s="33">
        <v>45688</v>
      </c>
      <c r="K7" s="28">
        <f ca="1">SUMIF(Data!$C$6:$V$29146,A7,Data!$V$6:$V$29146)</f>
        <v>0</v>
      </c>
      <c r="L7" s="28">
        <f t="shared" ca="1" si="0"/>
        <v>0</v>
      </c>
      <c r="M7" s="11" t="s">
        <v>408</v>
      </c>
    </row>
    <row r="8" spans="1:13" x14ac:dyDescent="0.2">
      <c r="A8" s="20">
        <v>100087239</v>
      </c>
      <c r="B8" s="20" t="s">
        <v>1544</v>
      </c>
      <c r="C8" s="20" t="s">
        <v>39</v>
      </c>
      <c r="D8" s="20" t="s">
        <v>35</v>
      </c>
      <c r="E8" s="20" t="s">
        <v>1545</v>
      </c>
      <c r="F8" s="20" t="s">
        <v>1546</v>
      </c>
      <c r="G8" s="20" t="s">
        <v>704</v>
      </c>
      <c r="H8" s="20" t="s">
        <v>1547</v>
      </c>
      <c r="I8" s="33">
        <v>34964</v>
      </c>
      <c r="J8" s="33">
        <v>45546</v>
      </c>
      <c r="K8" s="28">
        <f ca="1">SUMIF(Data!$C$6:$V$29146,A8,Data!$V$6:$V$29146)</f>
        <v>0</v>
      </c>
      <c r="L8" s="28">
        <f t="shared" ca="1" si="0"/>
        <v>0</v>
      </c>
      <c r="M8" s="11" t="s">
        <v>408</v>
      </c>
    </row>
    <row r="9" spans="1:13" x14ac:dyDescent="0.2">
      <c r="A9" s="19">
        <v>100082259</v>
      </c>
      <c r="B9" s="20" t="s">
        <v>1163</v>
      </c>
      <c r="C9" s="20" t="s">
        <v>39</v>
      </c>
      <c r="D9" s="20" t="s">
        <v>60</v>
      </c>
      <c r="E9" s="20" t="s">
        <v>1164</v>
      </c>
      <c r="F9" s="20" t="s">
        <v>1222</v>
      </c>
      <c r="G9" s="20" t="s">
        <v>546</v>
      </c>
      <c r="H9" s="20" t="s">
        <v>1223</v>
      </c>
      <c r="I9" s="33">
        <v>33551</v>
      </c>
      <c r="J9" s="33">
        <v>45414</v>
      </c>
      <c r="K9" s="28">
        <f ca="1">SUMIF(Data!$C$6:$V$29146,A9,Data!$V$6:$V$29146)</f>
        <v>0</v>
      </c>
      <c r="L9" s="28">
        <f t="shared" ca="1" si="0"/>
        <v>0</v>
      </c>
      <c r="M9" s="11" t="s">
        <v>408</v>
      </c>
    </row>
    <row r="10" spans="1:13" x14ac:dyDescent="0.2">
      <c r="A10" s="20">
        <v>100087281</v>
      </c>
      <c r="B10" s="20" t="s">
        <v>1483</v>
      </c>
      <c r="C10" s="20" t="s">
        <v>39</v>
      </c>
      <c r="D10" s="20" t="s">
        <v>30</v>
      </c>
      <c r="E10" s="20" t="s">
        <v>1484</v>
      </c>
      <c r="F10" s="20" t="s">
        <v>1485</v>
      </c>
      <c r="G10" s="20" t="s">
        <v>652</v>
      </c>
      <c r="H10" s="20" t="s">
        <v>1486</v>
      </c>
      <c r="I10" s="33">
        <v>34967</v>
      </c>
      <c r="J10" s="33">
        <v>45546</v>
      </c>
      <c r="K10" s="28">
        <f ca="1">SUMIF(Data!$C$6:$V$29146,A10,Data!$V$6:$V$29146)</f>
        <v>0</v>
      </c>
      <c r="L10" s="28">
        <f t="shared" ca="1" si="0"/>
        <v>0</v>
      </c>
      <c r="M10" s="11" t="s">
        <v>408</v>
      </c>
    </row>
    <row r="11" spans="1:13" x14ac:dyDescent="0.2">
      <c r="A11" s="19" t="s">
        <v>1588</v>
      </c>
      <c r="B11" s="20" t="s">
        <v>1640</v>
      </c>
      <c r="C11" s="20" t="s">
        <v>39</v>
      </c>
      <c r="D11" s="20" t="s">
        <v>35</v>
      </c>
      <c r="E11" s="20" t="s">
        <v>1692</v>
      </c>
      <c r="F11" s="20" t="s">
        <v>1744</v>
      </c>
      <c r="G11" s="20" t="s">
        <v>550</v>
      </c>
      <c r="H11" s="20" t="s">
        <v>1800</v>
      </c>
      <c r="I11" s="33">
        <v>28294</v>
      </c>
      <c r="J11" s="33">
        <v>45688</v>
      </c>
      <c r="K11" s="28">
        <f ca="1">SUMIF(Data!$C$6:$V$29146,A11,Data!$V$6:$V$29146)</f>
        <v>0</v>
      </c>
      <c r="L11" s="28">
        <f t="shared" ca="1" si="0"/>
        <v>0</v>
      </c>
      <c r="M11" s="11" t="s">
        <v>408</v>
      </c>
    </row>
    <row r="12" spans="1:13" x14ac:dyDescent="0.2">
      <c r="A12" s="20">
        <v>100062550</v>
      </c>
      <c r="B12" s="20" t="s">
        <v>333</v>
      </c>
      <c r="C12" s="20" t="s">
        <v>39</v>
      </c>
      <c r="D12" s="20" t="s">
        <v>27</v>
      </c>
      <c r="E12" s="20" t="s">
        <v>334</v>
      </c>
      <c r="F12" s="20" t="s">
        <v>415</v>
      </c>
      <c r="G12" s="20" t="s">
        <v>416</v>
      </c>
      <c r="H12" s="20" t="s">
        <v>417</v>
      </c>
      <c r="I12" s="33">
        <v>29757</v>
      </c>
      <c r="J12" s="33">
        <v>44832</v>
      </c>
      <c r="K12" s="28">
        <f ca="1">SUMIF(Data!$C$6:$V$29146,A12,Data!$V$6:$V$29146)</f>
        <v>0</v>
      </c>
      <c r="L12" s="28">
        <f t="shared" ca="1" si="0"/>
        <v>0</v>
      </c>
      <c r="M12" s="11" t="s">
        <v>408</v>
      </c>
    </row>
    <row r="13" spans="1:13" x14ac:dyDescent="0.2">
      <c r="A13" s="19">
        <v>100064555</v>
      </c>
      <c r="B13" s="20" t="s">
        <v>1252</v>
      </c>
      <c r="C13" s="20" t="s">
        <v>39</v>
      </c>
      <c r="D13" s="20" t="s">
        <v>27</v>
      </c>
      <c r="E13" s="20" t="s">
        <v>342</v>
      </c>
      <c r="F13" s="20" t="s">
        <v>418</v>
      </c>
      <c r="G13" s="20" t="s">
        <v>412</v>
      </c>
      <c r="H13" s="20" t="s">
        <v>419</v>
      </c>
      <c r="I13" s="33">
        <v>36222</v>
      </c>
      <c r="J13" s="33">
        <v>44958</v>
      </c>
      <c r="K13" s="28">
        <f ca="1">SUMIF(Data!$C$6:$V$29146,A13,Data!$V$6:$V$29146)</f>
        <v>0</v>
      </c>
      <c r="L13" s="28">
        <f t="shared" ca="1" si="0"/>
        <v>0</v>
      </c>
      <c r="M13" s="11" t="s">
        <v>408</v>
      </c>
    </row>
    <row r="14" spans="1:13" x14ac:dyDescent="0.2">
      <c r="A14" s="19" t="s">
        <v>1911</v>
      </c>
      <c r="B14" s="20" t="s">
        <v>1912</v>
      </c>
      <c r="C14" s="20" t="s">
        <v>39</v>
      </c>
      <c r="D14" s="20" t="s">
        <v>30</v>
      </c>
      <c r="E14" s="20" t="s">
        <v>1913</v>
      </c>
      <c r="F14" s="20" t="s">
        <v>1914</v>
      </c>
      <c r="G14" s="20" t="s">
        <v>1039</v>
      </c>
      <c r="H14" s="20" t="s">
        <v>1915</v>
      </c>
      <c r="I14" s="33">
        <v>26200</v>
      </c>
      <c r="J14" s="33">
        <v>45785</v>
      </c>
      <c r="K14" s="28">
        <f ca="1">SUMIF(Data!$C$6:$V$29146,A14,Data!$V$6:$V$29146)</f>
        <v>0</v>
      </c>
      <c r="L14" s="28">
        <f t="shared" ca="1" si="0"/>
        <v>0</v>
      </c>
      <c r="M14" s="11" t="s">
        <v>408</v>
      </c>
    </row>
    <row r="15" spans="1:13" x14ac:dyDescent="0.2">
      <c r="A15" s="19" t="s">
        <v>2307</v>
      </c>
      <c r="B15" s="20" t="s">
        <v>2316</v>
      </c>
      <c r="C15" s="20" t="s">
        <v>39</v>
      </c>
      <c r="D15" s="20" t="s">
        <v>60</v>
      </c>
      <c r="E15" s="20" t="s">
        <v>2325</v>
      </c>
      <c r="F15" s="20" t="s">
        <v>2334</v>
      </c>
      <c r="G15" s="20" t="s">
        <v>1897</v>
      </c>
      <c r="H15" s="20" t="s">
        <v>2345</v>
      </c>
      <c r="I15" s="33">
        <v>36436</v>
      </c>
      <c r="J15" s="33">
        <v>45805</v>
      </c>
      <c r="K15" s="28">
        <f ca="1">SUMIF(Data!$C$6:$V$29146,A15,Data!$V$6:$V$29146)</f>
        <v>0</v>
      </c>
      <c r="L15" s="28">
        <f t="shared" ca="1" si="0"/>
        <v>0</v>
      </c>
      <c r="M15" s="11" t="s">
        <v>408</v>
      </c>
    </row>
    <row r="16" spans="1:13" x14ac:dyDescent="0.2">
      <c r="A16" s="20">
        <v>100087249</v>
      </c>
      <c r="B16" s="20" t="s">
        <v>1377</v>
      </c>
      <c r="C16" s="20" t="s">
        <v>39</v>
      </c>
      <c r="D16" s="20" t="s">
        <v>47</v>
      </c>
      <c r="E16" s="20" t="s">
        <v>1378</v>
      </c>
      <c r="F16" s="20" t="s">
        <v>1379</v>
      </c>
      <c r="G16" s="20" t="s">
        <v>434</v>
      </c>
      <c r="H16" s="20" t="s">
        <v>1380</v>
      </c>
      <c r="I16" s="33">
        <v>37460</v>
      </c>
      <c r="J16" s="33">
        <v>45546</v>
      </c>
      <c r="K16" s="28">
        <f ca="1">SUMIF(Data!$C$6:$V$29146,A16,Data!$V$6:$V$29146)</f>
        <v>0</v>
      </c>
      <c r="L16" s="28">
        <f t="shared" ca="1" si="0"/>
        <v>0</v>
      </c>
      <c r="M16" s="11" t="s">
        <v>408</v>
      </c>
    </row>
    <row r="17" spans="1:13" x14ac:dyDescent="0.2">
      <c r="A17" s="19">
        <v>100071939</v>
      </c>
      <c r="B17" s="20" t="s">
        <v>1112</v>
      </c>
      <c r="C17" s="20" t="s">
        <v>39</v>
      </c>
      <c r="D17" s="20" t="s">
        <v>30</v>
      </c>
      <c r="E17" s="20" t="s">
        <v>1113</v>
      </c>
      <c r="F17" s="20" t="s">
        <v>1114</v>
      </c>
      <c r="G17" s="20" t="s">
        <v>640</v>
      </c>
      <c r="H17" s="20" t="s">
        <v>1115</v>
      </c>
      <c r="I17" s="33">
        <v>38282</v>
      </c>
      <c r="J17" s="33">
        <v>45112</v>
      </c>
      <c r="K17" s="28">
        <f ca="1">SUMIF(Data!$C$6:$V$29146,A17,Data!$V$6:$V$29146)</f>
        <v>0</v>
      </c>
      <c r="L17" s="28">
        <f t="shared" ca="1" si="0"/>
        <v>0</v>
      </c>
      <c r="M17" s="11" t="s">
        <v>408</v>
      </c>
    </row>
    <row r="18" spans="1:13" x14ac:dyDescent="0.2">
      <c r="A18" s="20">
        <v>100087236</v>
      </c>
      <c r="B18" s="20" t="s">
        <v>1487</v>
      </c>
      <c r="C18" s="20" t="s">
        <v>39</v>
      </c>
      <c r="D18" s="20" t="s">
        <v>30</v>
      </c>
      <c r="E18" s="20" t="s">
        <v>1488</v>
      </c>
      <c r="F18" s="20" t="s">
        <v>1489</v>
      </c>
      <c r="G18" s="20" t="s">
        <v>707</v>
      </c>
      <c r="H18" s="20" t="s">
        <v>1490</v>
      </c>
      <c r="I18" s="33">
        <v>38767</v>
      </c>
      <c r="J18" s="33">
        <v>45546</v>
      </c>
      <c r="K18" s="28">
        <f ca="1">SUMIF(Data!$C$6:$V$29146,A18,Data!$V$6:$V$29146)</f>
        <v>0</v>
      </c>
      <c r="L18" s="28">
        <f t="shared" ca="1" si="0"/>
        <v>0</v>
      </c>
      <c r="M18" s="11" t="s">
        <v>408</v>
      </c>
    </row>
    <row r="19" spans="1:13" x14ac:dyDescent="0.2">
      <c r="A19" s="20">
        <v>100029801</v>
      </c>
      <c r="B19" s="20" t="s">
        <v>57</v>
      </c>
      <c r="C19" s="20" t="s">
        <v>39</v>
      </c>
      <c r="D19" s="20" t="s">
        <v>32</v>
      </c>
      <c r="E19" s="20" t="s">
        <v>58</v>
      </c>
      <c r="F19" s="20" t="s">
        <v>420</v>
      </c>
      <c r="G19" s="20" t="s">
        <v>421</v>
      </c>
      <c r="H19" s="20" t="s">
        <v>422</v>
      </c>
      <c r="I19" s="33">
        <v>25507</v>
      </c>
      <c r="J19" s="33">
        <v>43182</v>
      </c>
      <c r="K19" s="28">
        <f ca="1">SUMIF(Data!$C$6:$V$29146,A19,Data!$V$6:$V$29146)</f>
        <v>6.67</v>
      </c>
      <c r="L19" s="28">
        <f t="shared" ca="1" si="0"/>
        <v>1.6675</v>
      </c>
      <c r="M19" s="11" t="s">
        <v>408</v>
      </c>
    </row>
    <row r="20" spans="1:13" x14ac:dyDescent="0.2">
      <c r="A20" s="20">
        <v>100087241</v>
      </c>
      <c r="B20" s="20" t="s">
        <v>1381</v>
      </c>
      <c r="C20" s="20" t="s">
        <v>39</v>
      </c>
      <c r="D20" s="20" t="s">
        <v>47</v>
      </c>
      <c r="E20" s="20" t="s">
        <v>1382</v>
      </c>
      <c r="F20" s="20" t="s">
        <v>1383</v>
      </c>
      <c r="G20" s="20" t="s">
        <v>775</v>
      </c>
      <c r="H20" s="20" t="s">
        <v>1384</v>
      </c>
      <c r="I20" s="33">
        <v>38925</v>
      </c>
      <c r="J20" s="33">
        <v>45546</v>
      </c>
      <c r="K20" s="28">
        <f ca="1">SUMIF(Data!$C$6:$V$29146,A20,Data!$V$6:$V$29146)</f>
        <v>0</v>
      </c>
      <c r="L20" s="28">
        <f t="shared" ca="1" si="0"/>
        <v>0</v>
      </c>
      <c r="M20" s="11" t="s">
        <v>408</v>
      </c>
    </row>
    <row r="21" spans="1:13" x14ac:dyDescent="0.2">
      <c r="A21" s="19" t="s">
        <v>1916</v>
      </c>
      <c r="B21" s="20" t="s">
        <v>1917</v>
      </c>
      <c r="C21" s="20" t="s">
        <v>39</v>
      </c>
      <c r="D21" s="20" t="s">
        <v>27</v>
      </c>
      <c r="E21" s="20" t="s">
        <v>1918</v>
      </c>
      <c r="F21" s="20" t="s">
        <v>1919</v>
      </c>
      <c r="G21" s="20" t="s">
        <v>1751</v>
      </c>
      <c r="H21" s="20" t="s">
        <v>1920</v>
      </c>
      <c r="I21" s="33">
        <v>39009</v>
      </c>
      <c r="J21" s="33">
        <v>45785</v>
      </c>
      <c r="K21" s="28">
        <f ca="1">SUMIF(Data!$C$6:$V$29146,A21,Data!$V$6:$V$29146)</f>
        <v>0</v>
      </c>
      <c r="L21" s="28">
        <f t="shared" ca="1" si="0"/>
        <v>0</v>
      </c>
      <c r="M21" s="11" t="s">
        <v>408</v>
      </c>
    </row>
    <row r="22" spans="1:13" x14ac:dyDescent="0.2">
      <c r="A22" s="19">
        <v>100084221</v>
      </c>
      <c r="B22" s="20" t="s">
        <v>1253</v>
      </c>
      <c r="C22" s="20" t="s">
        <v>39</v>
      </c>
      <c r="D22" s="20" t="s">
        <v>60</v>
      </c>
      <c r="E22" s="20" t="s">
        <v>1254</v>
      </c>
      <c r="F22" s="20" t="s">
        <v>1325</v>
      </c>
      <c r="G22" s="20" t="s">
        <v>1326</v>
      </c>
      <c r="H22" s="20" t="s">
        <v>1327</v>
      </c>
      <c r="I22" s="33">
        <v>25421</v>
      </c>
      <c r="J22" s="33">
        <v>45456</v>
      </c>
      <c r="K22" s="28">
        <f ca="1">SUMIF(Data!$C$6:$V$29146,A22,Data!$V$6:$V$29146)</f>
        <v>0</v>
      </c>
      <c r="L22" s="28">
        <f t="shared" ca="1" si="0"/>
        <v>0</v>
      </c>
      <c r="M22" s="11" t="s">
        <v>408</v>
      </c>
    </row>
    <row r="23" spans="1:13" x14ac:dyDescent="0.2">
      <c r="A23" s="19" t="s">
        <v>1589</v>
      </c>
      <c r="B23" s="20" t="s">
        <v>1641</v>
      </c>
      <c r="C23" s="20" t="s">
        <v>39</v>
      </c>
      <c r="D23" s="20" t="s">
        <v>26</v>
      </c>
      <c r="E23" s="20" t="s">
        <v>1693</v>
      </c>
      <c r="F23" s="20" t="s">
        <v>1745</v>
      </c>
      <c r="G23" s="20" t="s">
        <v>713</v>
      </c>
      <c r="H23" s="20" t="s">
        <v>1801</v>
      </c>
      <c r="I23" s="33">
        <v>33318</v>
      </c>
      <c r="J23" s="33">
        <v>45688</v>
      </c>
      <c r="K23" s="28">
        <f ca="1">SUMIF(Data!$C$6:$V$29146,A23,Data!$V$6:$V$29146)</f>
        <v>0</v>
      </c>
      <c r="L23" s="28">
        <f t="shared" ca="1" si="0"/>
        <v>0</v>
      </c>
      <c r="M23" s="11" t="s">
        <v>408</v>
      </c>
    </row>
    <row r="24" spans="1:13" x14ac:dyDescent="0.2">
      <c r="A24" s="20">
        <v>100074386</v>
      </c>
      <c r="B24" s="20" t="s">
        <v>887</v>
      </c>
      <c r="C24" s="20" t="s">
        <v>39</v>
      </c>
      <c r="D24" s="20" t="s">
        <v>25</v>
      </c>
      <c r="E24" s="20" t="s">
        <v>888</v>
      </c>
      <c r="F24" s="20" t="s">
        <v>1110</v>
      </c>
      <c r="G24" s="20" t="s">
        <v>589</v>
      </c>
      <c r="H24" s="20" t="s">
        <v>889</v>
      </c>
      <c r="I24" s="33">
        <v>34813</v>
      </c>
      <c r="J24" s="33">
        <v>45189</v>
      </c>
      <c r="K24" s="28">
        <f ca="1">SUMIF(Data!$C$6:$V$29146,A24,Data!$V$6:$V$29146)</f>
        <v>0</v>
      </c>
      <c r="L24" s="28">
        <f t="shared" ca="1" si="0"/>
        <v>0</v>
      </c>
      <c r="M24" s="11" t="s">
        <v>408</v>
      </c>
    </row>
    <row r="25" spans="1:13" x14ac:dyDescent="0.2">
      <c r="A25" s="19" t="s">
        <v>1921</v>
      </c>
      <c r="B25" s="20" t="s">
        <v>1922</v>
      </c>
      <c r="C25" s="20" t="s">
        <v>39</v>
      </c>
      <c r="D25" s="20" t="s">
        <v>47</v>
      </c>
      <c r="E25" s="20" t="s">
        <v>1923</v>
      </c>
      <c r="F25" s="20" t="s">
        <v>1224</v>
      </c>
      <c r="G25" s="20" t="s">
        <v>412</v>
      </c>
      <c r="H25" s="20" t="s">
        <v>1924</v>
      </c>
      <c r="I25" s="33">
        <v>37222</v>
      </c>
      <c r="J25" s="33">
        <v>45785</v>
      </c>
      <c r="K25" s="28">
        <f ca="1">SUMIF(Data!$C$6:$V$29146,A25,Data!$V$6:$V$29146)</f>
        <v>0</v>
      </c>
      <c r="L25" s="28">
        <f t="shared" ca="1" si="0"/>
        <v>0</v>
      </c>
      <c r="M25" s="11" t="s">
        <v>408</v>
      </c>
    </row>
    <row r="26" spans="1:13" x14ac:dyDescent="0.2">
      <c r="A26" s="19">
        <v>100082257</v>
      </c>
      <c r="B26" s="20" t="s">
        <v>1169</v>
      </c>
      <c r="C26" s="20" t="s">
        <v>39</v>
      </c>
      <c r="D26" s="20" t="s">
        <v>27</v>
      </c>
      <c r="E26" s="20" t="s">
        <v>1170</v>
      </c>
      <c r="F26" s="20" t="s">
        <v>1224</v>
      </c>
      <c r="G26" s="20" t="s">
        <v>412</v>
      </c>
      <c r="H26" s="20" t="s">
        <v>1225</v>
      </c>
      <c r="I26" s="33">
        <v>38147</v>
      </c>
      <c r="J26" s="33">
        <v>45414</v>
      </c>
      <c r="K26" s="28">
        <f ca="1">SUMIF(Data!$C$6:$V$29146,A26,Data!$V$6:$V$29146)</f>
        <v>0</v>
      </c>
      <c r="L26" s="28">
        <f t="shared" ca="1" si="0"/>
        <v>0</v>
      </c>
      <c r="M26" s="11" t="s">
        <v>408</v>
      </c>
    </row>
    <row r="27" spans="1:13" x14ac:dyDescent="0.2">
      <c r="A27" s="20">
        <v>100029855</v>
      </c>
      <c r="B27" s="20" t="s">
        <v>59</v>
      </c>
      <c r="C27" s="20" t="s">
        <v>39</v>
      </c>
      <c r="D27" s="20" t="s">
        <v>60</v>
      </c>
      <c r="E27" s="20" t="s">
        <v>61</v>
      </c>
      <c r="F27" s="20" t="s">
        <v>424</v>
      </c>
      <c r="G27" s="20" t="s">
        <v>425</v>
      </c>
      <c r="H27" s="20" t="s">
        <v>426</v>
      </c>
      <c r="I27" s="33">
        <v>24649</v>
      </c>
      <c r="J27" s="33">
        <v>43182</v>
      </c>
      <c r="K27" s="28">
        <f ca="1">SUMIF(Data!$C$6:$V$29146,A27,Data!$V$6:$V$29146)</f>
        <v>20.350000000000001</v>
      </c>
      <c r="L27" s="28">
        <f t="shared" ca="1" si="0"/>
        <v>5.0875000000000004</v>
      </c>
      <c r="M27" s="11" t="s">
        <v>408</v>
      </c>
    </row>
    <row r="28" spans="1:13" x14ac:dyDescent="0.2">
      <c r="A28" s="19">
        <v>100084258</v>
      </c>
      <c r="B28" s="20" t="s">
        <v>1255</v>
      </c>
      <c r="C28" s="20" t="s">
        <v>39</v>
      </c>
      <c r="D28" s="20" t="s">
        <v>27</v>
      </c>
      <c r="E28" s="20" t="s">
        <v>1256</v>
      </c>
      <c r="F28" s="20" t="s">
        <v>1328</v>
      </c>
      <c r="G28" s="20" t="s">
        <v>442</v>
      </c>
      <c r="H28" s="20" t="s">
        <v>1329</v>
      </c>
      <c r="I28" s="33">
        <v>31246</v>
      </c>
      <c r="J28" s="33">
        <v>45456</v>
      </c>
      <c r="K28" s="28">
        <f ca="1">SUMIF(Data!$C$6:$V$29146,A28,Data!$V$6:$V$29146)</f>
        <v>0</v>
      </c>
      <c r="L28" s="28">
        <f t="shared" ca="1" si="0"/>
        <v>0</v>
      </c>
      <c r="M28" s="11" t="s">
        <v>408</v>
      </c>
    </row>
    <row r="29" spans="1:13" x14ac:dyDescent="0.2">
      <c r="A29" s="19" t="s">
        <v>1590</v>
      </c>
      <c r="B29" s="20" t="s">
        <v>1642</v>
      </c>
      <c r="C29" s="20" t="s">
        <v>39</v>
      </c>
      <c r="D29" s="20" t="s">
        <v>60</v>
      </c>
      <c r="E29" s="20" t="s">
        <v>1694</v>
      </c>
      <c r="F29" s="20" t="s">
        <v>1746</v>
      </c>
      <c r="G29" s="20" t="s">
        <v>588</v>
      </c>
      <c r="H29" s="20" t="s">
        <v>1802</v>
      </c>
      <c r="I29" s="33">
        <v>34572</v>
      </c>
      <c r="J29" s="33">
        <v>45688</v>
      </c>
      <c r="K29" s="28">
        <f ca="1">SUMIF(Data!$C$6:$V$29146,A29,Data!$V$6:$V$29146)</f>
        <v>0</v>
      </c>
      <c r="L29" s="28">
        <f t="shared" ca="1" si="0"/>
        <v>0</v>
      </c>
      <c r="M29" s="11" t="s">
        <v>408</v>
      </c>
    </row>
    <row r="30" spans="1:13" x14ac:dyDescent="0.2">
      <c r="A30" s="20">
        <v>100087283</v>
      </c>
      <c r="B30" s="20" t="s">
        <v>1558</v>
      </c>
      <c r="C30" s="20" t="s">
        <v>39</v>
      </c>
      <c r="D30" s="20" t="s">
        <v>25</v>
      </c>
      <c r="E30" s="20" t="s">
        <v>1559</v>
      </c>
      <c r="F30" s="20" t="s">
        <v>1560</v>
      </c>
      <c r="G30" s="20" t="s">
        <v>1561</v>
      </c>
      <c r="H30" s="20" t="s">
        <v>1562</v>
      </c>
      <c r="I30" s="33">
        <v>34452</v>
      </c>
      <c r="J30" s="33">
        <v>45546</v>
      </c>
      <c r="K30" s="28">
        <f ca="1">SUMIF(Data!$C$6:$V$29146,A30,Data!$V$6:$V$29146)</f>
        <v>0</v>
      </c>
      <c r="L30" s="28">
        <f t="shared" ca="1" si="0"/>
        <v>0</v>
      </c>
      <c r="M30" s="11" t="s">
        <v>408</v>
      </c>
    </row>
    <row r="31" spans="1:13" x14ac:dyDescent="0.2">
      <c r="A31" s="20">
        <v>100059503</v>
      </c>
      <c r="B31" s="20" t="s">
        <v>298</v>
      </c>
      <c r="C31" s="20" t="s">
        <v>39</v>
      </c>
      <c r="D31" s="20" t="s">
        <v>60</v>
      </c>
      <c r="E31" s="20" t="s">
        <v>299</v>
      </c>
      <c r="F31" s="20" t="s">
        <v>427</v>
      </c>
      <c r="G31" s="20" t="s">
        <v>428</v>
      </c>
      <c r="H31" s="20" t="s">
        <v>429</v>
      </c>
      <c r="I31" s="33">
        <v>21292</v>
      </c>
      <c r="J31" s="33">
        <v>44735</v>
      </c>
      <c r="K31" s="28">
        <f ca="1">SUMIF(Data!$C$6:$V$29146,A31,Data!$V$6:$V$29146)</f>
        <v>0</v>
      </c>
      <c r="L31" s="28">
        <f t="shared" ca="1" si="0"/>
        <v>0</v>
      </c>
      <c r="M31" s="11" t="s">
        <v>408</v>
      </c>
    </row>
    <row r="32" spans="1:13" x14ac:dyDescent="0.2">
      <c r="A32" s="20">
        <v>100040078</v>
      </c>
      <c r="B32" s="20" t="s">
        <v>180</v>
      </c>
      <c r="C32" s="20" t="s">
        <v>39</v>
      </c>
      <c r="D32" s="20" t="s">
        <v>24</v>
      </c>
      <c r="E32" s="20" t="s">
        <v>181</v>
      </c>
      <c r="F32" s="20" t="s">
        <v>430</v>
      </c>
      <c r="G32" s="20" t="s">
        <v>431</v>
      </c>
      <c r="H32" s="20" t="s">
        <v>432</v>
      </c>
      <c r="I32" s="33">
        <v>32666</v>
      </c>
      <c r="J32" s="33">
        <v>43628</v>
      </c>
      <c r="K32" s="28">
        <f ca="1">SUMIF(Data!$C$6:$V$29146,A32,Data!$V$6:$V$29146)</f>
        <v>0</v>
      </c>
      <c r="L32" s="28">
        <f t="shared" ca="1" si="0"/>
        <v>0</v>
      </c>
      <c r="M32" s="11" t="s">
        <v>408</v>
      </c>
    </row>
    <row r="33" spans="1:13" x14ac:dyDescent="0.2">
      <c r="A33" s="19" t="s">
        <v>1591</v>
      </c>
      <c r="B33" s="20" t="s">
        <v>1643</v>
      </c>
      <c r="C33" s="20" t="s">
        <v>39</v>
      </c>
      <c r="D33" s="20" t="s">
        <v>60</v>
      </c>
      <c r="E33" s="20" t="s">
        <v>1695</v>
      </c>
      <c r="F33" s="20" t="s">
        <v>1747</v>
      </c>
      <c r="G33" s="20" t="s">
        <v>461</v>
      </c>
      <c r="H33" s="20" t="s">
        <v>1803</v>
      </c>
      <c r="I33" s="33">
        <v>23427</v>
      </c>
      <c r="J33" s="33">
        <v>45688</v>
      </c>
      <c r="K33" s="28">
        <f ca="1">SUMIF(Data!$C$6:$V$29146,A33,Data!$V$6:$V$29146)</f>
        <v>0</v>
      </c>
      <c r="L33" s="28">
        <f t="shared" ca="1" si="0"/>
        <v>0</v>
      </c>
      <c r="M33" s="11" t="s">
        <v>408</v>
      </c>
    </row>
    <row r="34" spans="1:13" x14ac:dyDescent="0.2">
      <c r="A34" s="19" t="s">
        <v>1925</v>
      </c>
      <c r="B34" s="20" t="s">
        <v>1926</v>
      </c>
      <c r="C34" s="20" t="s">
        <v>39</v>
      </c>
      <c r="D34" s="20" t="s">
        <v>47</v>
      </c>
      <c r="E34" s="20" t="s">
        <v>1927</v>
      </c>
      <c r="F34" s="20" t="s">
        <v>1928</v>
      </c>
      <c r="G34" s="20" t="s">
        <v>412</v>
      </c>
      <c r="H34" s="20"/>
      <c r="I34" s="33">
        <v>35308</v>
      </c>
      <c r="J34" s="33">
        <v>45785</v>
      </c>
      <c r="K34" s="28">
        <f ca="1">SUMIF(Data!$C$6:$V$29146,A34,Data!$V$6:$V$29146)</f>
        <v>0</v>
      </c>
      <c r="L34" s="28">
        <f t="shared" ca="1" si="0"/>
        <v>0</v>
      </c>
      <c r="M34" s="11" t="s">
        <v>408</v>
      </c>
    </row>
    <row r="35" spans="1:13" x14ac:dyDescent="0.2">
      <c r="A35" s="19" t="s">
        <v>1929</v>
      </c>
      <c r="B35" s="20" t="s">
        <v>1930</v>
      </c>
      <c r="C35" s="20" t="s">
        <v>39</v>
      </c>
      <c r="D35" s="20" t="s">
        <v>47</v>
      </c>
      <c r="E35" s="20" t="s">
        <v>1931</v>
      </c>
      <c r="F35" s="20" t="s">
        <v>1932</v>
      </c>
      <c r="G35" s="20" t="s">
        <v>413</v>
      </c>
      <c r="H35" s="20" t="s">
        <v>1933</v>
      </c>
      <c r="I35" s="33">
        <v>38704</v>
      </c>
      <c r="J35" s="33">
        <v>45785</v>
      </c>
      <c r="K35" s="28">
        <f ca="1">SUMIF(Data!$C$6:$V$29146,A35,Data!$V$6:$V$29146)</f>
        <v>0</v>
      </c>
      <c r="L35" s="28">
        <f t="shared" ca="1" si="0"/>
        <v>0</v>
      </c>
      <c r="M35" s="11" t="s">
        <v>408</v>
      </c>
    </row>
    <row r="36" spans="1:13" x14ac:dyDescent="0.2">
      <c r="A36" s="20">
        <v>100087267</v>
      </c>
      <c r="B36" s="20" t="s">
        <v>1508</v>
      </c>
      <c r="C36" s="20" t="s">
        <v>39</v>
      </c>
      <c r="D36" s="20" t="s">
        <v>60</v>
      </c>
      <c r="E36" s="20" t="s">
        <v>1509</v>
      </c>
      <c r="F36" s="20" t="s">
        <v>1510</v>
      </c>
      <c r="G36" s="20" t="s">
        <v>1511</v>
      </c>
      <c r="H36" s="20" t="s">
        <v>1512</v>
      </c>
      <c r="I36" s="33">
        <v>23735</v>
      </c>
      <c r="J36" s="33">
        <v>45546</v>
      </c>
      <c r="K36" s="28">
        <f ca="1">SUMIF(Data!$C$6:$V$29146,A36,Data!$V$6:$V$29146)</f>
        <v>0</v>
      </c>
      <c r="L36" s="28">
        <f t="shared" ca="1" si="0"/>
        <v>0</v>
      </c>
      <c r="M36" s="11" t="s">
        <v>408</v>
      </c>
    </row>
    <row r="37" spans="1:13" x14ac:dyDescent="0.2">
      <c r="A37" s="19">
        <v>100084254</v>
      </c>
      <c r="B37" s="20" t="s">
        <v>1257</v>
      </c>
      <c r="C37" s="20" t="s">
        <v>39</v>
      </c>
      <c r="D37" s="20" t="s">
        <v>31</v>
      </c>
      <c r="E37" s="20" t="s">
        <v>1258</v>
      </c>
      <c r="F37" s="20" t="s">
        <v>1330</v>
      </c>
      <c r="G37" s="20" t="s">
        <v>434</v>
      </c>
      <c r="H37" s="20" t="s">
        <v>1331</v>
      </c>
      <c r="I37" s="33">
        <v>32599</v>
      </c>
      <c r="J37" s="33">
        <v>45456</v>
      </c>
      <c r="K37" s="28">
        <f ca="1">SUMIF(Data!$C$6:$V$29146,A37,Data!$V$6:$V$29146)</f>
        <v>0</v>
      </c>
      <c r="L37" s="28">
        <f t="shared" ca="1" si="0"/>
        <v>0</v>
      </c>
      <c r="M37" s="11" t="s">
        <v>408</v>
      </c>
    </row>
    <row r="38" spans="1:13" x14ac:dyDescent="0.2">
      <c r="A38" s="19">
        <v>100013984</v>
      </c>
      <c r="B38" s="20" t="s">
        <v>44</v>
      </c>
      <c r="C38" s="20" t="s">
        <v>39</v>
      </c>
      <c r="D38" s="20" t="s">
        <v>35</v>
      </c>
      <c r="E38" s="20" t="s">
        <v>45</v>
      </c>
      <c r="F38" s="20" t="s">
        <v>1319</v>
      </c>
      <c r="G38" s="20" t="s">
        <v>434</v>
      </c>
      <c r="H38" s="20" t="s">
        <v>435</v>
      </c>
      <c r="I38" s="33">
        <v>24353</v>
      </c>
      <c r="J38" s="33">
        <v>42270</v>
      </c>
      <c r="K38" s="28">
        <f ca="1">SUMIF(Data!$C$6:$V$29146,A38,Data!$V$6:$V$29146)</f>
        <v>0</v>
      </c>
      <c r="L38" s="28">
        <f t="shared" ca="1" si="0"/>
        <v>0</v>
      </c>
      <c r="M38" s="11" t="s">
        <v>408</v>
      </c>
    </row>
    <row r="39" spans="1:13" x14ac:dyDescent="0.2">
      <c r="A39" s="19">
        <v>100084236</v>
      </c>
      <c r="B39" s="20" t="s">
        <v>1259</v>
      </c>
      <c r="C39" s="20" t="s">
        <v>39</v>
      </c>
      <c r="D39" s="20" t="s">
        <v>47</v>
      </c>
      <c r="E39" s="20" t="s">
        <v>1260</v>
      </c>
      <c r="F39" s="20" t="s">
        <v>1332</v>
      </c>
      <c r="G39" s="20" t="s">
        <v>413</v>
      </c>
      <c r="H39" s="20" t="s">
        <v>1333</v>
      </c>
      <c r="I39" s="33">
        <v>38645</v>
      </c>
      <c r="J39" s="33">
        <v>45456</v>
      </c>
      <c r="K39" s="28">
        <f ca="1">SUMIF(Data!$C$6:$V$29146,A39,Data!$V$6:$V$29146)</f>
        <v>0</v>
      </c>
      <c r="L39" s="28">
        <f t="shared" ca="1" si="0"/>
        <v>0</v>
      </c>
      <c r="M39" s="11" t="s">
        <v>408</v>
      </c>
    </row>
    <row r="40" spans="1:13" x14ac:dyDescent="0.2">
      <c r="A40" s="20">
        <v>100037610</v>
      </c>
      <c r="B40" s="20" t="s">
        <v>1467</v>
      </c>
      <c r="C40" s="20" t="s">
        <v>39</v>
      </c>
      <c r="D40" s="20" t="s">
        <v>23</v>
      </c>
      <c r="E40" s="20" t="s">
        <v>1468</v>
      </c>
      <c r="F40" s="20" t="s">
        <v>1469</v>
      </c>
      <c r="G40" s="20" t="s">
        <v>626</v>
      </c>
      <c r="H40" s="20" t="s">
        <v>1470</v>
      </c>
      <c r="I40" s="33">
        <v>34934</v>
      </c>
      <c r="J40" s="33">
        <v>45546</v>
      </c>
      <c r="K40" s="28">
        <f ca="1">SUMIF(Data!$C$6:$V$29146,A40,Data!$V$6:$V$29146)</f>
        <v>0</v>
      </c>
      <c r="L40" s="28">
        <f t="shared" ca="1" si="0"/>
        <v>0</v>
      </c>
      <c r="M40" s="11" t="s">
        <v>408</v>
      </c>
    </row>
    <row r="41" spans="1:13" x14ac:dyDescent="0.2">
      <c r="A41" s="21">
        <v>100064799</v>
      </c>
      <c r="B41" s="20" t="s">
        <v>365</v>
      </c>
      <c r="C41" s="20" t="s">
        <v>39</v>
      </c>
      <c r="D41" s="20" t="s">
        <v>31</v>
      </c>
      <c r="E41" s="20" t="s">
        <v>366</v>
      </c>
      <c r="F41" s="20" t="s">
        <v>436</v>
      </c>
      <c r="G41" s="20" t="s">
        <v>437</v>
      </c>
      <c r="H41" s="20" t="s">
        <v>438</v>
      </c>
      <c r="I41" s="33">
        <v>26972</v>
      </c>
      <c r="J41" s="33">
        <v>44965</v>
      </c>
      <c r="K41" s="28">
        <f ca="1">SUMIF(Data!$C$6:$V$29146,A41,Data!$V$6:$V$29146)</f>
        <v>0</v>
      </c>
      <c r="L41" s="28">
        <f t="shared" ca="1" si="0"/>
        <v>0</v>
      </c>
      <c r="M41" s="11" t="s">
        <v>408</v>
      </c>
    </row>
    <row r="42" spans="1:13" x14ac:dyDescent="0.2">
      <c r="A42" s="19">
        <v>100082245</v>
      </c>
      <c r="B42" s="20" t="s">
        <v>1171</v>
      </c>
      <c r="C42" s="20" t="s">
        <v>39</v>
      </c>
      <c r="D42" s="20" t="s">
        <v>135</v>
      </c>
      <c r="E42" s="20" t="s">
        <v>1172</v>
      </c>
      <c r="F42" s="20" t="s">
        <v>1226</v>
      </c>
      <c r="G42" s="20" t="s">
        <v>713</v>
      </c>
      <c r="H42" s="20" t="s">
        <v>1227</v>
      </c>
      <c r="I42" s="33">
        <v>34635</v>
      </c>
      <c r="J42" s="33">
        <v>45414</v>
      </c>
      <c r="K42" s="28">
        <f ca="1">SUMIF(Data!$C$6:$V$29146,A42,Data!$V$6:$V$29146)</f>
        <v>0</v>
      </c>
      <c r="L42" s="28">
        <f t="shared" ca="1" si="0"/>
        <v>0</v>
      </c>
      <c r="M42" s="11" t="s">
        <v>408</v>
      </c>
    </row>
    <row r="43" spans="1:13" x14ac:dyDescent="0.2">
      <c r="A43" s="20">
        <v>100054457</v>
      </c>
      <c r="B43" s="20" t="s">
        <v>264</v>
      </c>
      <c r="C43" s="20" t="s">
        <v>39</v>
      </c>
      <c r="D43" s="20" t="s">
        <v>32</v>
      </c>
      <c r="E43" s="20" t="s">
        <v>265</v>
      </c>
      <c r="F43" s="20" t="s">
        <v>439</v>
      </c>
      <c r="G43" s="20" t="s">
        <v>440</v>
      </c>
      <c r="H43" s="20" t="s">
        <v>441</v>
      </c>
      <c r="I43" s="33">
        <v>31752</v>
      </c>
      <c r="J43" s="33">
        <v>44612</v>
      </c>
      <c r="K43" s="28">
        <f ca="1">SUMIF(Data!$C$6:$V$29146,A43,Data!$V$6:$V$29146)</f>
        <v>0</v>
      </c>
      <c r="L43" s="28">
        <f t="shared" ca="1" si="0"/>
        <v>0</v>
      </c>
      <c r="M43" s="11" t="s">
        <v>408</v>
      </c>
    </row>
    <row r="44" spans="1:13" x14ac:dyDescent="0.2">
      <c r="A44" s="20">
        <v>13429</v>
      </c>
      <c r="B44" s="20" t="s">
        <v>38</v>
      </c>
      <c r="C44" s="20" t="s">
        <v>39</v>
      </c>
      <c r="D44" s="20" t="s">
        <v>24</v>
      </c>
      <c r="E44" s="20" t="s">
        <v>40</v>
      </c>
      <c r="F44" s="20" t="s">
        <v>443</v>
      </c>
      <c r="G44" s="20" t="s">
        <v>444</v>
      </c>
      <c r="H44" s="20" t="s">
        <v>445</v>
      </c>
      <c r="I44" s="33">
        <v>33861</v>
      </c>
      <c r="J44" s="33">
        <v>41507</v>
      </c>
      <c r="K44" s="28">
        <f ca="1">SUMIF(Data!$C$6:$V$29146,A44,Data!$V$6:$V$29146)</f>
        <v>0</v>
      </c>
      <c r="L44" s="28">
        <f t="shared" ca="1" si="0"/>
        <v>0</v>
      </c>
      <c r="M44" s="11" t="s">
        <v>408</v>
      </c>
    </row>
    <row r="45" spans="1:13" x14ac:dyDescent="0.2">
      <c r="A45" s="20">
        <v>100029842</v>
      </c>
      <c r="B45" s="20" t="s">
        <v>62</v>
      </c>
      <c r="C45" s="20" t="s">
        <v>39</v>
      </c>
      <c r="D45" s="20" t="s">
        <v>31</v>
      </c>
      <c r="E45" s="20" t="s">
        <v>63</v>
      </c>
      <c r="F45" s="20" t="s">
        <v>446</v>
      </c>
      <c r="G45" s="20" t="s">
        <v>425</v>
      </c>
      <c r="H45" s="20" t="s">
        <v>447</v>
      </c>
      <c r="I45" s="33">
        <v>29401</v>
      </c>
      <c r="J45" s="33">
        <v>43182</v>
      </c>
      <c r="K45" s="28">
        <f ca="1">SUMIF(Data!$C$6:$V$29146,A45,Data!$V$6:$V$29146)</f>
        <v>0</v>
      </c>
      <c r="L45" s="28">
        <f t="shared" ca="1" si="0"/>
        <v>0</v>
      </c>
      <c r="M45" s="11" t="s">
        <v>408</v>
      </c>
    </row>
    <row r="46" spans="1:13" x14ac:dyDescent="0.2">
      <c r="A46" s="19" t="s">
        <v>1934</v>
      </c>
      <c r="B46" s="20" t="s">
        <v>1935</v>
      </c>
      <c r="C46" s="20" t="s">
        <v>39</v>
      </c>
      <c r="D46" s="20" t="s">
        <v>30</v>
      </c>
      <c r="E46" s="20" t="s">
        <v>1936</v>
      </c>
      <c r="F46" s="20" t="s">
        <v>1937</v>
      </c>
      <c r="G46" s="20" t="s">
        <v>514</v>
      </c>
      <c r="H46" s="20" t="s">
        <v>1938</v>
      </c>
      <c r="I46" s="33">
        <v>35477</v>
      </c>
      <c r="J46" s="33">
        <v>45785</v>
      </c>
      <c r="K46" s="28">
        <f ca="1">SUMIF(Data!$C$6:$V$29146,A46,Data!$V$6:$V$29146)</f>
        <v>0</v>
      </c>
      <c r="L46" s="28">
        <f t="shared" ca="1" si="0"/>
        <v>0</v>
      </c>
      <c r="M46" s="11" t="s">
        <v>408</v>
      </c>
    </row>
    <row r="47" spans="1:13" x14ac:dyDescent="0.2">
      <c r="A47" s="19">
        <v>100090863</v>
      </c>
      <c r="B47" s="20" t="s">
        <v>1846</v>
      </c>
      <c r="C47" s="20" t="s">
        <v>39</v>
      </c>
      <c r="D47" s="20" t="s">
        <v>26</v>
      </c>
      <c r="E47" s="20" t="s">
        <v>1863</v>
      </c>
      <c r="F47" s="20" t="s">
        <v>1881</v>
      </c>
      <c r="G47" s="20" t="s">
        <v>1882</v>
      </c>
      <c r="H47" s="20" t="s">
        <v>1899</v>
      </c>
      <c r="I47" s="33">
        <v>23275</v>
      </c>
      <c r="J47" s="33">
        <v>45736</v>
      </c>
      <c r="K47" s="28">
        <f ca="1">SUMIF(Data!$C$6:$V$29146,A47,Data!$V$6:$V$29146)</f>
        <v>0</v>
      </c>
      <c r="L47" s="28">
        <f t="shared" ca="1" si="0"/>
        <v>0</v>
      </c>
      <c r="M47" s="11" t="s">
        <v>408</v>
      </c>
    </row>
    <row r="48" spans="1:13" x14ac:dyDescent="0.2">
      <c r="A48" s="19">
        <v>100059597</v>
      </c>
      <c r="B48" s="20" t="s">
        <v>300</v>
      </c>
      <c r="C48" s="20" t="s">
        <v>39</v>
      </c>
      <c r="D48" s="20" t="s">
        <v>47</v>
      </c>
      <c r="E48" s="20" t="s">
        <v>301</v>
      </c>
      <c r="F48" s="20" t="s">
        <v>449</v>
      </c>
      <c r="G48" s="20" t="s">
        <v>450</v>
      </c>
      <c r="H48" s="20" t="s">
        <v>451</v>
      </c>
      <c r="I48" s="33">
        <v>27477</v>
      </c>
      <c r="J48" s="33">
        <v>44735</v>
      </c>
      <c r="K48" s="28">
        <f ca="1">SUMIF(Data!$C$6:$V$29146,A48,Data!$V$6:$V$29146)</f>
        <v>0</v>
      </c>
      <c r="L48" s="28">
        <f t="shared" ca="1" si="0"/>
        <v>0</v>
      </c>
      <c r="M48" s="11" t="s">
        <v>408</v>
      </c>
    </row>
    <row r="49" spans="1:13" x14ac:dyDescent="0.2">
      <c r="A49" s="19">
        <v>100064557</v>
      </c>
      <c r="B49" s="20" t="s">
        <v>343</v>
      </c>
      <c r="C49" s="20" t="s">
        <v>39</v>
      </c>
      <c r="D49" s="20" t="s">
        <v>29</v>
      </c>
      <c r="E49" s="20" t="s">
        <v>344</v>
      </c>
      <c r="F49" s="20" t="s">
        <v>452</v>
      </c>
      <c r="G49" s="20" t="s">
        <v>453</v>
      </c>
      <c r="H49" s="20" t="s">
        <v>454</v>
      </c>
      <c r="I49" s="33">
        <v>36581</v>
      </c>
      <c r="J49" s="33">
        <v>44958</v>
      </c>
      <c r="K49" s="28">
        <f ca="1">SUMIF(Data!$C$6:$V$29146,A49,Data!$V$6:$V$29146)</f>
        <v>0</v>
      </c>
      <c r="L49" s="28">
        <f t="shared" ca="1" si="0"/>
        <v>0</v>
      </c>
      <c r="M49" s="11" t="s">
        <v>408</v>
      </c>
    </row>
    <row r="50" spans="1:13" x14ac:dyDescent="0.2">
      <c r="A50" s="19" t="s">
        <v>1939</v>
      </c>
      <c r="B50" s="20" t="s">
        <v>1940</v>
      </c>
      <c r="C50" s="20" t="s">
        <v>39</v>
      </c>
      <c r="D50" s="20" t="s">
        <v>26</v>
      </c>
      <c r="E50" s="20" t="s">
        <v>1941</v>
      </c>
      <c r="F50" s="20" t="s">
        <v>1942</v>
      </c>
      <c r="G50" s="20" t="s">
        <v>759</v>
      </c>
      <c r="H50" s="20" t="s">
        <v>1943</v>
      </c>
      <c r="I50" s="33">
        <v>19112</v>
      </c>
      <c r="J50" s="33">
        <v>45785</v>
      </c>
      <c r="K50" s="28">
        <f ca="1">SUMIF(Data!$C$6:$V$29146,A50,Data!$V$6:$V$29146)</f>
        <v>0</v>
      </c>
      <c r="L50" s="28">
        <f t="shared" ca="1" si="0"/>
        <v>0</v>
      </c>
      <c r="M50" s="11" t="s">
        <v>408</v>
      </c>
    </row>
    <row r="51" spans="1:13" x14ac:dyDescent="0.2">
      <c r="A51" s="19">
        <v>100044773</v>
      </c>
      <c r="B51" s="20" t="s">
        <v>195</v>
      </c>
      <c r="C51" s="20" t="s">
        <v>39</v>
      </c>
      <c r="D51" s="20" t="s">
        <v>34</v>
      </c>
      <c r="E51" s="20" t="s">
        <v>196</v>
      </c>
      <c r="F51" s="20" t="s">
        <v>455</v>
      </c>
      <c r="G51" s="20" t="s">
        <v>456</v>
      </c>
      <c r="H51" s="20" t="s">
        <v>457</v>
      </c>
      <c r="I51" s="33">
        <v>29257</v>
      </c>
      <c r="J51" s="33">
        <v>43886</v>
      </c>
      <c r="K51" s="28">
        <f ca="1">SUMIF(Data!$C$6:$V$29146,A51,Data!$V$6:$V$29146)</f>
        <v>7.88</v>
      </c>
      <c r="L51" s="28">
        <f t="shared" ca="1" si="0"/>
        <v>1.97</v>
      </c>
      <c r="M51" s="11" t="s">
        <v>408</v>
      </c>
    </row>
    <row r="52" spans="1:13" x14ac:dyDescent="0.2">
      <c r="A52" s="20">
        <v>100087224</v>
      </c>
      <c r="B52" s="20" t="s">
        <v>1471</v>
      </c>
      <c r="C52" s="20" t="s">
        <v>39</v>
      </c>
      <c r="D52" s="20" t="s">
        <v>23</v>
      </c>
      <c r="E52" s="20" t="s">
        <v>1472</v>
      </c>
      <c r="F52" s="20" t="s">
        <v>1473</v>
      </c>
      <c r="G52" s="20" t="s">
        <v>423</v>
      </c>
      <c r="H52" s="20" t="s">
        <v>1474</v>
      </c>
      <c r="I52" s="33">
        <v>37976</v>
      </c>
      <c r="J52" s="33">
        <v>45546</v>
      </c>
      <c r="K52" s="28">
        <f ca="1">SUMIF(Data!$C$6:$V$29146,A52,Data!$V$6:$V$29146)</f>
        <v>0</v>
      </c>
      <c r="L52" s="28">
        <f t="shared" ca="1" si="0"/>
        <v>0</v>
      </c>
      <c r="M52" s="11" t="s">
        <v>408</v>
      </c>
    </row>
    <row r="53" spans="1:13" x14ac:dyDescent="0.2">
      <c r="A53" s="19" t="s">
        <v>1592</v>
      </c>
      <c r="B53" s="20" t="s">
        <v>1644</v>
      </c>
      <c r="C53" s="20" t="s">
        <v>39</v>
      </c>
      <c r="D53" s="20" t="s">
        <v>26</v>
      </c>
      <c r="E53" s="20" t="s">
        <v>1696</v>
      </c>
      <c r="F53" s="20" t="s">
        <v>1748</v>
      </c>
      <c r="G53" s="20" t="s">
        <v>835</v>
      </c>
      <c r="H53" s="20" t="s">
        <v>1804</v>
      </c>
      <c r="I53" s="33">
        <v>23434</v>
      </c>
      <c r="J53" s="33">
        <v>45688</v>
      </c>
      <c r="K53" s="28">
        <f ca="1">SUMIF(Data!$C$6:$V$29146,A53,Data!$V$6:$V$29146)</f>
        <v>0</v>
      </c>
      <c r="L53" s="28">
        <f t="shared" ca="1" si="0"/>
        <v>0</v>
      </c>
      <c r="M53" s="11" t="s">
        <v>408</v>
      </c>
    </row>
    <row r="54" spans="1:13" x14ac:dyDescent="0.2">
      <c r="A54" s="20">
        <v>100036214</v>
      </c>
      <c r="B54" s="20" t="s">
        <v>136</v>
      </c>
      <c r="C54" s="20" t="s">
        <v>39</v>
      </c>
      <c r="D54" s="20" t="s">
        <v>27</v>
      </c>
      <c r="E54" s="20" t="s">
        <v>137</v>
      </c>
      <c r="F54" s="20" t="s">
        <v>458</v>
      </c>
      <c r="G54" s="20" t="s">
        <v>437</v>
      </c>
      <c r="H54" s="20" t="s">
        <v>459</v>
      </c>
      <c r="I54" s="33">
        <v>21967</v>
      </c>
      <c r="J54" s="33">
        <v>43503</v>
      </c>
      <c r="K54" s="28">
        <f ca="1">SUMIF(Data!$C$6:$V$29146,A54,Data!$V$6:$V$29146)</f>
        <v>0</v>
      </c>
      <c r="L54" s="28">
        <f t="shared" ca="1" si="0"/>
        <v>0</v>
      </c>
      <c r="M54" s="11" t="s">
        <v>408</v>
      </c>
    </row>
    <row r="55" spans="1:13" x14ac:dyDescent="0.2">
      <c r="A55" s="19">
        <v>100071821</v>
      </c>
      <c r="B55" s="20" t="s">
        <v>1116</v>
      </c>
      <c r="C55" s="20" t="s">
        <v>39</v>
      </c>
      <c r="D55" s="20" t="s">
        <v>30</v>
      </c>
      <c r="E55" s="20" t="s">
        <v>1117</v>
      </c>
      <c r="F55" s="20" t="s">
        <v>1118</v>
      </c>
      <c r="G55" s="20" t="s">
        <v>412</v>
      </c>
      <c r="H55" s="20" t="s">
        <v>1119</v>
      </c>
      <c r="I55" s="33">
        <v>37781</v>
      </c>
      <c r="J55" s="33">
        <v>45112</v>
      </c>
      <c r="K55" s="28">
        <f ca="1">SUMIF(Data!$C$6:$V$29146,A55,Data!$V$6:$V$29146)</f>
        <v>0</v>
      </c>
      <c r="L55" s="28">
        <f t="shared" ca="1" si="0"/>
        <v>0</v>
      </c>
      <c r="M55" s="11" t="s">
        <v>408</v>
      </c>
    </row>
    <row r="56" spans="1:13" x14ac:dyDescent="0.2">
      <c r="A56" s="19">
        <v>100084255</v>
      </c>
      <c r="B56" s="20" t="s">
        <v>1263</v>
      </c>
      <c r="C56" s="20" t="s">
        <v>39</v>
      </c>
      <c r="D56" s="20" t="s">
        <v>27</v>
      </c>
      <c r="E56" s="20" t="s">
        <v>1264</v>
      </c>
      <c r="F56" s="20" t="s">
        <v>1335</v>
      </c>
      <c r="G56" s="20" t="s">
        <v>442</v>
      </c>
      <c r="H56" s="20" t="s">
        <v>1336</v>
      </c>
      <c r="I56" s="33">
        <v>32381</v>
      </c>
      <c r="J56" s="33">
        <v>45456</v>
      </c>
      <c r="K56" s="28">
        <f ca="1">SUMIF(Data!$C$6:$V$29146,A56,Data!$V$6:$V$29146)</f>
        <v>0</v>
      </c>
      <c r="L56" s="28">
        <f t="shared" ca="1" si="0"/>
        <v>0</v>
      </c>
      <c r="M56" s="11" t="s">
        <v>408</v>
      </c>
    </row>
    <row r="57" spans="1:13" x14ac:dyDescent="0.2">
      <c r="A57" s="19">
        <v>100032210</v>
      </c>
      <c r="B57" s="20" t="s">
        <v>892</v>
      </c>
      <c r="C57" s="20" t="s">
        <v>39</v>
      </c>
      <c r="D57" s="20" t="s">
        <v>36</v>
      </c>
      <c r="E57" s="20" t="s">
        <v>893</v>
      </c>
      <c r="F57" s="20" t="s">
        <v>894</v>
      </c>
      <c r="G57" s="20" t="s">
        <v>425</v>
      </c>
      <c r="H57" s="20" t="s">
        <v>895</v>
      </c>
      <c r="I57" s="33">
        <v>33857</v>
      </c>
      <c r="J57" s="33">
        <v>43237</v>
      </c>
      <c r="K57" s="28">
        <f ca="1">SUMIF(Data!$C$6:$V$29146,A57,Data!$V$6:$V$29146)</f>
        <v>0</v>
      </c>
      <c r="L57" s="28">
        <f t="shared" ca="1" si="0"/>
        <v>0</v>
      </c>
      <c r="M57" s="11" t="s">
        <v>408</v>
      </c>
    </row>
    <row r="58" spans="1:13" x14ac:dyDescent="0.2">
      <c r="A58" s="19" t="s">
        <v>1593</v>
      </c>
      <c r="B58" s="20" t="s">
        <v>1645</v>
      </c>
      <c r="C58" s="20" t="s">
        <v>39</v>
      </c>
      <c r="D58" s="20" t="s">
        <v>26</v>
      </c>
      <c r="E58" s="20" t="s">
        <v>1697</v>
      </c>
      <c r="F58" s="20" t="s">
        <v>1749</v>
      </c>
      <c r="G58" s="20" t="s">
        <v>425</v>
      </c>
      <c r="H58" s="20" t="s">
        <v>1805</v>
      </c>
      <c r="I58" s="33">
        <v>37521</v>
      </c>
      <c r="J58" s="33">
        <v>45688</v>
      </c>
      <c r="K58" s="28">
        <f ca="1">SUMIF(Data!$C$6:$V$29146,A58,Data!$V$6:$V$29146)</f>
        <v>7.97</v>
      </c>
      <c r="L58" s="28">
        <f t="shared" ca="1" si="0"/>
        <v>1.9924999999999999</v>
      </c>
      <c r="M58" s="11" t="s">
        <v>408</v>
      </c>
    </row>
    <row r="59" spans="1:13" x14ac:dyDescent="0.2">
      <c r="A59" s="20">
        <v>100087245</v>
      </c>
      <c r="B59" s="20" t="s">
        <v>1385</v>
      </c>
      <c r="C59" s="20" t="s">
        <v>39</v>
      </c>
      <c r="D59" s="20" t="s">
        <v>47</v>
      </c>
      <c r="E59" s="20" t="s">
        <v>1386</v>
      </c>
      <c r="F59" s="20" t="s">
        <v>1387</v>
      </c>
      <c r="G59" s="20" t="s">
        <v>413</v>
      </c>
      <c r="H59" s="20" t="s">
        <v>1388</v>
      </c>
      <c r="I59" s="33">
        <v>36885</v>
      </c>
      <c r="J59" s="33">
        <v>45546</v>
      </c>
      <c r="K59" s="28">
        <f ca="1">SUMIF(Data!$C$6:$V$29146,A59,Data!$V$6:$V$29146)</f>
        <v>0</v>
      </c>
      <c r="L59" s="28">
        <f t="shared" ca="1" si="0"/>
        <v>0</v>
      </c>
      <c r="M59" s="11" t="s">
        <v>408</v>
      </c>
    </row>
    <row r="60" spans="1:13" x14ac:dyDescent="0.2">
      <c r="A60" s="19" t="s">
        <v>1944</v>
      </c>
      <c r="B60" s="20" t="s">
        <v>1945</v>
      </c>
      <c r="C60" s="20" t="s">
        <v>39</v>
      </c>
      <c r="D60" s="20" t="s">
        <v>47</v>
      </c>
      <c r="E60" s="20" t="s">
        <v>1946</v>
      </c>
      <c r="F60" s="20" t="s">
        <v>1947</v>
      </c>
      <c r="G60" s="20" t="s">
        <v>413</v>
      </c>
      <c r="H60" s="20"/>
      <c r="I60" s="33">
        <v>34561</v>
      </c>
      <c r="J60" s="33">
        <v>45785</v>
      </c>
      <c r="K60" s="28">
        <f ca="1">SUMIF(Data!$C$6:$V$29146,A60,Data!$V$6:$V$29146)</f>
        <v>0</v>
      </c>
      <c r="L60" s="28">
        <f t="shared" ca="1" si="0"/>
        <v>0</v>
      </c>
      <c r="M60" s="11" t="s">
        <v>408</v>
      </c>
    </row>
    <row r="61" spans="1:13" x14ac:dyDescent="0.2">
      <c r="A61" s="19" t="s">
        <v>1948</v>
      </c>
      <c r="B61" s="20" t="s">
        <v>1949</v>
      </c>
      <c r="C61" s="20" t="s">
        <v>39</v>
      </c>
      <c r="D61" s="20" t="s">
        <v>30</v>
      </c>
      <c r="E61" s="20" t="s">
        <v>1950</v>
      </c>
      <c r="F61" s="20" t="s">
        <v>1951</v>
      </c>
      <c r="G61" s="20" t="s">
        <v>413</v>
      </c>
      <c r="H61" s="20" t="s">
        <v>1952</v>
      </c>
      <c r="I61" s="33">
        <v>37423</v>
      </c>
      <c r="J61" s="33">
        <v>45785</v>
      </c>
      <c r="K61" s="28">
        <f ca="1">SUMIF(Data!$C$6:$V$29146,A61,Data!$V$6:$V$29146)</f>
        <v>8.1</v>
      </c>
      <c r="L61" s="28">
        <f t="shared" ca="1" si="0"/>
        <v>2.0249999999999999</v>
      </c>
      <c r="M61" s="11" t="s">
        <v>408</v>
      </c>
    </row>
    <row r="62" spans="1:13" x14ac:dyDescent="0.2">
      <c r="A62" s="19">
        <v>100032347</v>
      </c>
      <c r="B62" s="20" t="s">
        <v>112</v>
      </c>
      <c r="C62" s="20" t="s">
        <v>39</v>
      </c>
      <c r="D62" s="20" t="s">
        <v>23</v>
      </c>
      <c r="E62" s="20" t="s">
        <v>113</v>
      </c>
      <c r="F62" s="20" t="s">
        <v>460</v>
      </c>
      <c r="G62" s="20" t="s">
        <v>461</v>
      </c>
      <c r="H62" s="20" t="s">
        <v>462</v>
      </c>
      <c r="I62" s="33">
        <v>35884</v>
      </c>
      <c r="J62" s="33">
        <v>43238</v>
      </c>
      <c r="K62" s="28">
        <f ca="1">SUMIF(Data!$C$6:$V$29146,A62,Data!$V$6:$V$29146)</f>
        <v>0</v>
      </c>
      <c r="L62" s="28">
        <f t="shared" ca="1" si="0"/>
        <v>0</v>
      </c>
      <c r="M62" s="11" t="s">
        <v>408</v>
      </c>
    </row>
    <row r="63" spans="1:13" x14ac:dyDescent="0.2">
      <c r="A63" s="19" t="s">
        <v>1594</v>
      </c>
      <c r="B63" s="20" t="s">
        <v>1646</v>
      </c>
      <c r="C63" s="20" t="s">
        <v>39</v>
      </c>
      <c r="D63" s="20" t="s">
        <v>26</v>
      </c>
      <c r="E63" s="20" t="s">
        <v>1698</v>
      </c>
      <c r="F63" s="20" t="s">
        <v>1750</v>
      </c>
      <c r="G63" s="20" t="s">
        <v>490</v>
      </c>
      <c r="H63" s="20" t="s">
        <v>1806</v>
      </c>
      <c r="I63" s="33">
        <v>33937</v>
      </c>
      <c r="J63" s="33">
        <v>45688</v>
      </c>
      <c r="K63" s="28">
        <f ca="1">SUMIF(Data!$C$6:$V$29146,A63,Data!$V$6:$V$29146)</f>
        <v>0</v>
      </c>
      <c r="L63" s="28">
        <f t="shared" ca="1" si="0"/>
        <v>0</v>
      </c>
      <c r="M63" s="11" t="s">
        <v>408</v>
      </c>
    </row>
    <row r="64" spans="1:13" x14ac:dyDescent="0.2">
      <c r="A64" s="19">
        <v>100032198</v>
      </c>
      <c r="B64" s="20" t="s">
        <v>102</v>
      </c>
      <c r="C64" s="20" t="s">
        <v>39</v>
      </c>
      <c r="D64" s="20" t="s">
        <v>24</v>
      </c>
      <c r="E64" s="20" t="s">
        <v>103</v>
      </c>
      <c r="F64" s="20" t="s">
        <v>463</v>
      </c>
      <c r="G64" s="20" t="s">
        <v>464</v>
      </c>
      <c r="H64" s="20" t="s">
        <v>465</v>
      </c>
      <c r="I64" s="33">
        <v>23391</v>
      </c>
      <c r="J64" s="33">
        <v>43237</v>
      </c>
      <c r="K64" s="28">
        <f ca="1">SUMIF(Data!$C$6:$V$29146,A64,Data!$V$6:$V$29146)</f>
        <v>0</v>
      </c>
      <c r="L64" s="28">
        <f t="shared" ca="1" si="0"/>
        <v>0</v>
      </c>
      <c r="M64" s="11" t="s">
        <v>408</v>
      </c>
    </row>
    <row r="65" spans="1:13" x14ac:dyDescent="0.2">
      <c r="A65" s="19" t="s">
        <v>1953</v>
      </c>
      <c r="B65" s="20" t="s">
        <v>1954</v>
      </c>
      <c r="C65" s="20" t="s">
        <v>39</v>
      </c>
      <c r="D65" s="20" t="s">
        <v>30</v>
      </c>
      <c r="E65" s="20" t="s">
        <v>1955</v>
      </c>
      <c r="F65" s="20" t="s">
        <v>1956</v>
      </c>
      <c r="G65" s="20" t="s">
        <v>588</v>
      </c>
      <c r="H65" s="20" t="s">
        <v>1957</v>
      </c>
      <c r="I65" s="33">
        <v>38598</v>
      </c>
      <c r="J65" s="33">
        <v>45785</v>
      </c>
      <c r="K65" s="28">
        <f ca="1">SUMIF(Data!$C$6:$V$29146,A65,Data!$V$6:$V$29146)</f>
        <v>0</v>
      </c>
      <c r="L65" s="28">
        <f t="shared" ca="1" si="0"/>
        <v>0</v>
      </c>
      <c r="M65" s="11" t="s">
        <v>408</v>
      </c>
    </row>
    <row r="66" spans="1:13" x14ac:dyDescent="0.2">
      <c r="A66" s="19" t="s">
        <v>1958</v>
      </c>
      <c r="B66" s="20" t="s">
        <v>1959</v>
      </c>
      <c r="C66" s="20" t="s">
        <v>39</v>
      </c>
      <c r="D66" s="20" t="s">
        <v>26</v>
      </c>
      <c r="E66" s="20" t="s">
        <v>1960</v>
      </c>
      <c r="F66" s="20" t="s">
        <v>1961</v>
      </c>
      <c r="G66" s="20" t="s">
        <v>1962</v>
      </c>
      <c r="H66" s="20" t="s">
        <v>1963</v>
      </c>
      <c r="I66" s="33">
        <v>38575</v>
      </c>
      <c r="J66" s="33">
        <v>45785</v>
      </c>
      <c r="K66" s="28">
        <f ca="1">SUMIF(Data!$C$6:$V$29146,A66,Data!$V$6:$V$29146)</f>
        <v>0</v>
      </c>
      <c r="L66" s="28">
        <f t="shared" ca="1" si="0"/>
        <v>0</v>
      </c>
      <c r="M66" s="11" t="s">
        <v>408</v>
      </c>
    </row>
    <row r="67" spans="1:13" x14ac:dyDescent="0.2">
      <c r="A67" s="19" t="s">
        <v>1964</v>
      </c>
      <c r="B67" s="20" t="s">
        <v>1965</v>
      </c>
      <c r="C67" s="20" t="s">
        <v>39</v>
      </c>
      <c r="D67" s="20" t="s">
        <v>26</v>
      </c>
      <c r="E67" s="20" t="s">
        <v>1966</v>
      </c>
      <c r="F67" s="20" t="s">
        <v>1967</v>
      </c>
      <c r="G67" s="20" t="s">
        <v>1968</v>
      </c>
      <c r="H67" s="20" t="s">
        <v>1969</v>
      </c>
      <c r="I67" s="33">
        <v>36031</v>
      </c>
      <c r="J67" s="33">
        <v>45785</v>
      </c>
      <c r="K67" s="28">
        <f ca="1">SUMIF(Data!$C$6:$V$29146,A67,Data!$V$6:$V$29146)</f>
        <v>0</v>
      </c>
      <c r="L67" s="28">
        <f t="shared" ca="1" si="0"/>
        <v>0</v>
      </c>
      <c r="M67" s="11" t="s">
        <v>408</v>
      </c>
    </row>
    <row r="68" spans="1:13" x14ac:dyDescent="0.2">
      <c r="A68" s="19">
        <v>100084233</v>
      </c>
      <c r="B68" s="20" t="s">
        <v>1265</v>
      </c>
      <c r="C68" s="20" t="s">
        <v>39</v>
      </c>
      <c r="D68" s="20" t="s">
        <v>25</v>
      </c>
      <c r="E68" s="20" t="s">
        <v>1266</v>
      </c>
      <c r="F68" s="20" t="s">
        <v>1337</v>
      </c>
      <c r="G68" s="20" t="s">
        <v>425</v>
      </c>
      <c r="H68" s="20" t="s">
        <v>1338</v>
      </c>
      <c r="I68" s="33">
        <v>38816</v>
      </c>
      <c r="J68" s="33">
        <v>45456</v>
      </c>
      <c r="K68" s="28">
        <f ca="1">SUMIF(Data!$C$6:$V$29146,A68,Data!$V$6:$V$29146)</f>
        <v>0</v>
      </c>
      <c r="L68" s="28">
        <f t="shared" ca="1" si="0"/>
        <v>0</v>
      </c>
      <c r="M68" s="11" t="s">
        <v>408</v>
      </c>
    </row>
    <row r="69" spans="1:13" x14ac:dyDescent="0.2">
      <c r="A69" s="22">
        <v>100041448</v>
      </c>
      <c r="B69" s="20" t="s">
        <v>184</v>
      </c>
      <c r="C69" s="20" t="s">
        <v>39</v>
      </c>
      <c r="D69" s="20" t="s">
        <v>60</v>
      </c>
      <c r="E69" s="20" t="s">
        <v>185</v>
      </c>
      <c r="F69" s="20" t="s">
        <v>467</v>
      </c>
      <c r="G69" s="20" t="s">
        <v>468</v>
      </c>
      <c r="H69" s="20" t="s">
        <v>469</v>
      </c>
      <c r="I69" s="33">
        <v>24177</v>
      </c>
      <c r="J69" s="33">
        <v>43677</v>
      </c>
      <c r="K69" s="28">
        <f ca="1">SUMIF(Data!$C$6:$V$29146,A69,Data!$V$6:$V$29146)</f>
        <v>14.280000000000001</v>
      </c>
      <c r="L69" s="28">
        <f t="shared" ref="L69:L132" ca="1" si="1">IFERROR(K69*0.25,"")</f>
        <v>3.5700000000000003</v>
      </c>
      <c r="M69" s="11" t="s">
        <v>408</v>
      </c>
    </row>
    <row r="70" spans="1:13" x14ac:dyDescent="0.2">
      <c r="A70" s="19">
        <v>100090864</v>
      </c>
      <c r="B70" s="20" t="s">
        <v>1848</v>
      </c>
      <c r="C70" s="20" t="s">
        <v>39</v>
      </c>
      <c r="D70" s="20" t="s">
        <v>29</v>
      </c>
      <c r="E70" s="20" t="s">
        <v>1865</v>
      </c>
      <c r="F70" s="20" t="s">
        <v>1883</v>
      </c>
      <c r="G70" s="20" t="s">
        <v>434</v>
      </c>
      <c r="H70" s="20" t="s">
        <v>1900</v>
      </c>
      <c r="I70" s="33">
        <v>31499</v>
      </c>
      <c r="J70" s="33">
        <v>45736</v>
      </c>
      <c r="K70" s="28">
        <f ca="1">SUMIF(Data!$C$6:$V$29146,A70,Data!$V$6:$V$29146)</f>
        <v>0</v>
      </c>
      <c r="L70" s="28">
        <f t="shared" ca="1" si="1"/>
        <v>0</v>
      </c>
      <c r="M70" s="11" t="s">
        <v>408</v>
      </c>
    </row>
    <row r="71" spans="1:13" x14ac:dyDescent="0.2">
      <c r="A71" s="19">
        <v>100077552</v>
      </c>
      <c r="B71" s="20" t="s">
        <v>961</v>
      </c>
      <c r="C71" s="20" t="s">
        <v>39</v>
      </c>
      <c r="D71" s="20" t="s">
        <v>29</v>
      </c>
      <c r="E71" s="20" t="s">
        <v>962</v>
      </c>
      <c r="F71" s="20" t="s">
        <v>1035</v>
      </c>
      <c r="G71" s="20" t="s">
        <v>473</v>
      </c>
      <c r="H71" s="20" t="s">
        <v>1036</v>
      </c>
      <c r="I71" s="33">
        <v>34407</v>
      </c>
      <c r="J71" s="33">
        <v>45322</v>
      </c>
      <c r="K71" s="28">
        <f ca="1">SUMIF(Data!$C$6:$V$29146,A71,Data!$V$6:$V$29146)</f>
        <v>0</v>
      </c>
      <c r="L71" s="28">
        <f t="shared" ca="1" si="1"/>
        <v>0</v>
      </c>
      <c r="M71" s="11" t="s">
        <v>408</v>
      </c>
    </row>
    <row r="72" spans="1:13" x14ac:dyDescent="0.2">
      <c r="A72" s="19">
        <v>100049315</v>
      </c>
      <c r="B72" s="20" t="s">
        <v>220</v>
      </c>
      <c r="C72" s="20" t="s">
        <v>39</v>
      </c>
      <c r="D72" s="20" t="s">
        <v>47</v>
      </c>
      <c r="E72" s="20" t="s">
        <v>221</v>
      </c>
      <c r="F72" s="20" t="s">
        <v>470</v>
      </c>
      <c r="G72" s="20" t="s">
        <v>423</v>
      </c>
      <c r="H72" s="20" t="s">
        <v>471</v>
      </c>
      <c r="I72" s="33">
        <v>31484</v>
      </c>
      <c r="J72" s="33">
        <v>44392</v>
      </c>
      <c r="K72" s="28">
        <f ca="1">SUMIF(Data!$C$6:$V$29146,A72,Data!$V$6:$V$29146)</f>
        <v>0</v>
      </c>
      <c r="L72" s="28">
        <f t="shared" ca="1" si="1"/>
        <v>0</v>
      </c>
      <c r="M72" s="11" t="s">
        <v>408</v>
      </c>
    </row>
    <row r="73" spans="1:13" x14ac:dyDescent="0.2">
      <c r="A73" s="19">
        <v>100035330</v>
      </c>
      <c r="B73" s="20" t="s">
        <v>124</v>
      </c>
      <c r="C73" s="20" t="s">
        <v>39</v>
      </c>
      <c r="D73" s="20" t="s">
        <v>32</v>
      </c>
      <c r="E73" s="20" t="s">
        <v>125</v>
      </c>
      <c r="F73" s="20" t="s">
        <v>472</v>
      </c>
      <c r="G73" s="20" t="s">
        <v>473</v>
      </c>
      <c r="H73" s="20" t="s">
        <v>474</v>
      </c>
      <c r="I73" s="33">
        <v>29162</v>
      </c>
      <c r="J73" s="33">
        <v>43355</v>
      </c>
      <c r="K73" s="28">
        <f ca="1">SUMIF(Data!$C$6:$V$29146,A73,Data!$V$6:$V$29146)</f>
        <v>0</v>
      </c>
      <c r="L73" s="28">
        <f t="shared" ca="1" si="1"/>
        <v>0</v>
      </c>
      <c r="M73" s="11" t="s">
        <v>408</v>
      </c>
    </row>
    <row r="74" spans="1:13" x14ac:dyDescent="0.2">
      <c r="A74" s="19" t="s">
        <v>1970</v>
      </c>
      <c r="B74" s="20" t="s">
        <v>1971</v>
      </c>
      <c r="C74" s="20" t="s">
        <v>39</v>
      </c>
      <c r="D74" s="20" t="s">
        <v>30</v>
      </c>
      <c r="E74" s="20" t="s">
        <v>1972</v>
      </c>
      <c r="F74" s="20" t="s">
        <v>1973</v>
      </c>
      <c r="G74" s="20" t="s">
        <v>570</v>
      </c>
      <c r="H74" s="20" t="s">
        <v>1974</v>
      </c>
      <c r="I74" s="33">
        <v>27901</v>
      </c>
      <c r="J74" s="33">
        <v>45785</v>
      </c>
      <c r="K74" s="28">
        <f ca="1">SUMIF(Data!$C$6:$V$29146,A74,Data!$V$6:$V$29146)</f>
        <v>0</v>
      </c>
      <c r="L74" s="28">
        <f t="shared" ca="1" si="1"/>
        <v>0</v>
      </c>
      <c r="M74" s="11" t="s">
        <v>408</v>
      </c>
    </row>
    <row r="75" spans="1:13" x14ac:dyDescent="0.2">
      <c r="A75" s="19">
        <v>100032197</v>
      </c>
      <c r="B75" s="20" t="s">
        <v>104</v>
      </c>
      <c r="C75" s="20" t="s">
        <v>39</v>
      </c>
      <c r="D75" s="20" t="s">
        <v>24</v>
      </c>
      <c r="E75" s="20" t="s">
        <v>105</v>
      </c>
      <c r="F75" s="20" t="s">
        <v>1070</v>
      </c>
      <c r="G75" s="20" t="s">
        <v>1071</v>
      </c>
      <c r="H75" s="20" t="s">
        <v>475</v>
      </c>
      <c r="I75" s="33">
        <v>32504</v>
      </c>
      <c r="J75" s="33">
        <v>43237</v>
      </c>
      <c r="K75" s="28">
        <f ca="1">SUMIF(Data!$C$6:$V$29146,A75,Data!$V$6:$V$29146)</f>
        <v>0</v>
      </c>
      <c r="L75" s="28">
        <f t="shared" ca="1" si="1"/>
        <v>0</v>
      </c>
      <c r="M75" s="11" t="s">
        <v>408</v>
      </c>
    </row>
    <row r="76" spans="1:13" x14ac:dyDescent="0.2">
      <c r="A76" s="25">
        <v>100067135</v>
      </c>
      <c r="B76" s="20" t="s">
        <v>1101</v>
      </c>
      <c r="C76" s="20" t="s">
        <v>39</v>
      </c>
      <c r="D76" s="20" t="s">
        <v>32</v>
      </c>
      <c r="E76" s="20" t="s">
        <v>381</v>
      </c>
      <c r="F76" s="20" t="s">
        <v>476</v>
      </c>
      <c r="G76" s="20" t="s">
        <v>477</v>
      </c>
      <c r="H76" s="20" t="s">
        <v>478</v>
      </c>
      <c r="I76" s="33">
        <v>23655</v>
      </c>
      <c r="J76" s="33">
        <v>45028</v>
      </c>
      <c r="K76" s="28">
        <f ca="1">SUMIF(Data!$C$6:$V$29146,A76,Data!$V$6:$V$29146)</f>
        <v>0</v>
      </c>
      <c r="L76" s="28">
        <f t="shared" ca="1" si="1"/>
        <v>0</v>
      </c>
      <c r="M76" s="11" t="s">
        <v>408</v>
      </c>
    </row>
    <row r="77" spans="1:13" x14ac:dyDescent="0.2">
      <c r="A77" s="20">
        <v>100087256</v>
      </c>
      <c r="B77" s="20" t="s">
        <v>1452</v>
      </c>
      <c r="C77" s="20" t="s">
        <v>39</v>
      </c>
      <c r="D77" s="20" t="s">
        <v>27</v>
      </c>
      <c r="E77" s="20" t="s">
        <v>1453</v>
      </c>
      <c r="F77" s="20" t="s">
        <v>1454</v>
      </c>
      <c r="G77" s="20" t="s">
        <v>425</v>
      </c>
      <c r="H77" s="20" t="s">
        <v>1455</v>
      </c>
      <c r="I77" s="33">
        <v>38859</v>
      </c>
      <c r="J77" s="33">
        <v>45546</v>
      </c>
      <c r="K77" s="28">
        <f ca="1">SUMIF(Data!$C$6:$V$29146,A77,Data!$V$6:$V$29146)</f>
        <v>0</v>
      </c>
      <c r="L77" s="28">
        <f t="shared" ca="1" si="1"/>
        <v>0</v>
      </c>
      <c r="M77" s="11" t="s">
        <v>408</v>
      </c>
    </row>
    <row r="78" spans="1:13" x14ac:dyDescent="0.2">
      <c r="A78" s="20">
        <v>100032283</v>
      </c>
      <c r="B78" s="20" t="s">
        <v>114</v>
      </c>
      <c r="C78" s="20" t="s">
        <v>39</v>
      </c>
      <c r="D78" s="20" t="s">
        <v>23</v>
      </c>
      <c r="E78" s="20" t="s">
        <v>115</v>
      </c>
      <c r="F78" s="20" t="s">
        <v>481</v>
      </c>
      <c r="G78" s="20" t="s">
        <v>482</v>
      </c>
      <c r="H78" s="20" t="s">
        <v>483</v>
      </c>
      <c r="I78" s="33">
        <v>24800</v>
      </c>
      <c r="J78" s="33">
        <v>43238</v>
      </c>
      <c r="K78" s="28">
        <f ca="1">SUMIF(Data!$C$6:$V$29146,A78,Data!$V$6:$V$29146)</f>
        <v>6.67</v>
      </c>
      <c r="L78" s="28">
        <f t="shared" ca="1" si="1"/>
        <v>1.6675</v>
      </c>
      <c r="M78" s="11" t="s">
        <v>408</v>
      </c>
    </row>
    <row r="79" spans="1:13" x14ac:dyDescent="0.2">
      <c r="A79" s="20">
        <v>100087271</v>
      </c>
      <c r="B79" s="20" t="s">
        <v>1479</v>
      </c>
      <c r="C79" s="20" t="s">
        <v>39</v>
      </c>
      <c r="D79" s="20" t="s">
        <v>31</v>
      </c>
      <c r="E79" s="20" t="s">
        <v>1480</v>
      </c>
      <c r="F79" s="20" t="s">
        <v>1481</v>
      </c>
      <c r="G79" s="20" t="s">
        <v>468</v>
      </c>
      <c r="H79" s="20" t="s">
        <v>1482</v>
      </c>
      <c r="I79" s="33">
        <v>30138</v>
      </c>
      <c r="J79" s="33">
        <v>45546</v>
      </c>
      <c r="K79" s="28">
        <f ca="1">SUMIF(Data!$C$6:$V$29146,A79,Data!$V$6:$V$29146)</f>
        <v>29.53</v>
      </c>
      <c r="L79" s="28">
        <f t="shared" ca="1" si="1"/>
        <v>7.3825000000000003</v>
      </c>
      <c r="M79" s="11" t="s">
        <v>408</v>
      </c>
    </row>
    <row r="80" spans="1:13" x14ac:dyDescent="0.2">
      <c r="A80" s="20">
        <v>100059824</v>
      </c>
      <c r="B80" s="20" t="s">
        <v>314</v>
      </c>
      <c r="C80" s="20" t="s">
        <v>39</v>
      </c>
      <c r="D80" s="20" t="s">
        <v>32</v>
      </c>
      <c r="E80" s="20" t="s">
        <v>315</v>
      </c>
      <c r="F80" s="20" t="s">
        <v>486</v>
      </c>
      <c r="G80" s="20" t="s">
        <v>487</v>
      </c>
      <c r="H80" s="20" t="s">
        <v>488</v>
      </c>
      <c r="I80" s="33">
        <v>28281</v>
      </c>
      <c r="J80" s="33">
        <v>44742</v>
      </c>
      <c r="K80" s="28">
        <f ca="1">SUMIF(Data!$C$6:$V$29146,A80,Data!$V$6:$V$29146)</f>
        <v>0</v>
      </c>
      <c r="L80" s="28">
        <f t="shared" ca="1" si="1"/>
        <v>0</v>
      </c>
      <c r="M80" s="11" t="s">
        <v>408</v>
      </c>
    </row>
    <row r="81" spans="1:13" x14ac:dyDescent="0.2">
      <c r="A81" s="19">
        <v>100084220</v>
      </c>
      <c r="B81" s="20" t="s">
        <v>1269</v>
      </c>
      <c r="C81" s="20" t="s">
        <v>39</v>
      </c>
      <c r="D81" s="20" t="s">
        <v>27</v>
      </c>
      <c r="E81" s="20" t="s">
        <v>1270</v>
      </c>
      <c r="F81" s="20" t="s">
        <v>1339</v>
      </c>
      <c r="G81" s="20" t="s">
        <v>666</v>
      </c>
      <c r="H81" s="20" t="s">
        <v>1340</v>
      </c>
      <c r="I81" s="33">
        <v>38441</v>
      </c>
      <c r="J81" s="33">
        <v>45456</v>
      </c>
      <c r="K81" s="28">
        <f ca="1">SUMIF(Data!$C$6:$V$29146,A81,Data!$V$6:$V$29146)</f>
        <v>0</v>
      </c>
      <c r="L81" s="28">
        <f t="shared" ca="1" si="1"/>
        <v>0</v>
      </c>
      <c r="M81" s="11" t="s">
        <v>408</v>
      </c>
    </row>
    <row r="82" spans="1:13" x14ac:dyDescent="0.2">
      <c r="A82" s="19" t="s">
        <v>1975</v>
      </c>
      <c r="B82" s="20" t="s">
        <v>1976</v>
      </c>
      <c r="C82" s="20" t="s">
        <v>39</v>
      </c>
      <c r="D82" s="20" t="s">
        <v>30</v>
      </c>
      <c r="E82" s="20" t="s">
        <v>1977</v>
      </c>
      <c r="F82" s="20" t="s">
        <v>1978</v>
      </c>
      <c r="G82" s="20" t="s">
        <v>1979</v>
      </c>
      <c r="H82" s="20" t="s">
        <v>1980</v>
      </c>
      <c r="I82" s="33">
        <v>33290</v>
      </c>
      <c r="J82" s="33">
        <v>45785</v>
      </c>
      <c r="K82" s="28">
        <f ca="1">SUMIF(Data!$C$6:$V$29146,A82,Data!$V$6:$V$29146)</f>
        <v>0</v>
      </c>
      <c r="L82" s="28">
        <f t="shared" ca="1" si="1"/>
        <v>0</v>
      </c>
      <c r="M82" s="11" t="s">
        <v>408</v>
      </c>
    </row>
    <row r="83" spans="1:13" x14ac:dyDescent="0.2">
      <c r="A83" s="19" t="s">
        <v>1981</v>
      </c>
      <c r="B83" s="20" t="s">
        <v>1982</v>
      </c>
      <c r="C83" s="20" t="s">
        <v>39</v>
      </c>
      <c r="D83" s="20" t="s">
        <v>28</v>
      </c>
      <c r="E83" s="20" t="s">
        <v>1983</v>
      </c>
      <c r="F83" s="20" t="s">
        <v>1984</v>
      </c>
      <c r="G83" s="20" t="s">
        <v>520</v>
      </c>
      <c r="H83" s="20" t="s">
        <v>1985</v>
      </c>
      <c r="I83" s="33">
        <v>31118</v>
      </c>
      <c r="J83" s="33">
        <v>45785</v>
      </c>
      <c r="K83" s="28">
        <f ca="1">SUMIF(Data!$C$6:$V$29146,A83,Data!$V$6:$V$29146)</f>
        <v>0</v>
      </c>
      <c r="L83" s="28">
        <f t="shared" ca="1" si="1"/>
        <v>0</v>
      </c>
      <c r="M83" s="11" t="s">
        <v>408</v>
      </c>
    </row>
    <row r="84" spans="1:13" x14ac:dyDescent="0.2">
      <c r="A84" s="19">
        <v>100036211</v>
      </c>
      <c r="B84" s="20" t="s">
        <v>138</v>
      </c>
      <c r="C84" s="20" t="s">
        <v>39</v>
      </c>
      <c r="D84" s="20" t="s">
        <v>35</v>
      </c>
      <c r="E84" s="20" t="s">
        <v>139</v>
      </c>
      <c r="F84" s="20" t="s">
        <v>489</v>
      </c>
      <c r="G84" s="20" t="s">
        <v>490</v>
      </c>
      <c r="H84" s="20" t="s">
        <v>491</v>
      </c>
      <c r="I84" s="33">
        <v>29975</v>
      </c>
      <c r="J84" s="33">
        <v>43503</v>
      </c>
      <c r="K84" s="28">
        <f ca="1">SUMIF(Data!$C$6:$V$29146,A84,Data!$V$6:$V$29146)</f>
        <v>38.739999999999995</v>
      </c>
      <c r="L84" s="28">
        <f t="shared" ca="1" si="1"/>
        <v>9.6849999999999987</v>
      </c>
      <c r="M84" s="11" t="s">
        <v>408</v>
      </c>
    </row>
    <row r="85" spans="1:13" x14ac:dyDescent="0.2">
      <c r="A85" s="22">
        <v>100059825</v>
      </c>
      <c r="B85" s="20" t="s">
        <v>1097</v>
      </c>
      <c r="C85" s="20" t="s">
        <v>39</v>
      </c>
      <c r="D85" s="20" t="s">
        <v>32</v>
      </c>
      <c r="E85" s="20" t="s">
        <v>316</v>
      </c>
      <c r="F85" s="20" t="s">
        <v>492</v>
      </c>
      <c r="G85" s="20" t="s">
        <v>442</v>
      </c>
      <c r="H85" s="20" t="s">
        <v>493</v>
      </c>
      <c r="I85" s="33">
        <v>23725</v>
      </c>
      <c r="J85" s="33">
        <v>44742</v>
      </c>
      <c r="K85" s="28">
        <f ca="1">SUMIF(Data!$C$6:$V$29146,A85,Data!$V$6:$V$29146)</f>
        <v>0</v>
      </c>
      <c r="L85" s="28">
        <f t="shared" ca="1" si="1"/>
        <v>0</v>
      </c>
      <c r="M85" s="11" t="s">
        <v>408</v>
      </c>
    </row>
    <row r="86" spans="1:13" x14ac:dyDescent="0.2">
      <c r="A86" s="19">
        <v>100059508</v>
      </c>
      <c r="B86" s="20" t="s">
        <v>302</v>
      </c>
      <c r="C86" s="20" t="s">
        <v>39</v>
      </c>
      <c r="D86" s="20" t="s">
        <v>32</v>
      </c>
      <c r="E86" s="20" t="s">
        <v>303</v>
      </c>
      <c r="F86" s="20" t="s">
        <v>494</v>
      </c>
      <c r="G86" s="20" t="s">
        <v>495</v>
      </c>
      <c r="H86" s="20" t="s">
        <v>496</v>
      </c>
      <c r="I86" s="33">
        <v>25716</v>
      </c>
      <c r="J86" s="33">
        <v>44735</v>
      </c>
      <c r="K86" s="28">
        <f ca="1">SUMIF(Data!$C$6:$V$29146,A86,Data!$V$6:$V$29146)</f>
        <v>6.26</v>
      </c>
      <c r="L86" s="28">
        <f t="shared" ca="1" si="1"/>
        <v>1.5649999999999999</v>
      </c>
      <c r="M86" s="11" t="s">
        <v>408</v>
      </c>
    </row>
    <row r="87" spans="1:13" x14ac:dyDescent="0.2">
      <c r="A87" s="19">
        <v>100064560</v>
      </c>
      <c r="B87" s="20" t="s">
        <v>345</v>
      </c>
      <c r="C87" s="20" t="s">
        <v>39</v>
      </c>
      <c r="D87" s="20" t="s">
        <v>27</v>
      </c>
      <c r="E87" s="20" t="s">
        <v>346</v>
      </c>
      <c r="F87" s="20" t="s">
        <v>497</v>
      </c>
      <c r="G87" s="20" t="s">
        <v>498</v>
      </c>
      <c r="H87" s="20" t="s">
        <v>499</v>
      </c>
      <c r="I87" s="33">
        <v>36728</v>
      </c>
      <c r="J87" s="33">
        <v>44958</v>
      </c>
      <c r="K87" s="28">
        <f ca="1">SUMIF(Data!$C$6:$V$29146,A87,Data!$V$6:$V$29146)</f>
        <v>0</v>
      </c>
      <c r="L87" s="28">
        <f t="shared" ca="1" si="1"/>
        <v>0</v>
      </c>
      <c r="M87" s="11" t="s">
        <v>408</v>
      </c>
    </row>
    <row r="88" spans="1:13" x14ac:dyDescent="0.2">
      <c r="A88" s="19">
        <v>100074373</v>
      </c>
      <c r="B88" s="20" t="s">
        <v>899</v>
      </c>
      <c r="C88" s="20" t="s">
        <v>39</v>
      </c>
      <c r="D88" s="20" t="s">
        <v>47</v>
      </c>
      <c r="E88" s="20" t="s">
        <v>900</v>
      </c>
      <c r="F88" s="20" t="s">
        <v>497</v>
      </c>
      <c r="G88" s="20" t="s">
        <v>901</v>
      </c>
      <c r="H88" s="20" t="s">
        <v>902</v>
      </c>
      <c r="I88" s="33">
        <v>38583</v>
      </c>
      <c r="J88" s="33">
        <v>45189</v>
      </c>
      <c r="K88" s="28">
        <f ca="1">SUMIF(Data!$C$6:$V$29146,A88,Data!$V$6:$V$29146)</f>
        <v>0</v>
      </c>
      <c r="L88" s="28">
        <f t="shared" ca="1" si="1"/>
        <v>0</v>
      </c>
      <c r="M88" s="11" t="s">
        <v>408</v>
      </c>
    </row>
    <row r="89" spans="1:13" x14ac:dyDescent="0.2">
      <c r="A89" s="19">
        <v>100074381</v>
      </c>
      <c r="B89" s="20" t="s">
        <v>903</v>
      </c>
      <c r="C89" s="20" t="s">
        <v>39</v>
      </c>
      <c r="D89" s="20" t="s">
        <v>47</v>
      </c>
      <c r="E89" s="20" t="s">
        <v>904</v>
      </c>
      <c r="F89" s="20" t="s">
        <v>497</v>
      </c>
      <c r="G89" s="20" t="s">
        <v>498</v>
      </c>
      <c r="H89" s="20" t="s">
        <v>905</v>
      </c>
      <c r="I89" s="33">
        <v>38583</v>
      </c>
      <c r="J89" s="33">
        <v>45189</v>
      </c>
      <c r="K89" s="28">
        <f ca="1">SUMIF(Data!$C$6:$V$29146,A89,Data!$V$6:$V$29146)</f>
        <v>0</v>
      </c>
      <c r="L89" s="28">
        <f t="shared" ca="1" si="1"/>
        <v>0</v>
      </c>
      <c r="M89" s="11" t="s">
        <v>408</v>
      </c>
    </row>
    <row r="90" spans="1:13" x14ac:dyDescent="0.2">
      <c r="A90" s="20">
        <v>100087223</v>
      </c>
      <c r="B90" s="20" t="s">
        <v>1563</v>
      </c>
      <c r="C90" s="20" t="s">
        <v>39</v>
      </c>
      <c r="D90" s="20" t="s">
        <v>25</v>
      </c>
      <c r="E90" s="20" t="s">
        <v>1564</v>
      </c>
      <c r="F90" s="20" t="s">
        <v>1565</v>
      </c>
      <c r="G90" s="20" t="s">
        <v>433</v>
      </c>
      <c r="H90" s="20" t="s">
        <v>1566</v>
      </c>
      <c r="I90" s="33">
        <v>37013</v>
      </c>
      <c r="J90" s="33">
        <v>45546</v>
      </c>
      <c r="K90" s="28">
        <f ca="1">SUMIF(Data!$C$6:$V$29146,A90,Data!$V$6:$V$29146)</f>
        <v>0</v>
      </c>
      <c r="L90" s="28">
        <f t="shared" ca="1" si="1"/>
        <v>0</v>
      </c>
      <c r="M90" s="11" t="s">
        <v>408</v>
      </c>
    </row>
    <row r="91" spans="1:13" x14ac:dyDescent="0.2">
      <c r="A91" s="20">
        <v>100087217</v>
      </c>
      <c r="B91" s="20" t="s">
        <v>1391</v>
      </c>
      <c r="C91" s="20" t="s">
        <v>39</v>
      </c>
      <c r="D91" s="20" t="s">
        <v>47</v>
      </c>
      <c r="E91" s="20" t="s">
        <v>1392</v>
      </c>
      <c r="F91" s="20" t="s">
        <v>1393</v>
      </c>
      <c r="G91" s="20" t="s">
        <v>940</v>
      </c>
      <c r="H91" s="20" t="s">
        <v>1394</v>
      </c>
      <c r="I91" s="33">
        <v>25077</v>
      </c>
      <c r="J91" s="33">
        <v>45546</v>
      </c>
      <c r="K91" s="28">
        <f ca="1">SUMIF(Data!$C$6:$V$29146,A91,Data!$V$6:$V$29146)</f>
        <v>0</v>
      </c>
      <c r="L91" s="28">
        <f t="shared" ca="1" si="1"/>
        <v>0</v>
      </c>
      <c r="M91" s="11" t="s">
        <v>408</v>
      </c>
    </row>
    <row r="92" spans="1:13" x14ac:dyDescent="0.2">
      <c r="A92" s="19">
        <v>100068468</v>
      </c>
      <c r="B92" s="20" t="s">
        <v>1120</v>
      </c>
      <c r="C92" s="20" t="s">
        <v>39</v>
      </c>
      <c r="D92" s="20" t="s">
        <v>25</v>
      </c>
      <c r="E92" s="20" t="s">
        <v>1121</v>
      </c>
      <c r="F92" s="20" t="s">
        <v>1122</v>
      </c>
      <c r="G92" s="20" t="s">
        <v>679</v>
      </c>
      <c r="H92" s="20" t="s">
        <v>1123</v>
      </c>
      <c r="I92" s="33">
        <v>37987</v>
      </c>
      <c r="J92" s="33">
        <v>45050</v>
      </c>
      <c r="K92" s="28">
        <f ca="1">SUMIF(Data!$C$6:$V$29146,A92,Data!$V$6:$V$29146)</f>
        <v>0</v>
      </c>
      <c r="L92" s="28">
        <f t="shared" ca="1" si="1"/>
        <v>0</v>
      </c>
      <c r="M92" s="11" t="s">
        <v>408</v>
      </c>
    </row>
    <row r="93" spans="1:13" x14ac:dyDescent="0.2">
      <c r="A93" s="19">
        <v>100030336</v>
      </c>
      <c r="B93" s="20" t="s">
        <v>91</v>
      </c>
      <c r="C93" s="20" t="s">
        <v>39</v>
      </c>
      <c r="D93" s="20" t="s">
        <v>24</v>
      </c>
      <c r="E93" s="20" t="s">
        <v>92</v>
      </c>
      <c r="F93" s="20" t="s">
        <v>500</v>
      </c>
      <c r="G93" s="20" t="s">
        <v>433</v>
      </c>
      <c r="H93" s="20" t="s">
        <v>501</v>
      </c>
      <c r="I93" s="33">
        <v>32296</v>
      </c>
      <c r="J93" s="33">
        <v>43196</v>
      </c>
      <c r="K93" s="28">
        <f ca="1">SUMIF(Data!$C$6:$V$29146,A93,Data!$V$6:$V$29146)</f>
        <v>0</v>
      </c>
      <c r="L93" s="28">
        <f t="shared" ca="1" si="1"/>
        <v>0</v>
      </c>
      <c r="M93" s="11" t="s">
        <v>408</v>
      </c>
    </row>
    <row r="94" spans="1:13" x14ac:dyDescent="0.2">
      <c r="A94" s="19" t="s">
        <v>1986</v>
      </c>
      <c r="B94" s="20" t="s">
        <v>1987</v>
      </c>
      <c r="C94" s="20" t="s">
        <v>39</v>
      </c>
      <c r="D94" s="20" t="s">
        <v>26</v>
      </c>
      <c r="E94" s="20" t="s">
        <v>1988</v>
      </c>
      <c r="F94" s="20" t="s">
        <v>1919</v>
      </c>
      <c r="G94" s="20" t="s">
        <v>1751</v>
      </c>
      <c r="H94" s="20" t="s">
        <v>1989</v>
      </c>
      <c r="I94" s="33">
        <v>37961</v>
      </c>
      <c r="J94" s="33">
        <v>45785</v>
      </c>
      <c r="K94" s="28">
        <f ca="1">SUMIF(Data!$C$6:$V$29146,A94,Data!$V$6:$V$29146)</f>
        <v>0</v>
      </c>
      <c r="L94" s="28">
        <f t="shared" ca="1" si="1"/>
        <v>0</v>
      </c>
      <c r="M94" s="11" t="s">
        <v>408</v>
      </c>
    </row>
    <row r="95" spans="1:13" x14ac:dyDescent="0.2">
      <c r="A95" s="19">
        <v>100036535</v>
      </c>
      <c r="B95" s="20" t="s">
        <v>156</v>
      </c>
      <c r="C95" s="20" t="s">
        <v>39</v>
      </c>
      <c r="D95" s="20" t="s">
        <v>47</v>
      </c>
      <c r="E95" s="20" t="s">
        <v>157</v>
      </c>
      <c r="F95" s="20" t="s">
        <v>504</v>
      </c>
      <c r="G95" s="20" t="s">
        <v>505</v>
      </c>
      <c r="H95" s="20" t="s">
        <v>506</v>
      </c>
      <c r="I95" s="33">
        <v>17983</v>
      </c>
      <c r="J95" s="33">
        <v>43525</v>
      </c>
      <c r="K95" s="28">
        <f ca="1">SUMIF(Data!$C$6:$V$29146,A95,Data!$V$6:$V$29146)</f>
        <v>0</v>
      </c>
      <c r="L95" s="28">
        <f t="shared" ca="1" si="1"/>
        <v>0</v>
      </c>
      <c r="M95" s="11" t="s">
        <v>408</v>
      </c>
    </row>
    <row r="96" spans="1:13" x14ac:dyDescent="0.2">
      <c r="A96" s="20">
        <v>100054465</v>
      </c>
      <c r="B96" s="20" t="s">
        <v>266</v>
      </c>
      <c r="C96" s="20" t="s">
        <v>39</v>
      </c>
      <c r="D96" s="20" t="s">
        <v>32</v>
      </c>
      <c r="E96" s="20" t="s">
        <v>267</v>
      </c>
      <c r="F96" s="20" t="s">
        <v>507</v>
      </c>
      <c r="G96" s="20" t="s">
        <v>508</v>
      </c>
      <c r="H96" s="20" t="s">
        <v>509</v>
      </c>
      <c r="I96" s="33">
        <v>30530</v>
      </c>
      <c r="J96" s="33">
        <v>44612</v>
      </c>
      <c r="K96" s="28">
        <f ca="1">SUMIF(Data!$C$6:$V$29146,A96,Data!$V$6:$V$29146)</f>
        <v>0</v>
      </c>
      <c r="L96" s="28">
        <f t="shared" ca="1" si="1"/>
        <v>0</v>
      </c>
      <c r="M96" s="11" t="s">
        <v>408</v>
      </c>
    </row>
    <row r="97" spans="1:13" x14ac:dyDescent="0.2">
      <c r="A97" s="19" t="s">
        <v>1993</v>
      </c>
      <c r="B97" s="20" t="s">
        <v>1994</v>
      </c>
      <c r="C97" s="20" t="s">
        <v>39</v>
      </c>
      <c r="D97" s="20" t="s">
        <v>26</v>
      </c>
      <c r="E97" s="20" t="s">
        <v>1995</v>
      </c>
      <c r="F97" s="20" t="s">
        <v>1996</v>
      </c>
      <c r="G97" s="20" t="s">
        <v>425</v>
      </c>
      <c r="H97" s="20" t="s">
        <v>1997</v>
      </c>
      <c r="I97" s="33">
        <v>38420</v>
      </c>
      <c r="J97" s="33">
        <v>45785</v>
      </c>
      <c r="K97" s="28">
        <f ca="1">SUMIF(Data!$C$6:$V$29146,A97,Data!$V$6:$V$29146)</f>
        <v>0</v>
      </c>
      <c r="L97" s="28">
        <f t="shared" ca="1" si="1"/>
        <v>0</v>
      </c>
      <c r="M97" s="11" t="s">
        <v>408</v>
      </c>
    </row>
    <row r="98" spans="1:13" x14ac:dyDescent="0.2">
      <c r="A98" s="19">
        <v>100084251</v>
      </c>
      <c r="B98" s="20" t="s">
        <v>1271</v>
      </c>
      <c r="C98" s="20" t="s">
        <v>39</v>
      </c>
      <c r="D98" s="20" t="s">
        <v>31</v>
      </c>
      <c r="E98" s="20" t="s">
        <v>1272</v>
      </c>
      <c r="F98" s="20" t="s">
        <v>1341</v>
      </c>
      <c r="G98" s="20" t="s">
        <v>1342</v>
      </c>
      <c r="H98" s="20" t="s">
        <v>1343</v>
      </c>
      <c r="I98" s="33">
        <v>36313</v>
      </c>
      <c r="J98" s="33">
        <v>45456</v>
      </c>
      <c r="K98" s="28">
        <f ca="1">SUMIF(Data!$C$6:$V$29146,A98,Data!$V$6:$V$29146)</f>
        <v>0</v>
      </c>
      <c r="L98" s="28">
        <f t="shared" ca="1" si="1"/>
        <v>0</v>
      </c>
      <c r="M98" s="11" t="s">
        <v>408</v>
      </c>
    </row>
    <row r="99" spans="1:13" x14ac:dyDescent="0.2">
      <c r="A99" s="20">
        <v>100087270</v>
      </c>
      <c r="B99" s="20" t="s">
        <v>1567</v>
      </c>
      <c r="C99" s="20" t="s">
        <v>39</v>
      </c>
      <c r="D99" s="20" t="s">
        <v>25</v>
      </c>
      <c r="E99" s="20" t="s">
        <v>1568</v>
      </c>
      <c r="F99" s="20" t="s">
        <v>1569</v>
      </c>
      <c r="G99" s="20" t="s">
        <v>413</v>
      </c>
      <c r="H99" s="20" t="s">
        <v>1570</v>
      </c>
      <c r="I99" s="33">
        <v>38559</v>
      </c>
      <c r="J99" s="33">
        <v>45546</v>
      </c>
      <c r="K99" s="28">
        <f ca="1">SUMIF(Data!$C$6:$V$29146,A99,Data!$V$6:$V$29146)</f>
        <v>0</v>
      </c>
      <c r="L99" s="28">
        <f t="shared" ca="1" si="1"/>
        <v>0</v>
      </c>
      <c r="M99" s="11" t="s">
        <v>408</v>
      </c>
    </row>
    <row r="100" spans="1:13" x14ac:dyDescent="0.2">
      <c r="A100" s="20">
        <v>100087279</v>
      </c>
      <c r="B100" s="20" t="s">
        <v>1428</v>
      </c>
      <c r="C100" s="20" t="s">
        <v>39</v>
      </c>
      <c r="D100" s="20" t="s">
        <v>26</v>
      </c>
      <c r="E100" s="20" t="s">
        <v>1429</v>
      </c>
      <c r="F100" s="20" t="s">
        <v>1430</v>
      </c>
      <c r="G100" s="20" t="s">
        <v>1431</v>
      </c>
      <c r="H100" s="20" t="s">
        <v>1432</v>
      </c>
      <c r="I100" s="33">
        <v>37654</v>
      </c>
      <c r="J100" s="33">
        <v>45546</v>
      </c>
      <c r="K100" s="28">
        <f ca="1">SUMIF(Data!$C$6:$V$29146,A100,Data!$V$6:$V$29146)</f>
        <v>0</v>
      </c>
      <c r="L100" s="28">
        <f t="shared" ca="1" si="1"/>
        <v>0</v>
      </c>
      <c r="M100" s="11" t="s">
        <v>408</v>
      </c>
    </row>
    <row r="101" spans="1:13" x14ac:dyDescent="0.2">
      <c r="A101" s="20">
        <v>100049358</v>
      </c>
      <c r="B101" s="20" t="s">
        <v>222</v>
      </c>
      <c r="C101" s="20" t="s">
        <v>39</v>
      </c>
      <c r="D101" s="20" t="s">
        <v>47</v>
      </c>
      <c r="E101" s="20" t="s">
        <v>223</v>
      </c>
      <c r="F101" s="20" t="s">
        <v>510</v>
      </c>
      <c r="G101" s="20" t="s">
        <v>412</v>
      </c>
      <c r="H101" s="20" t="s">
        <v>511</v>
      </c>
      <c r="I101" s="33">
        <v>35174</v>
      </c>
      <c r="J101" s="33">
        <v>44392</v>
      </c>
      <c r="K101" s="28">
        <f ca="1">SUMIF(Data!$C$6:$V$29146,A101,Data!$V$6:$V$29146)</f>
        <v>0</v>
      </c>
      <c r="L101" s="28">
        <f t="shared" ca="1" si="1"/>
        <v>0</v>
      </c>
      <c r="M101" s="11" t="s">
        <v>408</v>
      </c>
    </row>
    <row r="102" spans="1:13" x14ac:dyDescent="0.2">
      <c r="A102" s="19">
        <v>100077507</v>
      </c>
      <c r="B102" s="20" t="s">
        <v>965</v>
      </c>
      <c r="C102" s="20" t="s">
        <v>39</v>
      </c>
      <c r="D102" s="20" t="s">
        <v>47</v>
      </c>
      <c r="E102" s="20" t="s">
        <v>966</v>
      </c>
      <c r="F102" s="20" t="s">
        <v>1037</v>
      </c>
      <c r="G102" s="20" t="s">
        <v>448</v>
      </c>
      <c r="H102" s="20" t="s">
        <v>1038</v>
      </c>
      <c r="I102" s="33">
        <v>38391</v>
      </c>
      <c r="J102" s="33">
        <v>45322</v>
      </c>
      <c r="K102" s="28">
        <f ca="1">SUMIF(Data!$C$6:$V$29146,A102,Data!$V$6:$V$29146)</f>
        <v>0</v>
      </c>
      <c r="L102" s="28">
        <f t="shared" ca="1" si="1"/>
        <v>0</v>
      </c>
      <c r="M102" s="11" t="s">
        <v>408</v>
      </c>
    </row>
    <row r="103" spans="1:13" x14ac:dyDescent="0.2">
      <c r="A103" s="19">
        <v>100090873</v>
      </c>
      <c r="B103" s="20" t="s">
        <v>1850</v>
      </c>
      <c r="C103" s="20" t="s">
        <v>39</v>
      </c>
      <c r="D103" s="20" t="s">
        <v>26</v>
      </c>
      <c r="E103" s="20" t="s">
        <v>1867</v>
      </c>
      <c r="F103" s="20" t="s">
        <v>1884</v>
      </c>
      <c r="G103" s="20" t="s">
        <v>434</v>
      </c>
      <c r="H103" s="20" t="s">
        <v>1901</v>
      </c>
      <c r="I103" s="33">
        <v>38768</v>
      </c>
      <c r="J103" s="33">
        <v>45736</v>
      </c>
      <c r="K103" s="28">
        <f ca="1">SUMIF(Data!$C$6:$V$29146,A103,Data!$V$6:$V$29146)</f>
        <v>0</v>
      </c>
      <c r="L103" s="28">
        <f t="shared" ca="1" si="1"/>
        <v>0</v>
      </c>
      <c r="M103" s="11" t="s">
        <v>408</v>
      </c>
    </row>
    <row r="104" spans="1:13" x14ac:dyDescent="0.2">
      <c r="A104" s="20">
        <v>100029594</v>
      </c>
      <c r="B104" s="20" t="s">
        <v>64</v>
      </c>
      <c r="C104" s="20" t="s">
        <v>39</v>
      </c>
      <c r="D104" s="20" t="s">
        <v>32</v>
      </c>
      <c r="E104" s="20" t="s">
        <v>65</v>
      </c>
      <c r="F104" s="20" t="s">
        <v>513</v>
      </c>
      <c r="G104" s="20" t="s">
        <v>514</v>
      </c>
      <c r="H104" s="20" t="s">
        <v>515</v>
      </c>
      <c r="I104" s="33">
        <v>27334</v>
      </c>
      <c r="J104" s="33">
        <v>43182</v>
      </c>
      <c r="K104" s="28">
        <f ca="1">SUMIF(Data!$C$6:$V$29146,A104,Data!$V$6:$V$29146)</f>
        <v>0</v>
      </c>
      <c r="L104" s="28">
        <f t="shared" ca="1" si="1"/>
        <v>0</v>
      </c>
      <c r="M104" s="11" t="s">
        <v>408</v>
      </c>
    </row>
    <row r="105" spans="1:13" x14ac:dyDescent="0.2">
      <c r="A105" s="19">
        <v>100032231</v>
      </c>
      <c r="B105" s="20" t="s">
        <v>106</v>
      </c>
      <c r="C105" s="20" t="s">
        <v>39</v>
      </c>
      <c r="D105" s="20" t="s">
        <v>24</v>
      </c>
      <c r="E105" s="20" t="s">
        <v>107</v>
      </c>
      <c r="F105" s="20" t="s">
        <v>1320</v>
      </c>
      <c r="G105" s="20" t="s">
        <v>662</v>
      </c>
      <c r="H105" s="20" t="s">
        <v>516</v>
      </c>
      <c r="I105" s="33">
        <v>33027</v>
      </c>
      <c r="J105" s="33">
        <v>43237</v>
      </c>
      <c r="K105" s="28">
        <f ca="1">SUMIF(Data!$C$6:$V$29146,A105,Data!$V$6:$V$29146)</f>
        <v>0</v>
      </c>
      <c r="L105" s="28">
        <f t="shared" ca="1" si="1"/>
        <v>0</v>
      </c>
      <c r="M105" s="11" t="s">
        <v>408</v>
      </c>
    </row>
    <row r="106" spans="1:13" x14ac:dyDescent="0.2">
      <c r="A106" s="19" t="s">
        <v>2001</v>
      </c>
      <c r="B106" s="20" t="s">
        <v>2002</v>
      </c>
      <c r="C106" s="20" t="s">
        <v>39</v>
      </c>
      <c r="D106" s="20" t="s">
        <v>135</v>
      </c>
      <c r="E106" s="20" t="s">
        <v>2003</v>
      </c>
      <c r="F106" s="20" t="s">
        <v>2004</v>
      </c>
      <c r="G106" s="20" t="s">
        <v>763</v>
      </c>
      <c r="H106" s="20" t="s">
        <v>2005</v>
      </c>
      <c r="I106" s="33">
        <v>34590</v>
      </c>
      <c r="J106" s="33">
        <v>45785</v>
      </c>
      <c r="K106" s="28">
        <f ca="1">SUMIF(Data!$C$6:$V$29146,A106,Data!$V$6:$V$29146)</f>
        <v>0</v>
      </c>
      <c r="L106" s="28">
        <f t="shared" ca="1" si="1"/>
        <v>0</v>
      </c>
      <c r="M106" s="11" t="s">
        <v>408</v>
      </c>
    </row>
    <row r="107" spans="1:13" x14ac:dyDescent="0.2">
      <c r="A107" s="19" t="s">
        <v>2006</v>
      </c>
      <c r="B107" s="20" t="s">
        <v>2007</v>
      </c>
      <c r="C107" s="20" t="s">
        <v>39</v>
      </c>
      <c r="D107" s="20" t="s">
        <v>30</v>
      </c>
      <c r="E107" s="20" t="s">
        <v>2008</v>
      </c>
      <c r="F107" s="20" t="s">
        <v>2009</v>
      </c>
      <c r="G107" s="20" t="s">
        <v>1355</v>
      </c>
      <c r="H107" s="20" t="s">
        <v>2010</v>
      </c>
      <c r="I107" s="33">
        <v>29998</v>
      </c>
      <c r="J107" s="33">
        <v>45785</v>
      </c>
      <c r="K107" s="28">
        <f ca="1">SUMIF(Data!$C$6:$V$29146,A107,Data!$V$6:$V$29146)</f>
        <v>0</v>
      </c>
      <c r="L107" s="28">
        <f t="shared" ca="1" si="1"/>
        <v>0</v>
      </c>
      <c r="M107" s="11" t="s">
        <v>408</v>
      </c>
    </row>
    <row r="108" spans="1:13" x14ac:dyDescent="0.2">
      <c r="A108" s="19" t="s">
        <v>2011</v>
      </c>
      <c r="B108" s="20" t="s">
        <v>2012</v>
      </c>
      <c r="C108" s="20" t="s">
        <v>39</v>
      </c>
      <c r="D108" s="20" t="s">
        <v>30</v>
      </c>
      <c r="E108" s="20" t="s">
        <v>2013</v>
      </c>
      <c r="F108" s="20" t="s">
        <v>2014</v>
      </c>
      <c r="G108" s="20" t="s">
        <v>450</v>
      </c>
      <c r="H108" s="20" t="s">
        <v>2015</v>
      </c>
      <c r="I108" s="33">
        <v>34661</v>
      </c>
      <c r="J108" s="33">
        <v>45785</v>
      </c>
      <c r="K108" s="28">
        <f ca="1">SUMIF(Data!$C$6:$V$29146,A108,Data!$V$6:$V$29146)</f>
        <v>0</v>
      </c>
      <c r="L108" s="28">
        <f t="shared" ca="1" si="1"/>
        <v>0</v>
      </c>
      <c r="M108" s="11" t="s">
        <v>408</v>
      </c>
    </row>
    <row r="109" spans="1:13" x14ac:dyDescent="0.2">
      <c r="A109" s="20">
        <v>100028135</v>
      </c>
      <c r="B109" s="20" t="s">
        <v>53</v>
      </c>
      <c r="C109" s="20" t="s">
        <v>39</v>
      </c>
      <c r="D109" s="20" t="s">
        <v>32</v>
      </c>
      <c r="E109" s="20" t="s">
        <v>54</v>
      </c>
      <c r="F109" s="20" t="s">
        <v>517</v>
      </c>
      <c r="G109" s="20" t="s">
        <v>518</v>
      </c>
      <c r="H109" s="20" t="s">
        <v>519</v>
      </c>
      <c r="I109" s="33">
        <v>26499</v>
      </c>
      <c r="J109" s="33">
        <v>43008</v>
      </c>
      <c r="K109" s="28">
        <f ca="1">SUMIF(Data!$C$6:$V$29146,A109,Data!$V$6:$V$29146)</f>
        <v>0</v>
      </c>
      <c r="L109" s="28">
        <f t="shared" ca="1" si="1"/>
        <v>0</v>
      </c>
      <c r="M109" s="11" t="s">
        <v>408</v>
      </c>
    </row>
    <row r="110" spans="1:13" x14ac:dyDescent="0.2">
      <c r="A110" s="19">
        <v>100029826</v>
      </c>
      <c r="B110" s="20" t="s">
        <v>66</v>
      </c>
      <c r="C110" s="20" t="s">
        <v>39</v>
      </c>
      <c r="D110" s="20" t="s">
        <v>30</v>
      </c>
      <c r="E110" s="20" t="s">
        <v>67</v>
      </c>
      <c r="F110" s="20" t="s">
        <v>521</v>
      </c>
      <c r="G110" s="20" t="s">
        <v>425</v>
      </c>
      <c r="H110" s="20" t="s">
        <v>522</v>
      </c>
      <c r="I110" s="33">
        <v>22613</v>
      </c>
      <c r="J110" s="33">
        <v>43182</v>
      </c>
      <c r="K110" s="28">
        <f ca="1">SUMIF(Data!$C$6:$V$29146,A110,Data!$V$6:$V$29146)</f>
        <v>0</v>
      </c>
      <c r="L110" s="28">
        <f t="shared" ca="1" si="1"/>
        <v>0</v>
      </c>
      <c r="M110" s="11" t="s">
        <v>408</v>
      </c>
    </row>
    <row r="111" spans="1:13" x14ac:dyDescent="0.2">
      <c r="A111" s="19" t="s">
        <v>1597</v>
      </c>
      <c r="B111" s="20" t="s">
        <v>1649</v>
      </c>
      <c r="C111" s="20" t="s">
        <v>39</v>
      </c>
      <c r="D111" s="20" t="s">
        <v>30</v>
      </c>
      <c r="E111" s="20" t="s">
        <v>1701</v>
      </c>
      <c r="F111" s="20" t="s">
        <v>1752</v>
      </c>
      <c r="G111" s="20" t="s">
        <v>541</v>
      </c>
      <c r="H111" s="20" t="s">
        <v>1807</v>
      </c>
      <c r="I111" s="33">
        <v>23958</v>
      </c>
      <c r="J111" s="33">
        <v>45688</v>
      </c>
      <c r="K111" s="28">
        <f ca="1">SUMIF(Data!$C$6:$V$29146,A111,Data!$V$6:$V$29146)</f>
        <v>0</v>
      </c>
      <c r="L111" s="28">
        <f t="shared" ca="1" si="1"/>
        <v>0</v>
      </c>
      <c r="M111" s="11" t="s">
        <v>408</v>
      </c>
    </row>
    <row r="112" spans="1:13" x14ac:dyDescent="0.2">
      <c r="A112" s="19">
        <v>100054466</v>
      </c>
      <c r="B112" s="20" t="s">
        <v>268</v>
      </c>
      <c r="C112" s="20" t="s">
        <v>39</v>
      </c>
      <c r="D112" s="20" t="s">
        <v>32</v>
      </c>
      <c r="E112" s="20" t="s">
        <v>269</v>
      </c>
      <c r="F112" s="20" t="s">
        <v>524</v>
      </c>
      <c r="G112" s="20" t="s">
        <v>525</v>
      </c>
      <c r="H112" s="20" t="s">
        <v>526</v>
      </c>
      <c r="I112" s="33">
        <v>32958</v>
      </c>
      <c r="J112" s="33">
        <v>44612</v>
      </c>
      <c r="K112" s="28">
        <f ca="1">SUMIF(Data!$C$6:$V$29146,A112,Data!$V$6:$V$29146)</f>
        <v>11.06</v>
      </c>
      <c r="L112" s="28">
        <f t="shared" ca="1" si="1"/>
        <v>2.7650000000000001</v>
      </c>
      <c r="M112" s="11" t="s">
        <v>408</v>
      </c>
    </row>
    <row r="113" spans="1:13" x14ac:dyDescent="0.2">
      <c r="A113" s="19">
        <v>100074409</v>
      </c>
      <c r="B113" s="20" t="s">
        <v>910</v>
      </c>
      <c r="C113" s="20" t="s">
        <v>39</v>
      </c>
      <c r="D113" s="20" t="s">
        <v>47</v>
      </c>
      <c r="E113" s="20" t="s">
        <v>911</v>
      </c>
      <c r="F113" s="20" t="s">
        <v>912</v>
      </c>
      <c r="G113" s="20" t="s">
        <v>913</v>
      </c>
      <c r="H113" s="20" t="s">
        <v>914</v>
      </c>
      <c r="I113" s="33">
        <v>21016</v>
      </c>
      <c r="J113" s="33">
        <v>45189</v>
      </c>
      <c r="K113" s="28">
        <f ca="1">SUMIF(Data!$C$6:$V$29146,A113,Data!$V$6:$V$29146)</f>
        <v>0</v>
      </c>
      <c r="L113" s="28">
        <f t="shared" ca="1" si="1"/>
        <v>0</v>
      </c>
      <c r="M113" s="11" t="s">
        <v>408</v>
      </c>
    </row>
    <row r="114" spans="1:13" x14ac:dyDescent="0.2">
      <c r="A114" s="21">
        <v>100029715</v>
      </c>
      <c r="B114" s="20" t="s">
        <v>1068</v>
      </c>
      <c r="C114" s="20" t="s">
        <v>39</v>
      </c>
      <c r="D114" s="20" t="s">
        <v>32</v>
      </c>
      <c r="E114" s="20" t="s">
        <v>68</v>
      </c>
      <c r="F114" s="20" t="s">
        <v>527</v>
      </c>
      <c r="G114" s="20" t="s">
        <v>528</v>
      </c>
      <c r="H114" s="20" t="s">
        <v>529</v>
      </c>
      <c r="I114" s="33">
        <v>27182</v>
      </c>
      <c r="J114" s="33">
        <v>43182</v>
      </c>
      <c r="K114" s="28">
        <f ca="1">SUMIF(Data!$C$6:$V$29146,A114,Data!$V$6:$V$29146)</f>
        <v>18.059999999999999</v>
      </c>
      <c r="L114" s="28">
        <f t="shared" ca="1" si="1"/>
        <v>4.5149999999999997</v>
      </c>
      <c r="M114" s="11" t="s">
        <v>408</v>
      </c>
    </row>
    <row r="115" spans="1:13" x14ac:dyDescent="0.2">
      <c r="A115" s="19">
        <v>100039237</v>
      </c>
      <c r="B115" s="20" t="s">
        <v>1076</v>
      </c>
      <c r="C115" s="20" t="s">
        <v>39</v>
      </c>
      <c r="D115" s="20" t="s">
        <v>34</v>
      </c>
      <c r="E115" s="20" t="s">
        <v>165</v>
      </c>
      <c r="F115" s="20" t="s">
        <v>530</v>
      </c>
      <c r="G115" s="20" t="s">
        <v>531</v>
      </c>
      <c r="H115" s="20" t="s">
        <v>532</v>
      </c>
      <c r="I115" s="33">
        <v>23771</v>
      </c>
      <c r="J115" s="33">
        <v>43600</v>
      </c>
      <c r="K115" s="28">
        <f ca="1">SUMIF(Data!$C$6:$V$29146,A115,Data!$V$6:$V$29146)</f>
        <v>27.330000000000002</v>
      </c>
      <c r="L115" s="28">
        <f t="shared" ca="1" si="1"/>
        <v>6.8325000000000005</v>
      </c>
      <c r="M115" s="11" t="s">
        <v>408</v>
      </c>
    </row>
    <row r="116" spans="1:13" x14ac:dyDescent="0.2">
      <c r="A116" s="19">
        <v>100041234</v>
      </c>
      <c r="B116" s="20" t="s">
        <v>186</v>
      </c>
      <c r="C116" s="20" t="s">
        <v>1079</v>
      </c>
      <c r="D116" s="20" t="s">
        <v>32</v>
      </c>
      <c r="E116" s="20" t="s">
        <v>187</v>
      </c>
      <c r="F116" s="20" t="s">
        <v>533</v>
      </c>
      <c r="G116" s="20" t="s">
        <v>514</v>
      </c>
      <c r="H116" s="20" t="s">
        <v>534</v>
      </c>
      <c r="I116" s="33">
        <v>35555</v>
      </c>
      <c r="J116" s="33">
        <v>43677</v>
      </c>
      <c r="K116" s="28">
        <f ca="1">SUMIF(Data!$C$6:$V$29146,A116,Data!$V$6:$V$29146)</f>
        <v>0</v>
      </c>
      <c r="L116" s="28">
        <f t="shared" ca="1" si="1"/>
        <v>0</v>
      </c>
      <c r="M116" s="11" t="s">
        <v>408</v>
      </c>
    </row>
    <row r="117" spans="1:13" x14ac:dyDescent="0.2">
      <c r="A117" s="20">
        <v>100036134</v>
      </c>
      <c r="B117" s="20" t="s">
        <v>132</v>
      </c>
      <c r="C117" s="20" t="s">
        <v>39</v>
      </c>
      <c r="D117" s="20" t="s">
        <v>32</v>
      </c>
      <c r="E117" s="20" t="s">
        <v>133</v>
      </c>
      <c r="F117" s="20" t="s">
        <v>535</v>
      </c>
      <c r="G117" s="20" t="s">
        <v>502</v>
      </c>
      <c r="H117" s="20" t="s">
        <v>536</v>
      </c>
      <c r="I117" s="33">
        <v>30251</v>
      </c>
      <c r="J117" s="33">
        <v>43494</v>
      </c>
      <c r="K117" s="28">
        <f ca="1">SUMIF(Data!$C$6:$V$29146,A117,Data!$V$6:$V$29146)</f>
        <v>0</v>
      </c>
      <c r="L117" s="28">
        <f t="shared" ca="1" si="1"/>
        <v>0</v>
      </c>
      <c r="M117" s="11" t="s">
        <v>408</v>
      </c>
    </row>
    <row r="118" spans="1:13" x14ac:dyDescent="0.2">
      <c r="A118" s="19">
        <v>100053190</v>
      </c>
      <c r="B118" s="20" t="s">
        <v>249</v>
      </c>
      <c r="C118" s="20" t="s">
        <v>39</v>
      </c>
      <c r="D118" s="20" t="s">
        <v>26</v>
      </c>
      <c r="E118" s="20" t="s">
        <v>250</v>
      </c>
      <c r="F118" s="20" t="s">
        <v>537</v>
      </c>
      <c r="G118" s="20" t="s">
        <v>538</v>
      </c>
      <c r="H118" s="20" t="s">
        <v>539</v>
      </c>
      <c r="I118" s="33">
        <v>37863</v>
      </c>
      <c r="J118" s="33">
        <v>44506</v>
      </c>
      <c r="K118" s="28">
        <f ca="1">SUMIF(Data!$C$6:$V$29146,A118,Data!$V$6:$V$29146)</f>
        <v>0</v>
      </c>
      <c r="L118" s="28">
        <f t="shared" ca="1" si="1"/>
        <v>0</v>
      </c>
      <c r="M118" s="11" t="s">
        <v>408</v>
      </c>
    </row>
    <row r="119" spans="1:13" x14ac:dyDescent="0.2">
      <c r="A119" s="19" t="s">
        <v>2016</v>
      </c>
      <c r="B119" s="20" t="s">
        <v>2017</v>
      </c>
      <c r="C119" s="20" t="s">
        <v>39</v>
      </c>
      <c r="D119" s="20" t="s">
        <v>60</v>
      </c>
      <c r="E119" s="20" t="s">
        <v>2018</v>
      </c>
      <c r="F119" s="20" t="s">
        <v>2019</v>
      </c>
      <c r="G119" s="20" t="s">
        <v>773</v>
      </c>
      <c r="H119" s="20" t="s">
        <v>2020</v>
      </c>
      <c r="I119" s="33">
        <v>30000</v>
      </c>
      <c r="J119" s="33">
        <v>45785</v>
      </c>
      <c r="K119" s="28">
        <f ca="1">SUMIF(Data!$C$6:$V$29146,A119,Data!$V$6:$V$29146)</f>
        <v>0</v>
      </c>
      <c r="L119" s="28">
        <f t="shared" ca="1" si="1"/>
        <v>0</v>
      </c>
      <c r="M119" s="11" t="s">
        <v>408</v>
      </c>
    </row>
    <row r="120" spans="1:13" x14ac:dyDescent="0.2">
      <c r="A120" s="19" t="s">
        <v>2021</v>
      </c>
      <c r="B120" s="20" t="s">
        <v>2022</v>
      </c>
      <c r="C120" s="20" t="s">
        <v>39</v>
      </c>
      <c r="D120" s="20" t="s">
        <v>26</v>
      </c>
      <c r="E120" s="20" t="s">
        <v>2023</v>
      </c>
      <c r="F120" s="20" t="s">
        <v>2024</v>
      </c>
      <c r="G120" s="20" t="s">
        <v>442</v>
      </c>
      <c r="H120" s="20" t="s">
        <v>2025</v>
      </c>
      <c r="I120" s="33">
        <v>22804</v>
      </c>
      <c r="J120" s="33">
        <v>45785</v>
      </c>
      <c r="K120" s="28">
        <f ca="1">SUMIF(Data!$C$6:$V$29146,A120,Data!$V$6:$V$29146)</f>
        <v>0</v>
      </c>
      <c r="L120" s="28">
        <f t="shared" ca="1" si="1"/>
        <v>0</v>
      </c>
      <c r="M120" s="11" t="s">
        <v>408</v>
      </c>
    </row>
    <row r="121" spans="1:13" x14ac:dyDescent="0.2">
      <c r="A121" s="19" t="s">
        <v>2026</v>
      </c>
      <c r="B121" s="20" t="s">
        <v>2027</v>
      </c>
      <c r="C121" s="20" t="s">
        <v>39</v>
      </c>
      <c r="D121" s="20" t="s">
        <v>26</v>
      </c>
      <c r="E121" s="20" t="s">
        <v>2028</v>
      </c>
      <c r="F121" s="20" t="s">
        <v>2029</v>
      </c>
      <c r="G121" s="20" t="s">
        <v>2030</v>
      </c>
      <c r="H121" s="20" t="s">
        <v>2031</v>
      </c>
      <c r="I121" s="33">
        <v>23263</v>
      </c>
      <c r="J121" s="33">
        <v>45785</v>
      </c>
      <c r="K121" s="28">
        <f ca="1">SUMIF(Data!$C$6:$V$29146,A121,Data!$V$6:$V$29146)</f>
        <v>0</v>
      </c>
      <c r="L121" s="28">
        <f t="shared" ca="1" si="1"/>
        <v>0</v>
      </c>
      <c r="M121" s="11" t="s">
        <v>408</v>
      </c>
    </row>
    <row r="122" spans="1:13" x14ac:dyDescent="0.2">
      <c r="A122" s="20">
        <v>100054264</v>
      </c>
      <c r="B122" s="20" t="s">
        <v>254</v>
      </c>
      <c r="C122" s="20" t="s">
        <v>39</v>
      </c>
      <c r="D122" s="20" t="s">
        <v>32</v>
      </c>
      <c r="E122" s="20" t="s">
        <v>255</v>
      </c>
      <c r="F122" s="20" t="s">
        <v>540</v>
      </c>
      <c r="G122" s="20" t="s">
        <v>541</v>
      </c>
      <c r="H122" s="20" t="s">
        <v>542</v>
      </c>
      <c r="I122" s="33">
        <v>27847</v>
      </c>
      <c r="J122" s="33">
        <v>44591</v>
      </c>
      <c r="K122" s="28">
        <f ca="1">SUMIF(Data!$C$6:$V$29146,A122,Data!$V$6:$V$29146)</f>
        <v>0</v>
      </c>
      <c r="L122" s="28">
        <f t="shared" ca="1" si="1"/>
        <v>0</v>
      </c>
      <c r="M122" s="11" t="s">
        <v>408</v>
      </c>
    </row>
    <row r="123" spans="1:13" x14ac:dyDescent="0.2">
      <c r="A123" s="20">
        <v>100087218</v>
      </c>
      <c r="B123" s="20" t="s">
        <v>1397</v>
      </c>
      <c r="C123" s="20" t="s">
        <v>39</v>
      </c>
      <c r="D123" s="20" t="s">
        <v>47</v>
      </c>
      <c r="E123" s="20" t="s">
        <v>1398</v>
      </c>
      <c r="F123" s="20" t="s">
        <v>1399</v>
      </c>
      <c r="G123" s="20" t="s">
        <v>414</v>
      </c>
      <c r="H123" s="20" t="s">
        <v>1400</v>
      </c>
      <c r="I123" s="33">
        <v>28461</v>
      </c>
      <c r="J123" s="33">
        <v>45546</v>
      </c>
      <c r="K123" s="28">
        <f ca="1">SUMIF(Data!$C$6:$V$29146,A123,Data!$V$6:$V$29146)</f>
        <v>0</v>
      </c>
      <c r="L123" s="28">
        <f t="shared" ca="1" si="1"/>
        <v>0</v>
      </c>
      <c r="M123" s="11" t="s">
        <v>408</v>
      </c>
    </row>
    <row r="124" spans="1:13" x14ac:dyDescent="0.2">
      <c r="A124" s="19">
        <v>100030730</v>
      </c>
      <c r="B124" s="20" t="s">
        <v>96</v>
      </c>
      <c r="C124" s="20" t="s">
        <v>39</v>
      </c>
      <c r="D124" s="20" t="s">
        <v>32</v>
      </c>
      <c r="E124" s="20" t="s">
        <v>97</v>
      </c>
      <c r="F124" s="20" t="s">
        <v>543</v>
      </c>
      <c r="G124" s="20" t="s">
        <v>544</v>
      </c>
      <c r="H124" s="20" t="s">
        <v>545</v>
      </c>
      <c r="I124" s="33">
        <v>26564</v>
      </c>
      <c r="J124" s="33">
        <v>43210</v>
      </c>
      <c r="K124" s="28">
        <f ca="1">SUMIF(Data!$C$6:$V$29146,A124,Data!$V$6:$V$29146)</f>
        <v>0</v>
      </c>
      <c r="L124" s="28">
        <f t="shared" ca="1" si="1"/>
        <v>0</v>
      </c>
      <c r="M124" s="11" t="s">
        <v>408</v>
      </c>
    </row>
    <row r="125" spans="1:13" x14ac:dyDescent="0.2">
      <c r="A125" s="19" t="s">
        <v>2032</v>
      </c>
      <c r="B125" s="20" t="s">
        <v>2033</v>
      </c>
      <c r="C125" s="20" t="s">
        <v>39</v>
      </c>
      <c r="D125" s="20" t="s">
        <v>60</v>
      </c>
      <c r="E125" s="20" t="s">
        <v>2034</v>
      </c>
      <c r="F125" s="20" t="s">
        <v>2035</v>
      </c>
      <c r="G125" s="20" t="s">
        <v>520</v>
      </c>
      <c r="H125" s="20" t="s">
        <v>2036</v>
      </c>
      <c r="I125" s="33">
        <v>26993</v>
      </c>
      <c r="J125" s="33">
        <v>45785</v>
      </c>
      <c r="K125" s="28">
        <f ca="1">SUMIF(Data!$C$6:$V$29146,A125,Data!$V$6:$V$29146)</f>
        <v>0</v>
      </c>
      <c r="L125" s="28">
        <f t="shared" ca="1" si="1"/>
        <v>0</v>
      </c>
      <c r="M125" s="11" t="s">
        <v>408</v>
      </c>
    </row>
    <row r="126" spans="1:13" x14ac:dyDescent="0.2">
      <c r="A126" s="19" t="s">
        <v>2308</v>
      </c>
      <c r="B126" s="20" t="s">
        <v>2317</v>
      </c>
      <c r="C126" s="20" t="s">
        <v>39</v>
      </c>
      <c r="D126" s="20" t="s">
        <v>26</v>
      </c>
      <c r="E126" s="20" t="s">
        <v>2326</v>
      </c>
      <c r="F126" s="20" t="s">
        <v>2335</v>
      </c>
      <c r="G126" s="20" t="s">
        <v>2336</v>
      </c>
      <c r="H126" s="20" t="s">
        <v>2346</v>
      </c>
      <c r="I126" s="33">
        <v>24009</v>
      </c>
      <c r="J126" s="33">
        <v>45805</v>
      </c>
      <c r="K126" s="28">
        <f ca="1">SUMIF(Data!$C$6:$V$29146,A126,Data!$V$6:$V$29146)</f>
        <v>0</v>
      </c>
      <c r="L126" s="28">
        <f t="shared" ca="1" si="1"/>
        <v>0</v>
      </c>
      <c r="M126" s="11" t="s">
        <v>408</v>
      </c>
    </row>
    <row r="127" spans="1:13" x14ac:dyDescent="0.2">
      <c r="A127" s="19" t="s">
        <v>2309</v>
      </c>
      <c r="B127" s="20" t="s">
        <v>2318</v>
      </c>
      <c r="C127" s="20" t="s">
        <v>39</v>
      </c>
      <c r="D127" s="20" t="s">
        <v>26</v>
      </c>
      <c r="E127" s="20" t="s">
        <v>2327</v>
      </c>
      <c r="F127" s="20" t="s">
        <v>2337</v>
      </c>
      <c r="G127" s="20" t="s">
        <v>2336</v>
      </c>
      <c r="H127" s="20" t="s">
        <v>2347</v>
      </c>
      <c r="I127" s="33">
        <v>38136</v>
      </c>
      <c r="J127" s="33">
        <v>45805</v>
      </c>
      <c r="K127" s="28">
        <f ca="1">SUMIF(Data!$C$6:$V$29146,A127,Data!$V$6:$V$29146)</f>
        <v>0</v>
      </c>
      <c r="L127" s="28">
        <f t="shared" ca="1" si="1"/>
        <v>0</v>
      </c>
      <c r="M127" s="11" t="s">
        <v>408</v>
      </c>
    </row>
    <row r="128" spans="1:13" x14ac:dyDescent="0.2">
      <c r="A128" s="20">
        <v>100039107</v>
      </c>
      <c r="B128" s="20" t="s">
        <v>1077</v>
      </c>
      <c r="C128" s="20" t="s">
        <v>39</v>
      </c>
      <c r="D128" s="20" t="s">
        <v>34</v>
      </c>
      <c r="E128" s="20" t="s">
        <v>166</v>
      </c>
      <c r="F128" s="20" t="s">
        <v>547</v>
      </c>
      <c r="G128" s="20" t="s">
        <v>548</v>
      </c>
      <c r="H128" s="20" t="s">
        <v>549</v>
      </c>
      <c r="I128" s="33">
        <v>30224</v>
      </c>
      <c r="J128" s="33">
        <v>43600</v>
      </c>
      <c r="K128" s="28">
        <f ca="1">SUMIF(Data!$C$6:$V$29146,A128,Data!$V$6:$V$29146)</f>
        <v>21.71</v>
      </c>
      <c r="L128" s="28">
        <f t="shared" ca="1" si="1"/>
        <v>5.4275000000000002</v>
      </c>
      <c r="M128" s="11" t="s">
        <v>408</v>
      </c>
    </row>
    <row r="129" spans="1:13" x14ac:dyDescent="0.2">
      <c r="A129" s="20">
        <v>100059905</v>
      </c>
      <c r="B129" s="20" t="s">
        <v>296</v>
      </c>
      <c r="C129" s="20" t="s">
        <v>39</v>
      </c>
      <c r="D129" s="20" t="s">
        <v>32</v>
      </c>
      <c r="E129" s="20" t="s">
        <v>297</v>
      </c>
      <c r="F129" s="20" t="s">
        <v>1092</v>
      </c>
      <c r="G129" s="20" t="s">
        <v>1093</v>
      </c>
      <c r="H129" s="20" t="s">
        <v>551</v>
      </c>
      <c r="I129" s="33">
        <v>32826</v>
      </c>
      <c r="J129" s="33">
        <v>44734</v>
      </c>
      <c r="K129" s="28">
        <f ca="1">SUMIF(Data!$C$6:$V$29146,A129,Data!$V$6:$V$29146)</f>
        <v>0</v>
      </c>
      <c r="L129" s="28">
        <f t="shared" ca="1" si="1"/>
        <v>0</v>
      </c>
      <c r="M129" s="11" t="s">
        <v>408</v>
      </c>
    </row>
    <row r="130" spans="1:13" x14ac:dyDescent="0.2">
      <c r="A130" s="19">
        <v>100064563</v>
      </c>
      <c r="B130" s="20" t="s">
        <v>347</v>
      </c>
      <c r="C130" s="20" t="s">
        <v>39</v>
      </c>
      <c r="D130" s="20" t="s">
        <v>60</v>
      </c>
      <c r="E130" s="20" t="s">
        <v>348</v>
      </c>
      <c r="F130" s="20" t="s">
        <v>552</v>
      </c>
      <c r="G130" s="20" t="s">
        <v>553</v>
      </c>
      <c r="H130" s="20" t="s">
        <v>554</v>
      </c>
      <c r="I130" s="33">
        <v>27059</v>
      </c>
      <c r="J130" s="33">
        <v>44958</v>
      </c>
      <c r="K130" s="28">
        <f ca="1">SUMIF(Data!$C$6:$V$29146,A130,Data!$V$6:$V$29146)</f>
        <v>0</v>
      </c>
      <c r="L130" s="28">
        <f t="shared" ca="1" si="1"/>
        <v>0</v>
      </c>
      <c r="M130" s="11" t="s">
        <v>408</v>
      </c>
    </row>
    <row r="131" spans="1:13" x14ac:dyDescent="0.2">
      <c r="A131" s="19">
        <v>100082231</v>
      </c>
      <c r="B131" s="20" t="s">
        <v>1181</v>
      </c>
      <c r="C131" s="20" t="s">
        <v>39</v>
      </c>
      <c r="D131" s="20" t="s">
        <v>30</v>
      </c>
      <c r="E131" s="20" t="s">
        <v>1182</v>
      </c>
      <c r="F131" s="20" t="s">
        <v>1228</v>
      </c>
      <c r="G131" s="20" t="s">
        <v>562</v>
      </c>
      <c r="H131" s="20" t="s">
        <v>1229</v>
      </c>
      <c r="I131" s="33">
        <v>35610</v>
      </c>
      <c r="J131" s="33">
        <v>45414</v>
      </c>
      <c r="K131" s="28">
        <f ca="1">SUMIF(Data!$C$6:$V$29146,A131,Data!$V$6:$V$29146)</f>
        <v>46.07</v>
      </c>
      <c r="L131" s="28">
        <f t="shared" ca="1" si="1"/>
        <v>11.5175</v>
      </c>
      <c r="M131" s="11" t="s">
        <v>408</v>
      </c>
    </row>
    <row r="132" spans="1:13" x14ac:dyDescent="0.2">
      <c r="A132" s="22">
        <v>100059513</v>
      </c>
      <c r="B132" s="20" t="s">
        <v>305</v>
      </c>
      <c r="C132" s="20" t="s">
        <v>39</v>
      </c>
      <c r="D132" s="20" t="s">
        <v>35</v>
      </c>
      <c r="E132" s="20" t="s">
        <v>306</v>
      </c>
      <c r="F132" s="20" t="s">
        <v>555</v>
      </c>
      <c r="G132" s="20" t="s">
        <v>556</v>
      </c>
      <c r="H132" s="20" t="s">
        <v>557</v>
      </c>
      <c r="I132" s="33">
        <v>27821</v>
      </c>
      <c r="J132" s="33">
        <v>44735</v>
      </c>
      <c r="K132" s="28">
        <f ca="1">SUMIF(Data!$C$6:$V$29146,A132,Data!$V$6:$V$29146)</f>
        <v>0</v>
      </c>
      <c r="L132" s="28">
        <f t="shared" ca="1" si="1"/>
        <v>0</v>
      </c>
      <c r="M132" s="11" t="s">
        <v>408</v>
      </c>
    </row>
    <row r="133" spans="1:13" x14ac:dyDescent="0.2">
      <c r="A133" s="19" t="s">
        <v>1598</v>
      </c>
      <c r="B133" s="20" t="s">
        <v>1650</v>
      </c>
      <c r="C133" s="20" t="s">
        <v>39</v>
      </c>
      <c r="D133" s="20" t="s">
        <v>29</v>
      </c>
      <c r="E133" s="20" t="s">
        <v>1702</v>
      </c>
      <c r="F133" s="20" t="s">
        <v>1753</v>
      </c>
      <c r="G133" s="20" t="s">
        <v>544</v>
      </c>
      <c r="H133" s="20" t="s">
        <v>1808</v>
      </c>
      <c r="I133" s="33">
        <v>31478</v>
      </c>
      <c r="J133" s="33">
        <v>45688</v>
      </c>
      <c r="K133" s="28">
        <f ca="1">SUMIF(Data!$C$6:$V$29146,A133,Data!$V$6:$V$29146)</f>
        <v>7.16</v>
      </c>
      <c r="L133" s="28">
        <f t="shared" ref="L133:L196" ca="1" si="2">IFERROR(K133*0.25,"")</f>
        <v>1.79</v>
      </c>
      <c r="M133" s="11" t="s">
        <v>408</v>
      </c>
    </row>
    <row r="134" spans="1:13" x14ac:dyDescent="0.2">
      <c r="A134" s="19">
        <v>100068471</v>
      </c>
      <c r="B134" s="20" t="s">
        <v>1124</v>
      </c>
      <c r="C134" s="20" t="s">
        <v>39</v>
      </c>
      <c r="D134" s="20" t="s">
        <v>35</v>
      </c>
      <c r="E134" s="20" t="s">
        <v>1125</v>
      </c>
      <c r="F134" s="20" t="s">
        <v>1126</v>
      </c>
      <c r="G134" s="20" t="s">
        <v>1127</v>
      </c>
      <c r="H134" s="20" t="s">
        <v>1128</v>
      </c>
      <c r="I134" s="33">
        <v>28282</v>
      </c>
      <c r="J134" s="33">
        <v>45050</v>
      </c>
      <c r="K134" s="28">
        <f ca="1">SUMIF(Data!$C$6:$V$29146,A134,Data!$V$6:$V$29146)</f>
        <v>0</v>
      </c>
      <c r="L134" s="28">
        <f t="shared" ca="1" si="2"/>
        <v>0</v>
      </c>
      <c r="M134" s="11" t="s">
        <v>408</v>
      </c>
    </row>
    <row r="135" spans="1:13" x14ac:dyDescent="0.2">
      <c r="A135" s="19" t="s">
        <v>1599</v>
      </c>
      <c r="B135" s="20" t="s">
        <v>1651</v>
      </c>
      <c r="C135" s="20" t="s">
        <v>39</v>
      </c>
      <c r="D135" s="20" t="s">
        <v>30</v>
      </c>
      <c r="E135" s="20" t="s">
        <v>1703</v>
      </c>
      <c r="F135" s="20" t="s">
        <v>1754</v>
      </c>
      <c r="G135" s="20" t="s">
        <v>448</v>
      </c>
      <c r="H135" s="20" t="s">
        <v>1809</v>
      </c>
      <c r="I135" s="33">
        <v>37845</v>
      </c>
      <c r="J135" s="33">
        <v>45688</v>
      </c>
      <c r="K135" s="28">
        <f ca="1">SUMIF(Data!$C$6:$V$29146,A135,Data!$V$6:$V$29146)</f>
        <v>0</v>
      </c>
      <c r="L135" s="28">
        <f t="shared" ca="1" si="2"/>
        <v>0</v>
      </c>
      <c r="M135" s="11" t="s">
        <v>408</v>
      </c>
    </row>
    <row r="136" spans="1:13" x14ac:dyDescent="0.2">
      <c r="A136" s="21">
        <v>100059828</v>
      </c>
      <c r="B136" s="20" t="s">
        <v>317</v>
      </c>
      <c r="C136" s="20" t="s">
        <v>39</v>
      </c>
      <c r="D136" s="20" t="s">
        <v>32</v>
      </c>
      <c r="E136" s="20" t="s">
        <v>318</v>
      </c>
      <c r="F136" s="20" t="s">
        <v>558</v>
      </c>
      <c r="G136" s="20" t="s">
        <v>559</v>
      </c>
      <c r="H136" s="20" t="s">
        <v>560</v>
      </c>
      <c r="I136" s="33">
        <v>33183</v>
      </c>
      <c r="J136" s="33">
        <v>44742</v>
      </c>
      <c r="K136" s="28">
        <f ca="1">SUMIF(Data!$C$6:$V$29146,A136,Data!$V$6:$V$29146)</f>
        <v>0</v>
      </c>
      <c r="L136" s="28">
        <f t="shared" ca="1" si="2"/>
        <v>0</v>
      </c>
      <c r="M136" s="11" t="s">
        <v>408</v>
      </c>
    </row>
    <row r="137" spans="1:13" x14ac:dyDescent="0.2">
      <c r="A137" s="19">
        <v>100035886</v>
      </c>
      <c r="B137" s="20" t="s">
        <v>130</v>
      </c>
      <c r="C137" s="20" t="s">
        <v>39</v>
      </c>
      <c r="D137" s="20" t="s">
        <v>34</v>
      </c>
      <c r="E137" s="20" t="s">
        <v>131</v>
      </c>
      <c r="F137" s="20" t="s">
        <v>561</v>
      </c>
      <c r="G137" s="20" t="s">
        <v>562</v>
      </c>
      <c r="H137" s="20" t="s">
        <v>563</v>
      </c>
      <c r="I137" s="33">
        <v>36466</v>
      </c>
      <c r="J137" s="33">
        <v>43447</v>
      </c>
      <c r="K137" s="28">
        <f ca="1">SUMIF(Data!$C$6:$V$29146,A137,Data!$V$6:$V$29146)</f>
        <v>0</v>
      </c>
      <c r="L137" s="28">
        <f t="shared" ca="1" si="2"/>
        <v>0</v>
      </c>
      <c r="M137" s="11" t="s">
        <v>408</v>
      </c>
    </row>
    <row r="138" spans="1:13" x14ac:dyDescent="0.2">
      <c r="A138" s="20">
        <v>100087266</v>
      </c>
      <c r="B138" s="20" t="s">
        <v>1575</v>
      </c>
      <c r="C138" s="20" t="s">
        <v>39</v>
      </c>
      <c r="D138" s="20" t="s">
        <v>36</v>
      </c>
      <c r="E138" s="20" t="s">
        <v>1576</v>
      </c>
      <c r="F138" s="20" t="s">
        <v>1577</v>
      </c>
      <c r="G138" s="20" t="s">
        <v>601</v>
      </c>
      <c r="H138" s="20" t="s">
        <v>1578</v>
      </c>
      <c r="I138" s="33">
        <v>37724</v>
      </c>
      <c r="J138" s="33">
        <v>45546</v>
      </c>
      <c r="K138" s="28">
        <f ca="1">SUMIF(Data!$C$6:$V$29146,A138,Data!$V$6:$V$29146)</f>
        <v>0</v>
      </c>
      <c r="L138" s="28">
        <f t="shared" ca="1" si="2"/>
        <v>0</v>
      </c>
      <c r="M138" s="11" t="s">
        <v>408</v>
      </c>
    </row>
    <row r="139" spans="1:13" x14ac:dyDescent="0.2">
      <c r="A139" s="19" t="s">
        <v>1600</v>
      </c>
      <c r="B139" s="20" t="s">
        <v>1652</v>
      </c>
      <c r="C139" s="20" t="s">
        <v>39</v>
      </c>
      <c r="D139" s="20" t="s">
        <v>35</v>
      </c>
      <c r="E139" s="20" t="s">
        <v>1704</v>
      </c>
      <c r="F139" s="20" t="s">
        <v>1755</v>
      </c>
      <c r="G139" s="20" t="s">
        <v>752</v>
      </c>
      <c r="H139" s="20" t="s">
        <v>1810</v>
      </c>
      <c r="I139" s="33">
        <v>31242</v>
      </c>
      <c r="J139" s="33">
        <v>45688</v>
      </c>
      <c r="K139" s="28">
        <f ca="1">SUMIF(Data!$C$6:$V$29146,A139,Data!$V$6:$V$29146)</f>
        <v>0</v>
      </c>
      <c r="L139" s="28">
        <f t="shared" ca="1" si="2"/>
        <v>0</v>
      </c>
      <c r="M139" s="11" t="s">
        <v>408</v>
      </c>
    </row>
    <row r="140" spans="1:13" x14ac:dyDescent="0.2">
      <c r="A140" s="19">
        <v>100084241</v>
      </c>
      <c r="B140" s="20" t="s">
        <v>1277</v>
      </c>
      <c r="C140" s="20" t="s">
        <v>39</v>
      </c>
      <c r="D140" s="20" t="s">
        <v>23</v>
      </c>
      <c r="E140" s="20" t="s">
        <v>1278</v>
      </c>
      <c r="F140" s="20" t="s">
        <v>1344</v>
      </c>
      <c r="G140" s="20" t="s">
        <v>448</v>
      </c>
      <c r="H140" s="20" t="s">
        <v>1345</v>
      </c>
      <c r="I140" s="33">
        <v>37983</v>
      </c>
      <c r="J140" s="33">
        <v>45456</v>
      </c>
      <c r="K140" s="28">
        <f ca="1">SUMIF(Data!$C$6:$V$29146,A140,Data!$V$6:$V$29146)</f>
        <v>0</v>
      </c>
      <c r="L140" s="28">
        <f t="shared" ca="1" si="2"/>
        <v>0</v>
      </c>
      <c r="M140" s="11" t="s">
        <v>408</v>
      </c>
    </row>
    <row r="141" spans="1:13" x14ac:dyDescent="0.2">
      <c r="A141" s="20">
        <v>100087273</v>
      </c>
      <c r="B141" s="20" t="s">
        <v>1571</v>
      </c>
      <c r="C141" s="20" t="s">
        <v>39</v>
      </c>
      <c r="D141" s="20" t="s">
        <v>25</v>
      </c>
      <c r="E141" s="20" t="s">
        <v>1572</v>
      </c>
      <c r="F141" s="20" t="s">
        <v>1573</v>
      </c>
      <c r="G141" s="20" t="s">
        <v>578</v>
      </c>
      <c r="H141" s="20" t="s">
        <v>1574</v>
      </c>
      <c r="I141" s="33">
        <v>37111</v>
      </c>
      <c r="J141" s="33">
        <v>45546</v>
      </c>
      <c r="K141" s="28">
        <f ca="1">SUMIF(Data!$C$6:$V$29146,A141,Data!$V$6:$V$29146)</f>
        <v>0</v>
      </c>
      <c r="L141" s="28">
        <f t="shared" ca="1" si="2"/>
        <v>0</v>
      </c>
      <c r="M141" s="11" t="s">
        <v>408</v>
      </c>
    </row>
    <row r="142" spans="1:13" x14ac:dyDescent="0.2">
      <c r="A142" s="19" t="s">
        <v>2037</v>
      </c>
      <c r="B142" s="20" t="s">
        <v>2038</v>
      </c>
      <c r="C142" s="20" t="s">
        <v>39</v>
      </c>
      <c r="D142" s="20" t="s">
        <v>30</v>
      </c>
      <c r="E142" s="20" t="s">
        <v>2039</v>
      </c>
      <c r="F142" s="20" t="s">
        <v>2040</v>
      </c>
      <c r="G142" s="20" t="s">
        <v>2041</v>
      </c>
      <c r="H142" s="20" t="s">
        <v>2042</v>
      </c>
      <c r="I142" s="33">
        <v>36026</v>
      </c>
      <c r="J142" s="33">
        <v>45785</v>
      </c>
      <c r="K142" s="28">
        <f ca="1">SUMIF(Data!$C$6:$V$29146,A142,Data!$V$6:$V$29146)</f>
        <v>0</v>
      </c>
      <c r="L142" s="28">
        <f t="shared" ca="1" si="2"/>
        <v>0</v>
      </c>
      <c r="M142" s="11" t="s">
        <v>408</v>
      </c>
    </row>
    <row r="143" spans="1:13" x14ac:dyDescent="0.2">
      <c r="A143" s="19">
        <v>100041253</v>
      </c>
      <c r="B143" s="20" t="s">
        <v>188</v>
      </c>
      <c r="C143" s="20" t="s">
        <v>39</v>
      </c>
      <c r="D143" s="20" t="s">
        <v>32</v>
      </c>
      <c r="E143" s="20" t="s">
        <v>189</v>
      </c>
      <c r="F143" s="20" t="s">
        <v>564</v>
      </c>
      <c r="G143" s="20" t="s">
        <v>565</v>
      </c>
      <c r="H143" s="20" t="s">
        <v>566</v>
      </c>
      <c r="I143" s="33">
        <v>33124</v>
      </c>
      <c r="J143" s="33">
        <v>43677</v>
      </c>
      <c r="K143" s="28">
        <f ca="1">SUMIF(Data!$C$6:$V$29146,A143,Data!$V$6:$V$29146)</f>
        <v>0</v>
      </c>
      <c r="L143" s="28">
        <f t="shared" ca="1" si="2"/>
        <v>0</v>
      </c>
      <c r="M143" s="11" t="s">
        <v>408</v>
      </c>
    </row>
    <row r="144" spans="1:13" x14ac:dyDescent="0.2">
      <c r="A144" s="19">
        <v>100071802</v>
      </c>
      <c r="B144" s="20" t="s">
        <v>1129</v>
      </c>
      <c r="C144" s="20" t="s">
        <v>39</v>
      </c>
      <c r="D144" s="20" t="s">
        <v>30</v>
      </c>
      <c r="E144" s="20" t="s">
        <v>1130</v>
      </c>
      <c r="F144" s="20" t="s">
        <v>1131</v>
      </c>
      <c r="G144" s="20" t="s">
        <v>777</v>
      </c>
      <c r="H144" s="20">
        <v>0</v>
      </c>
      <c r="I144" s="33">
        <v>37812</v>
      </c>
      <c r="J144" s="33">
        <v>45112</v>
      </c>
      <c r="K144" s="28">
        <f ca="1">SUMIF(Data!$C$6:$V$29146,A144,Data!$V$6:$V$29146)</f>
        <v>0</v>
      </c>
      <c r="L144" s="28">
        <f t="shared" ca="1" si="2"/>
        <v>0</v>
      </c>
      <c r="M144" s="11" t="s">
        <v>408</v>
      </c>
    </row>
    <row r="145" spans="1:13" x14ac:dyDescent="0.2">
      <c r="A145" s="19">
        <v>100054220</v>
      </c>
      <c r="B145" s="20" t="s">
        <v>256</v>
      </c>
      <c r="C145" s="20" t="s">
        <v>39</v>
      </c>
      <c r="D145" s="20" t="s">
        <v>32</v>
      </c>
      <c r="E145" s="20" t="s">
        <v>257</v>
      </c>
      <c r="F145" s="20" t="s">
        <v>567</v>
      </c>
      <c r="G145" s="20" t="s">
        <v>413</v>
      </c>
      <c r="H145" s="20" t="s">
        <v>568</v>
      </c>
      <c r="I145" s="33">
        <v>34309</v>
      </c>
      <c r="J145" s="33">
        <v>44591</v>
      </c>
      <c r="K145" s="28">
        <f ca="1">SUMIF(Data!$C$6:$V$29146,A145,Data!$V$6:$V$29146)</f>
        <v>0</v>
      </c>
      <c r="L145" s="28">
        <f t="shared" ca="1" si="2"/>
        <v>0</v>
      </c>
      <c r="M145" s="11" t="s">
        <v>408</v>
      </c>
    </row>
    <row r="146" spans="1:13" x14ac:dyDescent="0.2">
      <c r="A146" s="19" t="s">
        <v>1601</v>
      </c>
      <c r="B146" s="20" t="s">
        <v>1653</v>
      </c>
      <c r="C146" s="20" t="s">
        <v>39</v>
      </c>
      <c r="D146" s="20" t="s">
        <v>30</v>
      </c>
      <c r="E146" s="20" t="s">
        <v>1705</v>
      </c>
      <c r="F146" s="20" t="s">
        <v>1756</v>
      </c>
      <c r="G146" s="20" t="s">
        <v>773</v>
      </c>
      <c r="H146" s="20" t="s">
        <v>1811</v>
      </c>
      <c r="I146" s="33">
        <v>29627</v>
      </c>
      <c r="J146" s="33">
        <v>45688</v>
      </c>
      <c r="K146" s="28">
        <f ca="1">SUMIF(Data!$C$6:$V$29146,A146,Data!$V$6:$V$29146)</f>
        <v>0</v>
      </c>
      <c r="L146" s="28">
        <f t="shared" ca="1" si="2"/>
        <v>0</v>
      </c>
      <c r="M146" s="11" t="s">
        <v>408</v>
      </c>
    </row>
    <row r="147" spans="1:13" x14ac:dyDescent="0.2">
      <c r="A147" s="19">
        <v>100059833</v>
      </c>
      <c r="B147" s="20" t="s">
        <v>319</v>
      </c>
      <c r="C147" s="20" t="s">
        <v>39</v>
      </c>
      <c r="D147" s="20" t="s">
        <v>47</v>
      </c>
      <c r="E147" s="20" t="s">
        <v>320</v>
      </c>
      <c r="F147" s="20" t="s">
        <v>569</v>
      </c>
      <c r="G147" s="20" t="s">
        <v>570</v>
      </c>
      <c r="H147" s="20" t="s">
        <v>571</v>
      </c>
      <c r="I147" s="33">
        <v>38141</v>
      </c>
      <c r="J147" s="33">
        <v>44742</v>
      </c>
      <c r="K147" s="28">
        <f ca="1">SUMIF(Data!$C$6:$V$29146,A147,Data!$V$6:$V$29146)</f>
        <v>0</v>
      </c>
      <c r="L147" s="28">
        <f t="shared" ca="1" si="2"/>
        <v>0</v>
      </c>
      <c r="M147" s="11" t="s">
        <v>408</v>
      </c>
    </row>
    <row r="148" spans="1:13" x14ac:dyDescent="0.2">
      <c r="A148" s="19" t="s">
        <v>2043</v>
      </c>
      <c r="B148" s="20" t="s">
        <v>2044</v>
      </c>
      <c r="C148" s="20" t="s">
        <v>39</v>
      </c>
      <c r="D148" s="20" t="s">
        <v>47</v>
      </c>
      <c r="E148" s="20" t="s">
        <v>2045</v>
      </c>
      <c r="F148" s="20" t="s">
        <v>2046</v>
      </c>
      <c r="G148" s="20" t="s">
        <v>2047</v>
      </c>
      <c r="H148" s="20" t="s">
        <v>2048</v>
      </c>
      <c r="I148" s="33">
        <v>39012</v>
      </c>
      <c r="J148" s="33">
        <v>45785</v>
      </c>
      <c r="K148" s="28">
        <f ca="1">SUMIF(Data!$C$6:$V$29146,A148,Data!$V$6:$V$29146)</f>
        <v>0</v>
      </c>
      <c r="L148" s="28">
        <f t="shared" ca="1" si="2"/>
        <v>0</v>
      </c>
      <c r="M148" s="11" t="s">
        <v>408</v>
      </c>
    </row>
    <row r="149" spans="1:13" x14ac:dyDescent="0.2">
      <c r="A149" s="19" t="s">
        <v>2049</v>
      </c>
      <c r="B149" s="20" t="s">
        <v>2050</v>
      </c>
      <c r="C149" s="20" t="s">
        <v>39</v>
      </c>
      <c r="D149" s="20" t="s">
        <v>47</v>
      </c>
      <c r="E149" s="20" t="s">
        <v>2051</v>
      </c>
      <c r="F149" s="20" t="s">
        <v>2052</v>
      </c>
      <c r="G149" s="20" t="s">
        <v>1778</v>
      </c>
      <c r="H149" s="20" t="s">
        <v>2053</v>
      </c>
      <c r="I149" s="33">
        <v>38240</v>
      </c>
      <c r="J149" s="33">
        <v>45785</v>
      </c>
      <c r="K149" s="28">
        <f ca="1">SUMIF(Data!$C$6:$V$29146,A149,Data!$V$6:$V$29146)</f>
        <v>0</v>
      </c>
      <c r="L149" s="28">
        <f t="shared" ca="1" si="2"/>
        <v>0</v>
      </c>
      <c r="M149" s="11" t="s">
        <v>408</v>
      </c>
    </row>
    <row r="150" spans="1:13" x14ac:dyDescent="0.2">
      <c r="A150" s="19" t="s">
        <v>2054</v>
      </c>
      <c r="B150" s="20" t="s">
        <v>2055</v>
      </c>
      <c r="C150" s="20" t="s">
        <v>39</v>
      </c>
      <c r="D150" s="20" t="s">
        <v>60</v>
      </c>
      <c r="E150" s="20" t="s">
        <v>2056</v>
      </c>
      <c r="F150" s="20" t="s">
        <v>2057</v>
      </c>
      <c r="G150" s="20" t="s">
        <v>448</v>
      </c>
      <c r="H150" s="20" t="s">
        <v>2058</v>
      </c>
      <c r="I150" s="33">
        <v>36644</v>
      </c>
      <c r="J150" s="33">
        <v>45785</v>
      </c>
      <c r="K150" s="28">
        <f ca="1">SUMIF(Data!$C$6:$V$29146,A150,Data!$V$6:$V$29146)</f>
        <v>0</v>
      </c>
      <c r="L150" s="28">
        <f t="shared" ca="1" si="2"/>
        <v>0</v>
      </c>
      <c r="M150" s="11" t="s">
        <v>408</v>
      </c>
    </row>
    <row r="151" spans="1:13" x14ac:dyDescent="0.2">
      <c r="A151" s="19" t="s">
        <v>2059</v>
      </c>
      <c r="B151" s="20" t="s">
        <v>2060</v>
      </c>
      <c r="C151" s="20" t="s">
        <v>39</v>
      </c>
      <c r="D151" s="20" t="s">
        <v>47</v>
      </c>
      <c r="E151" s="20" t="s">
        <v>2061</v>
      </c>
      <c r="F151" s="20" t="s">
        <v>2062</v>
      </c>
      <c r="G151" s="20" t="s">
        <v>633</v>
      </c>
      <c r="H151" s="20" t="s">
        <v>2063</v>
      </c>
      <c r="I151" s="33">
        <v>31005</v>
      </c>
      <c r="J151" s="33">
        <v>45785</v>
      </c>
      <c r="K151" s="28">
        <f ca="1">SUMIF(Data!$C$6:$V$29146,A151,Data!$V$6:$V$29146)</f>
        <v>0</v>
      </c>
      <c r="L151" s="28">
        <f t="shared" ca="1" si="2"/>
        <v>0</v>
      </c>
      <c r="M151" s="11" t="s">
        <v>408</v>
      </c>
    </row>
    <row r="152" spans="1:13" x14ac:dyDescent="0.2">
      <c r="A152" s="19" t="s">
        <v>2064</v>
      </c>
      <c r="B152" s="20" t="s">
        <v>2065</v>
      </c>
      <c r="C152" s="20" t="s">
        <v>39</v>
      </c>
      <c r="D152" s="20" t="s">
        <v>60</v>
      </c>
      <c r="E152" s="20" t="s">
        <v>2066</v>
      </c>
      <c r="F152" s="20" t="s">
        <v>2067</v>
      </c>
      <c r="G152" s="20" t="s">
        <v>448</v>
      </c>
      <c r="H152" s="20"/>
      <c r="I152" s="33">
        <v>38502</v>
      </c>
      <c r="J152" s="33">
        <v>45785</v>
      </c>
      <c r="K152" s="28">
        <f ca="1">SUMIF(Data!$C$6:$V$29146,A152,Data!$V$6:$V$29146)</f>
        <v>15.540000000000001</v>
      </c>
      <c r="L152" s="28">
        <f t="shared" ca="1" si="2"/>
        <v>3.8850000000000002</v>
      </c>
      <c r="M152" s="11" t="s">
        <v>408</v>
      </c>
    </row>
    <row r="153" spans="1:13" x14ac:dyDescent="0.2">
      <c r="A153" s="20">
        <v>100087235</v>
      </c>
      <c r="B153" s="20" t="s">
        <v>1536</v>
      </c>
      <c r="C153" s="20" t="s">
        <v>39</v>
      </c>
      <c r="D153" s="20" t="s">
        <v>135</v>
      </c>
      <c r="E153" s="20" t="s">
        <v>1537</v>
      </c>
      <c r="F153" s="20" t="s">
        <v>1538</v>
      </c>
      <c r="G153" s="20" t="s">
        <v>940</v>
      </c>
      <c r="H153" s="20" t="s">
        <v>1539</v>
      </c>
      <c r="I153" s="33">
        <v>36699</v>
      </c>
      <c r="J153" s="33">
        <v>45546</v>
      </c>
      <c r="K153" s="28">
        <f ca="1">SUMIF(Data!$C$6:$V$29146,A153,Data!$V$6:$V$29146)</f>
        <v>0</v>
      </c>
      <c r="L153" s="28">
        <f t="shared" ca="1" si="2"/>
        <v>0</v>
      </c>
      <c r="M153" s="11" t="s">
        <v>408</v>
      </c>
    </row>
    <row r="154" spans="1:13" x14ac:dyDescent="0.2">
      <c r="A154" s="19">
        <v>100044886</v>
      </c>
      <c r="B154" s="20" t="s">
        <v>198</v>
      </c>
      <c r="C154" s="20" t="s">
        <v>39</v>
      </c>
      <c r="D154" s="20" t="s">
        <v>47</v>
      </c>
      <c r="E154" s="20" t="s">
        <v>199</v>
      </c>
      <c r="F154" s="20" t="s">
        <v>572</v>
      </c>
      <c r="G154" s="20" t="s">
        <v>425</v>
      </c>
      <c r="H154" s="20" t="s">
        <v>573</v>
      </c>
      <c r="I154" s="33">
        <v>32658</v>
      </c>
      <c r="J154" s="33">
        <v>43887</v>
      </c>
      <c r="K154" s="28">
        <f ca="1">SUMIF(Data!$C$6:$V$29146,A154,Data!$V$6:$V$29146)</f>
        <v>0</v>
      </c>
      <c r="L154" s="28">
        <f t="shared" ca="1" si="2"/>
        <v>0</v>
      </c>
      <c r="M154" s="11" t="s">
        <v>408</v>
      </c>
    </row>
    <row r="155" spans="1:13" x14ac:dyDescent="0.2">
      <c r="A155" s="19" t="s">
        <v>2068</v>
      </c>
      <c r="B155" s="20" t="s">
        <v>2069</v>
      </c>
      <c r="C155" s="20" t="s">
        <v>39</v>
      </c>
      <c r="D155" s="20" t="s">
        <v>26</v>
      </c>
      <c r="E155" s="20" t="s">
        <v>2070</v>
      </c>
      <c r="F155" s="20" t="s">
        <v>2071</v>
      </c>
      <c r="G155" s="20" t="s">
        <v>2072</v>
      </c>
      <c r="H155" s="20" t="s">
        <v>2073</v>
      </c>
      <c r="I155" s="33">
        <v>37757</v>
      </c>
      <c r="J155" s="33">
        <v>45785</v>
      </c>
      <c r="K155" s="28">
        <f ca="1">SUMIF(Data!$C$6:$V$29146,A155,Data!$V$6:$V$29146)</f>
        <v>0</v>
      </c>
      <c r="L155" s="28">
        <f t="shared" ca="1" si="2"/>
        <v>0</v>
      </c>
      <c r="M155" s="11" t="s">
        <v>408</v>
      </c>
    </row>
    <row r="156" spans="1:13" x14ac:dyDescent="0.2">
      <c r="A156" s="19">
        <v>100090870</v>
      </c>
      <c r="B156" s="20" t="s">
        <v>1852</v>
      </c>
      <c r="C156" s="20" t="s">
        <v>39</v>
      </c>
      <c r="D156" s="20" t="s">
        <v>29</v>
      </c>
      <c r="E156" s="20" t="s">
        <v>1869</v>
      </c>
      <c r="F156" s="20" t="s">
        <v>1885</v>
      </c>
      <c r="G156" s="20" t="s">
        <v>1886</v>
      </c>
      <c r="H156" s="20" t="s">
        <v>1902</v>
      </c>
      <c r="I156" s="33">
        <v>31622</v>
      </c>
      <c r="J156" s="33">
        <v>45736</v>
      </c>
      <c r="K156" s="28">
        <f ca="1">SUMIF(Data!$C$6:$V$29146,A156,Data!$V$6:$V$29146)</f>
        <v>0</v>
      </c>
      <c r="L156" s="28">
        <f t="shared" ca="1" si="2"/>
        <v>0</v>
      </c>
      <c r="M156" s="11" t="s">
        <v>408</v>
      </c>
    </row>
    <row r="157" spans="1:13" x14ac:dyDescent="0.2">
      <c r="A157" s="19">
        <v>100035605</v>
      </c>
      <c r="B157" s="20" t="s">
        <v>126</v>
      </c>
      <c r="C157" s="20" t="s">
        <v>39</v>
      </c>
      <c r="D157" s="20" t="s">
        <v>34</v>
      </c>
      <c r="E157" s="20" t="s">
        <v>127</v>
      </c>
      <c r="F157" s="20" t="s">
        <v>574</v>
      </c>
      <c r="G157" s="20" t="s">
        <v>412</v>
      </c>
      <c r="H157" s="20" t="s">
        <v>575</v>
      </c>
      <c r="I157" s="33">
        <v>36799</v>
      </c>
      <c r="J157" s="33">
        <v>43391</v>
      </c>
      <c r="K157" s="28">
        <f ca="1">SUMIF(Data!$C$6:$V$29146,A157,Data!$V$6:$V$29146)</f>
        <v>101.63999999999999</v>
      </c>
      <c r="L157" s="28">
        <f t="shared" ca="1" si="2"/>
        <v>25.409999999999997</v>
      </c>
      <c r="M157" s="11" t="s">
        <v>408</v>
      </c>
    </row>
    <row r="158" spans="1:13" x14ac:dyDescent="0.2">
      <c r="A158" s="19">
        <v>100064800</v>
      </c>
      <c r="B158" s="20" t="s">
        <v>1099</v>
      </c>
      <c r="C158" s="20" t="s">
        <v>39</v>
      </c>
      <c r="D158" s="20" t="s">
        <v>26</v>
      </c>
      <c r="E158" s="20" t="s">
        <v>367</v>
      </c>
      <c r="F158" s="20" t="s">
        <v>576</v>
      </c>
      <c r="G158" s="20" t="s">
        <v>412</v>
      </c>
      <c r="H158" s="20" t="s">
        <v>577</v>
      </c>
      <c r="I158" s="33">
        <v>34304</v>
      </c>
      <c r="J158" s="33">
        <v>44965</v>
      </c>
      <c r="K158" s="28">
        <f ca="1">SUMIF(Data!$C$6:$V$29146,A158,Data!$V$6:$V$29146)</f>
        <v>79.949999999999989</v>
      </c>
      <c r="L158" s="28">
        <f t="shared" ca="1" si="2"/>
        <v>19.987499999999997</v>
      </c>
      <c r="M158" s="11" t="s">
        <v>408</v>
      </c>
    </row>
    <row r="159" spans="1:13" x14ac:dyDescent="0.2">
      <c r="A159" s="19" t="s">
        <v>2074</v>
      </c>
      <c r="B159" s="20" t="s">
        <v>2075</v>
      </c>
      <c r="C159" s="20" t="s">
        <v>39</v>
      </c>
      <c r="D159" s="20" t="s">
        <v>60</v>
      </c>
      <c r="E159" s="20" t="s">
        <v>2076</v>
      </c>
      <c r="F159" s="20" t="s">
        <v>2077</v>
      </c>
      <c r="G159" s="20" t="s">
        <v>2078</v>
      </c>
      <c r="H159" s="20" t="s">
        <v>2079</v>
      </c>
      <c r="I159" s="33">
        <v>29855</v>
      </c>
      <c r="J159" s="33">
        <v>45785</v>
      </c>
      <c r="K159" s="28">
        <f ca="1">SUMIF(Data!$C$6:$V$29146,A159,Data!$V$6:$V$29146)</f>
        <v>0</v>
      </c>
      <c r="L159" s="28">
        <f t="shared" ca="1" si="2"/>
        <v>0</v>
      </c>
      <c r="M159" s="11" t="s">
        <v>408</v>
      </c>
    </row>
    <row r="160" spans="1:13" x14ac:dyDescent="0.2">
      <c r="A160" s="19">
        <v>100072246</v>
      </c>
      <c r="B160" s="20" t="s">
        <v>1132</v>
      </c>
      <c r="C160" s="20" t="s">
        <v>39</v>
      </c>
      <c r="D160" s="20" t="s">
        <v>30</v>
      </c>
      <c r="E160" s="20" t="s">
        <v>1133</v>
      </c>
      <c r="F160" s="20" t="s">
        <v>1134</v>
      </c>
      <c r="G160" s="20" t="s">
        <v>434</v>
      </c>
      <c r="H160" s="20" t="s">
        <v>1135</v>
      </c>
      <c r="I160" s="33">
        <v>23216</v>
      </c>
      <c r="J160" s="33">
        <v>45126</v>
      </c>
      <c r="K160" s="28">
        <f ca="1">SUMIF(Data!$C$6:$V$29146,A160,Data!$V$6:$V$29146)</f>
        <v>0</v>
      </c>
      <c r="L160" s="28">
        <f t="shared" ca="1" si="2"/>
        <v>0</v>
      </c>
      <c r="M160" s="11" t="s">
        <v>408</v>
      </c>
    </row>
    <row r="161" spans="1:13" x14ac:dyDescent="0.2">
      <c r="A161" s="19">
        <v>100074390</v>
      </c>
      <c r="B161" s="20" t="s">
        <v>919</v>
      </c>
      <c r="C161" s="20" t="s">
        <v>39</v>
      </c>
      <c r="D161" s="20" t="s">
        <v>32</v>
      </c>
      <c r="E161" s="20" t="s">
        <v>920</v>
      </c>
      <c r="F161" s="20" t="s">
        <v>1111</v>
      </c>
      <c r="G161" s="20" t="s">
        <v>444</v>
      </c>
      <c r="H161" s="20" t="s">
        <v>921</v>
      </c>
      <c r="I161" s="33">
        <v>36338</v>
      </c>
      <c r="J161" s="33">
        <v>45189</v>
      </c>
      <c r="K161" s="28">
        <f ca="1">SUMIF(Data!$C$6:$V$29146,A161,Data!$V$6:$V$29146)</f>
        <v>0</v>
      </c>
      <c r="L161" s="28">
        <f t="shared" ca="1" si="2"/>
        <v>0</v>
      </c>
      <c r="M161" s="11" t="s">
        <v>408</v>
      </c>
    </row>
    <row r="162" spans="1:13" x14ac:dyDescent="0.2">
      <c r="A162" s="19">
        <v>100073271</v>
      </c>
      <c r="B162" s="20" t="s">
        <v>1107</v>
      </c>
      <c r="C162" s="20" t="s">
        <v>39</v>
      </c>
      <c r="D162" s="20" t="s">
        <v>28</v>
      </c>
      <c r="E162" s="20" t="s">
        <v>850</v>
      </c>
      <c r="F162" s="20" t="s">
        <v>851</v>
      </c>
      <c r="G162" s="20" t="s">
        <v>423</v>
      </c>
      <c r="H162" s="20" t="s">
        <v>852</v>
      </c>
      <c r="I162" s="33">
        <v>31465</v>
      </c>
      <c r="J162" s="33">
        <v>45154</v>
      </c>
      <c r="K162" s="28">
        <f ca="1">SUMIF(Data!$C$6:$V$29146,A162,Data!$V$6:$V$29146)</f>
        <v>86.970000000000013</v>
      </c>
      <c r="L162" s="28">
        <f t="shared" ca="1" si="2"/>
        <v>21.742500000000003</v>
      </c>
      <c r="M162" s="11" t="s">
        <v>408</v>
      </c>
    </row>
    <row r="163" spans="1:13" x14ac:dyDescent="0.2">
      <c r="A163" s="19">
        <v>100052648</v>
      </c>
      <c r="B163" s="20" t="s">
        <v>238</v>
      </c>
      <c r="C163" s="20" t="s">
        <v>39</v>
      </c>
      <c r="D163" s="20" t="s">
        <v>23</v>
      </c>
      <c r="E163" s="20" t="s">
        <v>239</v>
      </c>
      <c r="F163" s="20" t="s">
        <v>581</v>
      </c>
      <c r="G163" s="20" t="s">
        <v>425</v>
      </c>
      <c r="H163" s="20" t="s">
        <v>582</v>
      </c>
      <c r="I163" s="33">
        <v>37065</v>
      </c>
      <c r="J163" s="33">
        <v>44479</v>
      </c>
      <c r="K163" s="28">
        <f ca="1">SUMIF(Data!$C$6:$V$29146,A163,Data!$V$6:$V$29146)</f>
        <v>0</v>
      </c>
      <c r="L163" s="28">
        <f t="shared" ca="1" si="2"/>
        <v>0</v>
      </c>
      <c r="M163" s="11" t="s">
        <v>408</v>
      </c>
    </row>
    <row r="164" spans="1:13" x14ac:dyDescent="0.2">
      <c r="A164" s="19">
        <v>100090858</v>
      </c>
      <c r="B164" s="20" t="s">
        <v>1853</v>
      </c>
      <c r="C164" s="20" t="s">
        <v>39</v>
      </c>
      <c r="D164" s="20" t="s">
        <v>60</v>
      </c>
      <c r="E164" s="20" t="s">
        <v>1870</v>
      </c>
      <c r="F164" s="20" t="s">
        <v>1887</v>
      </c>
      <c r="G164" s="20" t="s">
        <v>448</v>
      </c>
      <c r="H164" s="20" t="s">
        <v>1903</v>
      </c>
      <c r="I164" s="33">
        <v>33770</v>
      </c>
      <c r="J164" s="33">
        <v>45736</v>
      </c>
      <c r="K164" s="28">
        <f ca="1">SUMIF(Data!$C$6:$V$29146,A164,Data!$V$6:$V$29146)</f>
        <v>32.69</v>
      </c>
      <c r="L164" s="28">
        <f t="shared" ca="1" si="2"/>
        <v>8.1724999999999994</v>
      </c>
      <c r="M164" s="11" t="s">
        <v>408</v>
      </c>
    </row>
    <row r="165" spans="1:13" x14ac:dyDescent="0.2">
      <c r="A165" s="19" t="s">
        <v>1602</v>
      </c>
      <c r="B165" s="20" t="s">
        <v>1654</v>
      </c>
      <c r="C165" s="20" t="s">
        <v>39</v>
      </c>
      <c r="D165" s="20" t="s">
        <v>29</v>
      </c>
      <c r="E165" s="20" t="s">
        <v>1706</v>
      </c>
      <c r="F165" s="20" t="s">
        <v>1757</v>
      </c>
      <c r="G165" s="20" t="s">
        <v>738</v>
      </c>
      <c r="H165" s="20" t="s">
        <v>1812</v>
      </c>
      <c r="I165" s="33">
        <v>37938</v>
      </c>
      <c r="J165" s="33">
        <v>45688</v>
      </c>
      <c r="K165" s="28">
        <f ca="1">SUMIF(Data!$C$6:$V$29146,A165,Data!$V$6:$V$29146)</f>
        <v>0</v>
      </c>
      <c r="L165" s="28">
        <f t="shared" ca="1" si="2"/>
        <v>0</v>
      </c>
      <c r="M165" s="11" t="s">
        <v>408</v>
      </c>
    </row>
    <row r="166" spans="1:13" x14ac:dyDescent="0.2">
      <c r="A166" s="19" t="s">
        <v>1603</v>
      </c>
      <c r="B166" s="20" t="s">
        <v>1655</v>
      </c>
      <c r="C166" s="20" t="s">
        <v>39</v>
      </c>
      <c r="D166" s="20" t="s">
        <v>26</v>
      </c>
      <c r="E166" s="20" t="s">
        <v>1707</v>
      </c>
      <c r="F166" s="20" t="s">
        <v>1758</v>
      </c>
      <c r="G166" s="20" t="s">
        <v>738</v>
      </c>
      <c r="H166" s="20" t="s">
        <v>1813</v>
      </c>
      <c r="I166" s="33">
        <v>39035</v>
      </c>
      <c r="J166" s="33">
        <v>45688</v>
      </c>
      <c r="K166" s="28">
        <f ca="1">SUMIF(Data!$C$6:$V$29146,A166,Data!$V$6:$V$29146)</f>
        <v>0</v>
      </c>
      <c r="L166" s="28">
        <f t="shared" ca="1" si="2"/>
        <v>0</v>
      </c>
      <c r="M166" s="11" t="s">
        <v>408</v>
      </c>
    </row>
    <row r="167" spans="1:13" x14ac:dyDescent="0.2">
      <c r="A167" s="19" t="s">
        <v>2080</v>
      </c>
      <c r="B167" s="20" t="s">
        <v>2081</v>
      </c>
      <c r="C167" s="20" t="s">
        <v>39</v>
      </c>
      <c r="D167" s="20" t="s">
        <v>47</v>
      </c>
      <c r="E167" s="20" t="s">
        <v>2082</v>
      </c>
      <c r="F167" s="20" t="s">
        <v>2083</v>
      </c>
      <c r="G167" s="20" t="s">
        <v>423</v>
      </c>
      <c r="H167" s="20" t="s">
        <v>2084</v>
      </c>
      <c r="I167" s="33">
        <v>36414</v>
      </c>
      <c r="J167" s="33">
        <v>45785</v>
      </c>
      <c r="K167" s="28">
        <f ca="1">SUMIF(Data!$C$6:$V$29146,A167,Data!$V$6:$V$29146)</f>
        <v>0</v>
      </c>
      <c r="L167" s="28">
        <f t="shared" ca="1" si="2"/>
        <v>0</v>
      </c>
      <c r="M167" s="11" t="s">
        <v>408</v>
      </c>
    </row>
    <row r="168" spans="1:13" x14ac:dyDescent="0.2">
      <c r="A168" s="19" t="s">
        <v>2085</v>
      </c>
      <c r="B168" s="20" t="s">
        <v>2086</v>
      </c>
      <c r="C168" s="20" t="s">
        <v>39</v>
      </c>
      <c r="D168" s="20" t="s">
        <v>47</v>
      </c>
      <c r="E168" s="20" t="s">
        <v>2087</v>
      </c>
      <c r="F168" s="20" t="s">
        <v>2088</v>
      </c>
      <c r="G168" s="20" t="s">
        <v>423</v>
      </c>
      <c r="H168" s="20" t="s">
        <v>2089</v>
      </c>
      <c r="I168" s="33">
        <v>36415</v>
      </c>
      <c r="J168" s="33">
        <v>45785</v>
      </c>
      <c r="K168" s="28">
        <f ca="1">SUMIF(Data!$C$6:$V$29146,A168,Data!$V$6:$V$29146)</f>
        <v>0</v>
      </c>
      <c r="L168" s="28">
        <f t="shared" ca="1" si="2"/>
        <v>0</v>
      </c>
      <c r="M168" s="11" t="s">
        <v>408</v>
      </c>
    </row>
    <row r="169" spans="1:13" x14ac:dyDescent="0.2">
      <c r="A169" s="20">
        <v>100044900</v>
      </c>
      <c r="B169" s="20" t="s">
        <v>200</v>
      </c>
      <c r="C169" s="20" t="s">
        <v>39</v>
      </c>
      <c r="D169" s="20" t="s">
        <v>32</v>
      </c>
      <c r="E169" s="20" t="s">
        <v>201</v>
      </c>
      <c r="F169" s="20" t="s">
        <v>583</v>
      </c>
      <c r="G169" s="20" t="s">
        <v>412</v>
      </c>
      <c r="H169" s="20" t="s">
        <v>584</v>
      </c>
      <c r="I169" s="33">
        <v>34682</v>
      </c>
      <c r="J169" s="33">
        <v>43887</v>
      </c>
      <c r="K169" s="28">
        <f ca="1">SUMIF(Data!$C$6:$V$29146,A169,Data!$V$6:$V$29146)</f>
        <v>0</v>
      </c>
      <c r="L169" s="28">
        <f t="shared" ca="1" si="2"/>
        <v>0</v>
      </c>
      <c r="M169" s="11" t="s">
        <v>408</v>
      </c>
    </row>
    <row r="170" spans="1:13" x14ac:dyDescent="0.2">
      <c r="A170" s="19">
        <v>100077565</v>
      </c>
      <c r="B170" s="20" t="s">
        <v>977</v>
      </c>
      <c r="C170" s="20" t="s">
        <v>39</v>
      </c>
      <c r="D170" s="20" t="s">
        <v>23</v>
      </c>
      <c r="E170" s="20" t="s">
        <v>978</v>
      </c>
      <c r="F170" s="20" t="s">
        <v>1040</v>
      </c>
      <c r="G170" s="20" t="s">
        <v>1041</v>
      </c>
      <c r="H170" s="20" t="s">
        <v>1042</v>
      </c>
      <c r="I170" s="33">
        <v>27443</v>
      </c>
      <c r="J170" s="33">
        <v>45322</v>
      </c>
      <c r="K170" s="28">
        <f ca="1">SUMIF(Data!$C$6:$V$29146,A170,Data!$V$6:$V$29146)</f>
        <v>0</v>
      </c>
      <c r="L170" s="28">
        <f t="shared" ca="1" si="2"/>
        <v>0</v>
      </c>
      <c r="M170" s="11" t="s">
        <v>408</v>
      </c>
    </row>
    <row r="171" spans="1:13" x14ac:dyDescent="0.2">
      <c r="A171" s="20">
        <v>100087220</v>
      </c>
      <c r="B171" s="20" t="s">
        <v>1517</v>
      </c>
      <c r="C171" s="20" t="s">
        <v>39</v>
      </c>
      <c r="D171" s="20" t="s">
        <v>60</v>
      </c>
      <c r="E171" s="20" t="s">
        <v>1518</v>
      </c>
      <c r="F171" s="20" t="s">
        <v>1519</v>
      </c>
      <c r="G171" s="20" t="s">
        <v>1520</v>
      </c>
      <c r="H171" s="20" t="s">
        <v>1521</v>
      </c>
      <c r="I171" s="33">
        <v>31095</v>
      </c>
      <c r="J171" s="33">
        <v>45546</v>
      </c>
      <c r="K171" s="28">
        <f ca="1">SUMIF(Data!$C$6:$V$29146,A171,Data!$V$6:$V$29146)</f>
        <v>75.31</v>
      </c>
      <c r="L171" s="28">
        <f t="shared" ca="1" si="2"/>
        <v>18.827500000000001</v>
      </c>
      <c r="M171" s="11" t="s">
        <v>408</v>
      </c>
    </row>
    <row r="172" spans="1:13" x14ac:dyDescent="0.2">
      <c r="A172" s="19">
        <v>100082255</v>
      </c>
      <c r="B172" s="20" t="s">
        <v>1185</v>
      </c>
      <c r="C172" s="20" t="s">
        <v>39</v>
      </c>
      <c r="D172" s="20" t="s">
        <v>23</v>
      </c>
      <c r="E172" s="20" t="s">
        <v>1186</v>
      </c>
      <c r="F172" s="20" t="s">
        <v>1230</v>
      </c>
      <c r="G172" s="20" t="s">
        <v>1231</v>
      </c>
      <c r="H172" s="20" t="s">
        <v>1232</v>
      </c>
      <c r="I172" s="33">
        <v>36429</v>
      </c>
      <c r="J172" s="33">
        <v>45414</v>
      </c>
      <c r="K172" s="28">
        <f ca="1">SUMIF(Data!$C$6:$V$29146,A172,Data!$V$6:$V$29146)</f>
        <v>0</v>
      </c>
      <c r="L172" s="28">
        <f t="shared" ca="1" si="2"/>
        <v>0</v>
      </c>
      <c r="M172" s="11" t="s">
        <v>408</v>
      </c>
    </row>
    <row r="173" spans="1:13" x14ac:dyDescent="0.2">
      <c r="A173" s="22">
        <v>100030854</v>
      </c>
      <c r="B173" s="20" t="s">
        <v>98</v>
      </c>
      <c r="C173" s="20" t="s">
        <v>39</v>
      </c>
      <c r="D173" s="20" t="s">
        <v>34</v>
      </c>
      <c r="E173" s="20" t="s">
        <v>99</v>
      </c>
      <c r="F173" s="20" t="s">
        <v>585</v>
      </c>
      <c r="G173" s="20" t="s">
        <v>586</v>
      </c>
      <c r="H173" s="20" t="s">
        <v>587</v>
      </c>
      <c r="I173" s="33">
        <v>28046</v>
      </c>
      <c r="J173" s="33">
        <v>43210</v>
      </c>
      <c r="K173" s="28">
        <f ca="1">SUMIF(Data!$C$6:$V$29146,A173,Data!$V$6:$V$29146)</f>
        <v>6.17</v>
      </c>
      <c r="L173" s="28">
        <f t="shared" ca="1" si="2"/>
        <v>1.5425</v>
      </c>
      <c r="M173" s="11" t="s">
        <v>408</v>
      </c>
    </row>
    <row r="174" spans="1:13" x14ac:dyDescent="0.2">
      <c r="A174" s="20">
        <v>100087221</v>
      </c>
      <c r="B174" s="20" t="s">
        <v>1460</v>
      </c>
      <c r="C174" s="20" t="s">
        <v>39</v>
      </c>
      <c r="D174" s="20" t="s">
        <v>27</v>
      </c>
      <c r="E174" s="20" t="s">
        <v>1461</v>
      </c>
      <c r="F174" s="20" t="s">
        <v>1462</v>
      </c>
      <c r="G174" s="20" t="s">
        <v>1463</v>
      </c>
      <c r="H174" s="20" t="s">
        <v>1464</v>
      </c>
      <c r="I174" s="33">
        <v>20803</v>
      </c>
      <c r="J174" s="33">
        <v>45546</v>
      </c>
      <c r="K174" s="28">
        <f ca="1">SUMIF(Data!$C$6:$V$29146,A174,Data!$V$6:$V$29146)</f>
        <v>6.5</v>
      </c>
      <c r="L174" s="28">
        <f t="shared" ca="1" si="2"/>
        <v>1.625</v>
      </c>
      <c r="M174" s="11" t="s">
        <v>408</v>
      </c>
    </row>
    <row r="175" spans="1:13" x14ac:dyDescent="0.2">
      <c r="A175" s="19" t="s">
        <v>1604</v>
      </c>
      <c r="B175" s="20" t="s">
        <v>1656</v>
      </c>
      <c r="C175" s="20" t="s">
        <v>39</v>
      </c>
      <c r="D175" s="20" t="s">
        <v>30</v>
      </c>
      <c r="E175" s="20" t="s">
        <v>1708</v>
      </c>
      <c r="F175" s="20" t="s">
        <v>1759</v>
      </c>
      <c r="G175" s="20" t="s">
        <v>1334</v>
      </c>
      <c r="H175" s="20" t="s">
        <v>1814</v>
      </c>
      <c r="I175" s="33">
        <v>34949</v>
      </c>
      <c r="J175" s="33">
        <v>45688</v>
      </c>
      <c r="K175" s="28">
        <f ca="1">SUMIF(Data!$C$6:$V$29146,A175,Data!$V$6:$V$29146)</f>
        <v>0</v>
      </c>
      <c r="L175" s="28">
        <f t="shared" ca="1" si="2"/>
        <v>0</v>
      </c>
      <c r="M175" s="11" t="s">
        <v>408</v>
      </c>
    </row>
    <row r="176" spans="1:13" x14ac:dyDescent="0.2">
      <c r="A176" s="19" t="s">
        <v>2090</v>
      </c>
      <c r="B176" s="20" t="s">
        <v>2091</v>
      </c>
      <c r="C176" s="20" t="s">
        <v>39</v>
      </c>
      <c r="D176" s="20" t="s">
        <v>30</v>
      </c>
      <c r="E176" s="20" t="s">
        <v>2092</v>
      </c>
      <c r="F176" s="20" t="s">
        <v>2093</v>
      </c>
      <c r="G176" s="20" t="s">
        <v>838</v>
      </c>
      <c r="H176" s="20" t="s">
        <v>2094</v>
      </c>
      <c r="I176" s="33">
        <v>37584</v>
      </c>
      <c r="J176" s="33">
        <v>45785</v>
      </c>
      <c r="K176" s="28">
        <f ca="1">SUMIF(Data!$C$6:$V$29146,A176,Data!$V$6:$V$29146)</f>
        <v>0</v>
      </c>
      <c r="L176" s="28">
        <f t="shared" ca="1" si="2"/>
        <v>0</v>
      </c>
      <c r="M176" s="11" t="s">
        <v>408</v>
      </c>
    </row>
    <row r="177" spans="1:13" x14ac:dyDescent="0.2">
      <c r="A177" s="19">
        <v>100073316</v>
      </c>
      <c r="B177" s="20" t="s">
        <v>853</v>
      </c>
      <c r="C177" s="20" t="s">
        <v>39</v>
      </c>
      <c r="D177" s="20" t="s">
        <v>34</v>
      </c>
      <c r="E177" s="20" t="s">
        <v>854</v>
      </c>
      <c r="F177" s="20" t="s">
        <v>855</v>
      </c>
      <c r="G177" s="20" t="s">
        <v>579</v>
      </c>
      <c r="H177" s="20" t="s">
        <v>856</v>
      </c>
      <c r="I177" s="33">
        <v>20838</v>
      </c>
      <c r="J177" s="33">
        <v>45154</v>
      </c>
      <c r="K177" s="28">
        <f ca="1">SUMIF(Data!$C$6:$V$29146,A177,Data!$V$6:$V$29146)</f>
        <v>0</v>
      </c>
      <c r="L177" s="28">
        <f t="shared" ca="1" si="2"/>
        <v>0</v>
      </c>
      <c r="M177" s="11" t="s">
        <v>408</v>
      </c>
    </row>
    <row r="178" spans="1:13" x14ac:dyDescent="0.2">
      <c r="A178" s="25">
        <v>100067141</v>
      </c>
      <c r="B178" s="20" t="s">
        <v>384</v>
      </c>
      <c r="C178" s="20" t="s">
        <v>39</v>
      </c>
      <c r="D178" s="20" t="s">
        <v>32</v>
      </c>
      <c r="E178" s="20" t="s">
        <v>385</v>
      </c>
      <c r="F178" s="20" t="s">
        <v>590</v>
      </c>
      <c r="G178" s="20" t="s">
        <v>591</v>
      </c>
      <c r="H178" s="20" t="s">
        <v>592</v>
      </c>
      <c r="I178" s="33">
        <v>30828</v>
      </c>
      <c r="J178" s="33">
        <v>45028</v>
      </c>
      <c r="K178" s="28">
        <f ca="1">SUMIF(Data!$C$6:$V$29146,A178,Data!$V$6:$V$29146)</f>
        <v>0</v>
      </c>
      <c r="L178" s="28">
        <f t="shared" ca="1" si="2"/>
        <v>0</v>
      </c>
      <c r="M178" s="11" t="s">
        <v>408</v>
      </c>
    </row>
    <row r="179" spans="1:13" x14ac:dyDescent="0.2">
      <c r="A179" s="19" t="s">
        <v>2095</v>
      </c>
      <c r="B179" s="20" t="s">
        <v>2096</v>
      </c>
      <c r="C179" s="20" t="s">
        <v>39</v>
      </c>
      <c r="D179" s="20" t="s">
        <v>47</v>
      </c>
      <c r="E179" s="20" t="s">
        <v>2097</v>
      </c>
      <c r="F179" s="20" t="s">
        <v>2098</v>
      </c>
      <c r="G179" s="20" t="s">
        <v>2099</v>
      </c>
      <c r="H179" s="20" t="s">
        <v>2100</v>
      </c>
      <c r="I179" s="33">
        <v>37242</v>
      </c>
      <c r="J179" s="33">
        <v>45785</v>
      </c>
      <c r="K179" s="28">
        <f ca="1">SUMIF(Data!$C$6:$V$29146,A179,Data!$V$6:$V$29146)</f>
        <v>0</v>
      </c>
      <c r="L179" s="28">
        <f t="shared" ca="1" si="2"/>
        <v>0</v>
      </c>
      <c r="M179" s="11" t="s">
        <v>408</v>
      </c>
    </row>
    <row r="180" spans="1:13" x14ac:dyDescent="0.2">
      <c r="A180" s="19">
        <v>100052083</v>
      </c>
      <c r="B180" s="20" t="s">
        <v>1087</v>
      </c>
      <c r="C180" s="20" t="s">
        <v>39</v>
      </c>
      <c r="D180" s="20" t="s">
        <v>27</v>
      </c>
      <c r="E180" s="20" t="s">
        <v>237</v>
      </c>
      <c r="F180" s="20" t="s">
        <v>593</v>
      </c>
      <c r="G180" s="20" t="s">
        <v>425</v>
      </c>
      <c r="H180" s="20" t="s">
        <v>594</v>
      </c>
      <c r="I180" s="33">
        <v>36900</v>
      </c>
      <c r="J180" s="33">
        <v>44444</v>
      </c>
      <c r="K180" s="28">
        <f ca="1">SUMIF(Data!$C$6:$V$29146,A180,Data!$V$6:$V$29146)</f>
        <v>0</v>
      </c>
      <c r="L180" s="28">
        <f t="shared" ca="1" si="2"/>
        <v>0</v>
      </c>
      <c r="M180" s="11" t="s">
        <v>408</v>
      </c>
    </row>
    <row r="181" spans="1:13" x14ac:dyDescent="0.2">
      <c r="A181" s="19">
        <v>100073276</v>
      </c>
      <c r="B181" s="20" t="s">
        <v>858</v>
      </c>
      <c r="C181" s="20" t="s">
        <v>39</v>
      </c>
      <c r="D181" s="20" t="s">
        <v>35</v>
      </c>
      <c r="E181" s="20" t="s">
        <v>859</v>
      </c>
      <c r="F181" s="20" t="s">
        <v>860</v>
      </c>
      <c r="G181" s="20" t="s">
        <v>484</v>
      </c>
      <c r="H181" s="20" t="s">
        <v>861</v>
      </c>
      <c r="I181" s="33">
        <v>29321</v>
      </c>
      <c r="J181" s="33">
        <v>45154</v>
      </c>
      <c r="K181" s="28">
        <f ca="1">SUMIF(Data!$C$6:$V$29146,A181,Data!$V$6:$V$29146)</f>
        <v>0</v>
      </c>
      <c r="L181" s="28">
        <f t="shared" ca="1" si="2"/>
        <v>0</v>
      </c>
      <c r="M181" s="11" t="s">
        <v>408</v>
      </c>
    </row>
    <row r="182" spans="1:13" x14ac:dyDescent="0.2">
      <c r="A182" s="22">
        <v>100047474</v>
      </c>
      <c r="B182" s="20" t="s">
        <v>206</v>
      </c>
      <c r="C182" s="20" t="s">
        <v>39</v>
      </c>
      <c r="D182" s="20" t="s">
        <v>32</v>
      </c>
      <c r="E182" s="20" t="s">
        <v>207</v>
      </c>
      <c r="F182" s="20" t="s">
        <v>595</v>
      </c>
      <c r="G182" s="20" t="s">
        <v>596</v>
      </c>
      <c r="H182" s="20" t="s">
        <v>597</v>
      </c>
      <c r="I182" s="33">
        <v>30043</v>
      </c>
      <c r="J182" s="33">
        <v>44335</v>
      </c>
      <c r="K182" s="28">
        <f ca="1">SUMIF(Data!$C$6:$V$29146,A182,Data!$V$6:$V$29146)</f>
        <v>11.6</v>
      </c>
      <c r="L182" s="28">
        <f t="shared" ca="1" si="2"/>
        <v>2.9</v>
      </c>
      <c r="M182" s="11" t="s">
        <v>408</v>
      </c>
    </row>
    <row r="183" spans="1:13" x14ac:dyDescent="0.2">
      <c r="A183" s="20">
        <v>100044849</v>
      </c>
      <c r="B183" s="20" t="s">
        <v>1082</v>
      </c>
      <c r="C183" s="20" t="s">
        <v>39</v>
      </c>
      <c r="D183" s="20" t="s">
        <v>32</v>
      </c>
      <c r="E183" s="20" t="s">
        <v>202</v>
      </c>
      <c r="F183" s="20" t="s">
        <v>598</v>
      </c>
      <c r="G183" s="20" t="s">
        <v>599</v>
      </c>
      <c r="H183" s="20" t="s">
        <v>600</v>
      </c>
      <c r="I183" s="33">
        <v>35037</v>
      </c>
      <c r="J183" s="33">
        <v>43887</v>
      </c>
      <c r="K183" s="28">
        <f ca="1">SUMIF(Data!$C$6:$V$29146,A183,Data!$V$6:$V$29146)</f>
        <v>0</v>
      </c>
      <c r="L183" s="28">
        <f t="shared" ca="1" si="2"/>
        <v>0</v>
      </c>
      <c r="M183" s="11" t="s">
        <v>408</v>
      </c>
    </row>
    <row r="184" spans="1:13" x14ac:dyDescent="0.2">
      <c r="A184" s="19" t="s">
        <v>2101</v>
      </c>
      <c r="B184" s="20" t="s">
        <v>2102</v>
      </c>
      <c r="C184" s="20" t="s">
        <v>39</v>
      </c>
      <c r="D184" s="20" t="s">
        <v>47</v>
      </c>
      <c r="E184" s="20" t="s">
        <v>2103</v>
      </c>
      <c r="F184" s="20" t="s">
        <v>2104</v>
      </c>
      <c r="G184" s="20" t="s">
        <v>2105</v>
      </c>
      <c r="H184" s="20" t="s">
        <v>2106</v>
      </c>
      <c r="I184" s="33">
        <v>38493</v>
      </c>
      <c r="J184" s="33">
        <v>45785</v>
      </c>
      <c r="K184" s="28">
        <f ca="1">SUMIF(Data!$C$6:$V$29146,A184,Data!$V$6:$V$29146)</f>
        <v>0</v>
      </c>
      <c r="L184" s="28">
        <f t="shared" ca="1" si="2"/>
        <v>0</v>
      </c>
      <c r="M184" s="11" t="s">
        <v>408</v>
      </c>
    </row>
    <row r="185" spans="1:13" x14ac:dyDescent="0.2">
      <c r="A185" s="19" t="s">
        <v>2107</v>
      </c>
      <c r="B185" s="20" t="s">
        <v>2108</v>
      </c>
      <c r="C185" s="20" t="s">
        <v>39</v>
      </c>
      <c r="D185" s="20" t="s">
        <v>135</v>
      </c>
      <c r="E185" s="20" t="s">
        <v>2109</v>
      </c>
      <c r="F185" s="20" t="s">
        <v>2110</v>
      </c>
      <c r="G185" s="20" t="s">
        <v>2111</v>
      </c>
      <c r="H185" s="20" t="s">
        <v>2112</v>
      </c>
      <c r="I185" s="33">
        <v>35219</v>
      </c>
      <c r="J185" s="33">
        <v>45785</v>
      </c>
      <c r="K185" s="28">
        <f ca="1">SUMIF(Data!$C$6:$V$29146,A185,Data!$V$6:$V$29146)</f>
        <v>0</v>
      </c>
      <c r="L185" s="28">
        <f t="shared" ca="1" si="2"/>
        <v>0</v>
      </c>
      <c r="M185" s="11" t="s">
        <v>408</v>
      </c>
    </row>
    <row r="186" spans="1:13" x14ac:dyDescent="0.2">
      <c r="A186" s="19">
        <v>100030897</v>
      </c>
      <c r="B186" s="20" t="s">
        <v>94</v>
      </c>
      <c r="C186" s="20" t="s">
        <v>39</v>
      </c>
      <c r="D186" s="20" t="s">
        <v>34</v>
      </c>
      <c r="E186" s="20" t="s">
        <v>95</v>
      </c>
      <c r="F186" s="20" t="s">
        <v>602</v>
      </c>
      <c r="G186" s="20" t="s">
        <v>413</v>
      </c>
      <c r="H186" s="20" t="s">
        <v>603</v>
      </c>
      <c r="I186" s="33">
        <v>20553</v>
      </c>
      <c r="J186" s="33">
        <v>43202</v>
      </c>
      <c r="K186" s="28">
        <f ca="1">SUMIF(Data!$C$6:$V$29146,A186,Data!$V$6:$V$29146)</f>
        <v>62.42</v>
      </c>
      <c r="L186" s="28">
        <f t="shared" ca="1" si="2"/>
        <v>15.605</v>
      </c>
      <c r="M186" s="11" t="s">
        <v>408</v>
      </c>
    </row>
    <row r="187" spans="1:13" x14ac:dyDescent="0.2">
      <c r="A187" s="20">
        <v>100087262</v>
      </c>
      <c r="B187" s="20" t="s">
        <v>1579</v>
      </c>
      <c r="C187" s="20" t="s">
        <v>39</v>
      </c>
      <c r="D187" s="20" t="s">
        <v>36</v>
      </c>
      <c r="E187" s="20" t="s">
        <v>1580</v>
      </c>
      <c r="F187" s="20" t="s">
        <v>1581</v>
      </c>
      <c r="G187" s="20" t="s">
        <v>413</v>
      </c>
      <c r="H187" s="20" t="s">
        <v>1582</v>
      </c>
      <c r="I187" s="33">
        <v>38660</v>
      </c>
      <c r="J187" s="33">
        <v>45546</v>
      </c>
      <c r="K187" s="28">
        <f ca="1">SUMIF(Data!$C$6:$V$29146,A187,Data!$V$6:$V$29146)</f>
        <v>0</v>
      </c>
      <c r="L187" s="28">
        <f t="shared" ca="1" si="2"/>
        <v>0</v>
      </c>
      <c r="M187" s="11" t="s">
        <v>408</v>
      </c>
    </row>
    <row r="188" spans="1:13" x14ac:dyDescent="0.2">
      <c r="A188" s="20">
        <v>100047397</v>
      </c>
      <c r="B188" s="20" t="s">
        <v>208</v>
      </c>
      <c r="C188" s="20" t="s">
        <v>39</v>
      </c>
      <c r="D188" s="20" t="s">
        <v>36</v>
      </c>
      <c r="E188" s="20" t="s">
        <v>209</v>
      </c>
      <c r="F188" s="20" t="s">
        <v>604</v>
      </c>
      <c r="G188" s="20" t="s">
        <v>605</v>
      </c>
      <c r="H188" s="20" t="s">
        <v>606</v>
      </c>
      <c r="I188" s="33">
        <v>36977</v>
      </c>
      <c r="J188" s="33">
        <v>44335</v>
      </c>
      <c r="K188" s="28">
        <f ca="1">SUMIF(Data!$C$6:$V$29146,A188,Data!$V$6:$V$29146)</f>
        <v>0</v>
      </c>
      <c r="L188" s="28">
        <f t="shared" ca="1" si="2"/>
        <v>0</v>
      </c>
      <c r="M188" s="11" t="s">
        <v>408</v>
      </c>
    </row>
    <row r="189" spans="1:13" x14ac:dyDescent="0.2">
      <c r="A189" s="20">
        <v>100036213</v>
      </c>
      <c r="B189" s="20" t="s">
        <v>1073</v>
      </c>
      <c r="C189" s="20" t="s">
        <v>39</v>
      </c>
      <c r="D189" s="20" t="s">
        <v>32</v>
      </c>
      <c r="E189" s="20" t="s">
        <v>140</v>
      </c>
      <c r="F189" s="20" t="s">
        <v>607</v>
      </c>
      <c r="G189" s="20" t="s">
        <v>608</v>
      </c>
      <c r="H189" s="20" t="s">
        <v>609</v>
      </c>
      <c r="I189" s="33">
        <v>29727</v>
      </c>
      <c r="J189" s="33">
        <v>43503</v>
      </c>
      <c r="K189" s="28">
        <f ca="1">SUMIF(Data!$C$6:$V$29146,A189,Data!$V$6:$V$29146)</f>
        <v>0</v>
      </c>
      <c r="L189" s="28">
        <f t="shared" ca="1" si="2"/>
        <v>0</v>
      </c>
      <c r="M189" s="11" t="s">
        <v>408</v>
      </c>
    </row>
    <row r="190" spans="1:13" x14ac:dyDescent="0.2">
      <c r="A190" s="19">
        <v>100054221</v>
      </c>
      <c r="B190" s="20" t="s">
        <v>258</v>
      </c>
      <c r="C190" s="20" t="s">
        <v>39</v>
      </c>
      <c r="D190" s="20" t="s">
        <v>32</v>
      </c>
      <c r="E190" s="20" t="s">
        <v>259</v>
      </c>
      <c r="F190" s="20" t="s">
        <v>610</v>
      </c>
      <c r="G190" s="20" t="s">
        <v>611</v>
      </c>
      <c r="H190" s="20" t="s">
        <v>612</v>
      </c>
      <c r="I190" s="33">
        <v>27090</v>
      </c>
      <c r="J190" s="33">
        <v>44591</v>
      </c>
      <c r="K190" s="28">
        <f ca="1">SUMIF(Data!$C$6:$V$29146,A190,Data!$V$6:$V$29146)</f>
        <v>0</v>
      </c>
      <c r="L190" s="28">
        <f t="shared" ca="1" si="2"/>
        <v>0</v>
      </c>
      <c r="M190" s="11" t="s">
        <v>408</v>
      </c>
    </row>
    <row r="191" spans="1:13" x14ac:dyDescent="0.2">
      <c r="A191" s="19" t="s">
        <v>2113</v>
      </c>
      <c r="B191" s="20" t="s">
        <v>2114</v>
      </c>
      <c r="C191" s="20" t="s">
        <v>39</v>
      </c>
      <c r="D191" s="20" t="s">
        <v>47</v>
      </c>
      <c r="E191" s="20" t="s">
        <v>2115</v>
      </c>
      <c r="F191" s="20" t="s">
        <v>2116</v>
      </c>
      <c r="G191" s="20" t="s">
        <v>2117</v>
      </c>
      <c r="H191" s="20" t="s">
        <v>2118</v>
      </c>
      <c r="I191" s="33">
        <v>25773</v>
      </c>
      <c r="J191" s="33">
        <v>45785</v>
      </c>
      <c r="K191" s="28">
        <f ca="1">SUMIF(Data!$C$6:$V$29146,A191,Data!$V$6:$V$29146)</f>
        <v>0</v>
      </c>
      <c r="L191" s="28">
        <f t="shared" ca="1" si="2"/>
        <v>0</v>
      </c>
      <c r="M191" s="11" t="s">
        <v>408</v>
      </c>
    </row>
    <row r="192" spans="1:13" x14ac:dyDescent="0.2">
      <c r="A192" s="19">
        <v>100084230</v>
      </c>
      <c r="B192" s="20" t="s">
        <v>1281</v>
      </c>
      <c r="C192" s="20" t="s">
        <v>39</v>
      </c>
      <c r="D192" s="20" t="s">
        <v>36</v>
      </c>
      <c r="E192" s="20" t="s">
        <v>1282</v>
      </c>
      <c r="F192" s="20" t="s">
        <v>1346</v>
      </c>
      <c r="G192" s="20" t="s">
        <v>520</v>
      </c>
      <c r="H192" s="20" t="s">
        <v>1347</v>
      </c>
      <c r="I192" s="33">
        <v>38487</v>
      </c>
      <c r="J192" s="33">
        <v>45456</v>
      </c>
      <c r="K192" s="28">
        <f ca="1">SUMIF(Data!$C$6:$V$29146,A192,Data!$V$6:$V$29146)</f>
        <v>0</v>
      </c>
      <c r="L192" s="28">
        <f t="shared" ca="1" si="2"/>
        <v>0</v>
      </c>
      <c r="M192" s="11" t="s">
        <v>408</v>
      </c>
    </row>
    <row r="193" spans="1:13" x14ac:dyDescent="0.2">
      <c r="A193" s="20">
        <v>100054471</v>
      </c>
      <c r="B193" s="20" t="s">
        <v>270</v>
      </c>
      <c r="C193" s="20" t="s">
        <v>39</v>
      </c>
      <c r="D193" s="20" t="s">
        <v>25</v>
      </c>
      <c r="E193" s="20" t="s">
        <v>271</v>
      </c>
      <c r="F193" s="20" t="s">
        <v>604</v>
      </c>
      <c r="G193" s="20" t="s">
        <v>413</v>
      </c>
      <c r="H193" s="20" t="s">
        <v>613</v>
      </c>
      <c r="I193" s="33">
        <v>36376</v>
      </c>
      <c r="J193" s="33">
        <v>44612</v>
      </c>
      <c r="K193" s="28">
        <f ca="1">SUMIF(Data!$C$6:$V$29146,A193,Data!$V$6:$V$29146)</f>
        <v>0</v>
      </c>
      <c r="L193" s="28">
        <f t="shared" ca="1" si="2"/>
        <v>0</v>
      </c>
      <c r="M193" s="11" t="s">
        <v>408</v>
      </c>
    </row>
    <row r="194" spans="1:13" x14ac:dyDescent="0.2">
      <c r="A194" s="20">
        <v>100054472</v>
      </c>
      <c r="B194" s="20" t="s">
        <v>272</v>
      </c>
      <c r="C194" s="20" t="s">
        <v>1079</v>
      </c>
      <c r="D194" s="20" t="s">
        <v>35</v>
      </c>
      <c r="E194" s="20" t="s">
        <v>273</v>
      </c>
      <c r="F194" s="20" t="s">
        <v>614</v>
      </c>
      <c r="G194" s="20" t="s">
        <v>523</v>
      </c>
      <c r="H194" s="20" t="s">
        <v>615</v>
      </c>
      <c r="I194" s="33">
        <v>21730</v>
      </c>
      <c r="J194" s="33">
        <v>44612</v>
      </c>
      <c r="K194" s="28">
        <f ca="1">SUMIF(Data!$C$6:$V$29146,A194,Data!$V$6:$V$29146)</f>
        <v>0</v>
      </c>
      <c r="L194" s="28">
        <f t="shared" ca="1" si="2"/>
        <v>0</v>
      </c>
      <c r="M194" s="11" t="s">
        <v>408</v>
      </c>
    </row>
    <row r="195" spans="1:13" x14ac:dyDescent="0.2">
      <c r="A195" s="22">
        <v>100036129</v>
      </c>
      <c r="B195" s="20" t="s">
        <v>1072</v>
      </c>
      <c r="C195" s="20" t="s">
        <v>39</v>
      </c>
      <c r="D195" s="20" t="s">
        <v>32</v>
      </c>
      <c r="E195" s="20" t="s">
        <v>134</v>
      </c>
      <c r="F195" s="20" t="s">
        <v>616</v>
      </c>
      <c r="G195" s="20" t="s">
        <v>440</v>
      </c>
      <c r="H195" s="20" t="s">
        <v>617</v>
      </c>
      <c r="I195" s="33">
        <v>26661</v>
      </c>
      <c r="J195" s="33">
        <v>43494</v>
      </c>
      <c r="K195" s="28">
        <f ca="1">SUMIF(Data!$C$6:$V$29146,A195,Data!$V$6:$V$29146)</f>
        <v>0</v>
      </c>
      <c r="L195" s="28">
        <f t="shared" ca="1" si="2"/>
        <v>0</v>
      </c>
      <c r="M195" s="11" t="s">
        <v>408</v>
      </c>
    </row>
    <row r="196" spans="1:13" x14ac:dyDescent="0.2">
      <c r="A196" s="25">
        <v>100067127</v>
      </c>
      <c r="B196" s="20" t="s">
        <v>386</v>
      </c>
      <c r="C196" s="20" t="s">
        <v>39</v>
      </c>
      <c r="D196" s="20" t="s">
        <v>30</v>
      </c>
      <c r="E196" s="20" t="s">
        <v>387</v>
      </c>
      <c r="F196" s="20" t="s">
        <v>618</v>
      </c>
      <c r="G196" s="20" t="s">
        <v>619</v>
      </c>
      <c r="H196" s="20" t="s">
        <v>620</v>
      </c>
      <c r="I196" s="33">
        <v>32495</v>
      </c>
      <c r="J196" s="33">
        <v>45028</v>
      </c>
      <c r="K196" s="28">
        <f ca="1">SUMIF(Data!$C$6:$V$29146,A196,Data!$V$6:$V$29146)</f>
        <v>0</v>
      </c>
      <c r="L196" s="28">
        <f t="shared" ca="1" si="2"/>
        <v>0</v>
      </c>
      <c r="M196" s="11" t="s">
        <v>408</v>
      </c>
    </row>
    <row r="197" spans="1:13" x14ac:dyDescent="0.2">
      <c r="A197" s="19" t="s">
        <v>1606</v>
      </c>
      <c r="B197" s="20" t="s">
        <v>1658</v>
      </c>
      <c r="C197" s="20" t="s">
        <v>39</v>
      </c>
      <c r="D197" s="20" t="s">
        <v>135</v>
      </c>
      <c r="E197" s="20" t="s">
        <v>1710</v>
      </c>
      <c r="F197" s="20" t="s">
        <v>1760</v>
      </c>
      <c r="G197" s="20" t="s">
        <v>1334</v>
      </c>
      <c r="H197" s="20" t="s">
        <v>1815</v>
      </c>
      <c r="I197" s="33">
        <v>28608</v>
      </c>
      <c r="J197" s="33">
        <v>45688</v>
      </c>
      <c r="K197" s="28">
        <f ca="1">SUMIF(Data!$C$6:$V$29146,A197,Data!$V$6:$V$29146)</f>
        <v>0</v>
      </c>
      <c r="L197" s="28">
        <f t="shared" ref="L197:L260" ca="1" si="3">IFERROR(K197*0.25,"")</f>
        <v>0</v>
      </c>
      <c r="M197" s="11" t="s">
        <v>408</v>
      </c>
    </row>
    <row r="198" spans="1:13" x14ac:dyDescent="0.2">
      <c r="A198" s="19">
        <v>100039097</v>
      </c>
      <c r="B198" s="20" t="s">
        <v>167</v>
      </c>
      <c r="C198" s="20" t="s">
        <v>39</v>
      </c>
      <c r="D198" s="20" t="s">
        <v>135</v>
      </c>
      <c r="E198" s="20" t="s">
        <v>168</v>
      </c>
      <c r="F198" s="20" t="s">
        <v>621</v>
      </c>
      <c r="G198" s="20" t="s">
        <v>546</v>
      </c>
      <c r="H198" s="20" t="s">
        <v>622</v>
      </c>
      <c r="I198" s="33">
        <v>32126</v>
      </c>
      <c r="J198" s="33">
        <v>43600</v>
      </c>
      <c r="K198" s="28">
        <f ca="1">SUMIF(Data!$C$6:$V$29146,A198,Data!$V$6:$V$29146)</f>
        <v>0</v>
      </c>
      <c r="L198" s="28">
        <f t="shared" ca="1" si="3"/>
        <v>0</v>
      </c>
      <c r="M198" s="11" t="s">
        <v>408</v>
      </c>
    </row>
    <row r="199" spans="1:13" x14ac:dyDescent="0.2">
      <c r="A199" s="20">
        <v>100087207</v>
      </c>
      <c r="B199" s="20" t="s">
        <v>1493</v>
      </c>
      <c r="C199" s="20" t="s">
        <v>39</v>
      </c>
      <c r="D199" s="20" t="s">
        <v>30</v>
      </c>
      <c r="E199" s="20" t="s">
        <v>1494</v>
      </c>
      <c r="F199" s="20" t="s">
        <v>1495</v>
      </c>
      <c r="G199" s="20" t="s">
        <v>412</v>
      </c>
      <c r="H199" s="20" t="s">
        <v>1496</v>
      </c>
      <c r="I199" s="33">
        <v>27014</v>
      </c>
      <c r="J199" s="33">
        <v>45546</v>
      </c>
      <c r="K199" s="28">
        <f ca="1">SUMIF(Data!$C$6:$V$29146,A199,Data!$V$6:$V$29146)</f>
        <v>0</v>
      </c>
      <c r="L199" s="28">
        <f t="shared" ca="1" si="3"/>
        <v>0</v>
      </c>
      <c r="M199" s="11" t="s">
        <v>408</v>
      </c>
    </row>
    <row r="200" spans="1:13" x14ac:dyDescent="0.2">
      <c r="A200" s="19">
        <v>100039113</v>
      </c>
      <c r="B200" s="20" t="s">
        <v>169</v>
      </c>
      <c r="C200" s="20" t="s">
        <v>39</v>
      </c>
      <c r="D200" s="20" t="s">
        <v>135</v>
      </c>
      <c r="E200" s="20" t="s">
        <v>170</v>
      </c>
      <c r="F200" s="20" t="s">
        <v>623</v>
      </c>
      <c r="G200" s="20" t="s">
        <v>546</v>
      </c>
      <c r="H200" s="20" t="s">
        <v>624</v>
      </c>
      <c r="I200" s="33">
        <v>33099</v>
      </c>
      <c r="J200" s="33">
        <v>43600</v>
      </c>
      <c r="K200" s="28">
        <f ca="1">SUMIF(Data!$C$6:$V$29146,A200,Data!$V$6:$V$29146)</f>
        <v>0</v>
      </c>
      <c r="L200" s="28">
        <f t="shared" ca="1" si="3"/>
        <v>0</v>
      </c>
      <c r="M200" s="11" t="s">
        <v>408</v>
      </c>
    </row>
    <row r="201" spans="1:13" x14ac:dyDescent="0.2">
      <c r="A201" s="20">
        <v>100037795</v>
      </c>
      <c r="B201" s="20" t="s">
        <v>162</v>
      </c>
      <c r="C201" s="20" t="s">
        <v>39</v>
      </c>
      <c r="D201" s="20" t="s">
        <v>27</v>
      </c>
      <c r="E201" s="20" t="s">
        <v>163</v>
      </c>
      <c r="F201" s="20" t="s">
        <v>625</v>
      </c>
      <c r="G201" s="20" t="s">
        <v>626</v>
      </c>
      <c r="H201" s="20" t="s">
        <v>627</v>
      </c>
      <c r="I201" s="33">
        <v>34685</v>
      </c>
      <c r="J201" s="33">
        <v>43559</v>
      </c>
      <c r="K201" s="28">
        <f ca="1">SUMIF(Data!$C$6:$V$29146,A201,Data!$V$6:$V$29146)</f>
        <v>0</v>
      </c>
      <c r="L201" s="28">
        <f t="shared" ca="1" si="3"/>
        <v>0</v>
      </c>
      <c r="M201" s="11" t="s">
        <v>408</v>
      </c>
    </row>
    <row r="202" spans="1:13" x14ac:dyDescent="0.2">
      <c r="A202" s="20">
        <v>100029845</v>
      </c>
      <c r="B202" s="20" t="s">
        <v>69</v>
      </c>
      <c r="C202" s="20" t="s">
        <v>39</v>
      </c>
      <c r="D202" s="20" t="s">
        <v>32</v>
      </c>
      <c r="E202" s="20" t="s">
        <v>70</v>
      </c>
      <c r="F202" s="20" t="s">
        <v>628</v>
      </c>
      <c r="G202" s="20" t="s">
        <v>629</v>
      </c>
      <c r="H202" s="20" t="s">
        <v>630</v>
      </c>
      <c r="I202" s="33">
        <v>27445</v>
      </c>
      <c r="J202" s="33">
        <v>43182</v>
      </c>
      <c r="K202" s="28">
        <f ca="1">SUMIF(Data!$C$6:$V$29146,A202,Data!$V$6:$V$29146)</f>
        <v>0</v>
      </c>
      <c r="L202" s="28">
        <f t="shared" ca="1" si="3"/>
        <v>0</v>
      </c>
      <c r="M202" s="11" t="s">
        <v>408</v>
      </c>
    </row>
    <row r="203" spans="1:13" x14ac:dyDescent="0.2">
      <c r="A203" s="21">
        <v>100059841</v>
      </c>
      <c r="B203" s="20" t="s">
        <v>321</v>
      </c>
      <c r="C203" s="20" t="s">
        <v>39</v>
      </c>
      <c r="D203" s="20" t="s">
        <v>32</v>
      </c>
      <c r="E203" s="20" t="s">
        <v>322</v>
      </c>
      <c r="F203" s="20" t="s">
        <v>631</v>
      </c>
      <c r="G203" s="20" t="s">
        <v>431</v>
      </c>
      <c r="H203" s="20" t="s">
        <v>632</v>
      </c>
      <c r="I203" s="33">
        <v>24545</v>
      </c>
      <c r="J203" s="33">
        <v>44742</v>
      </c>
      <c r="K203" s="28">
        <f ca="1">SUMIF(Data!$C$6:$V$29146,A203,Data!$V$6:$V$29146)</f>
        <v>0</v>
      </c>
      <c r="L203" s="28">
        <f t="shared" ca="1" si="3"/>
        <v>0</v>
      </c>
      <c r="M203" s="11" t="s">
        <v>408</v>
      </c>
    </row>
    <row r="204" spans="1:13" x14ac:dyDescent="0.2">
      <c r="A204" s="19">
        <v>100029781</v>
      </c>
      <c r="B204" s="20" t="s">
        <v>1285</v>
      </c>
      <c r="C204" s="20" t="s">
        <v>39</v>
      </c>
      <c r="D204" s="20" t="s">
        <v>28</v>
      </c>
      <c r="E204" s="20" t="s">
        <v>1286</v>
      </c>
      <c r="F204" s="20" t="s">
        <v>1348</v>
      </c>
      <c r="G204" s="20" t="s">
        <v>412</v>
      </c>
      <c r="H204" s="20" t="s">
        <v>1349</v>
      </c>
      <c r="I204" s="33">
        <v>19468</v>
      </c>
      <c r="J204" s="33">
        <v>43182</v>
      </c>
      <c r="K204" s="28">
        <f ca="1">SUMIF(Data!$C$6:$V$29146,A204,Data!$V$6:$V$29146)</f>
        <v>0</v>
      </c>
      <c r="L204" s="28">
        <f t="shared" ca="1" si="3"/>
        <v>0</v>
      </c>
      <c r="M204" s="11" t="s">
        <v>408</v>
      </c>
    </row>
    <row r="205" spans="1:13" x14ac:dyDescent="0.2">
      <c r="A205" s="19" t="s">
        <v>1607</v>
      </c>
      <c r="B205" s="20" t="s">
        <v>1659</v>
      </c>
      <c r="C205" s="20" t="s">
        <v>39</v>
      </c>
      <c r="D205" s="20" t="s">
        <v>35</v>
      </c>
      <c r="E205" s="20" t="s">
        <v>1711</v>
      </c>
      <c r="F205" s="20" t="s">
        <v>1761</v>
      </c>
      <c r="G205" s="20" t="s">
        <v>1071</v>
      </c>
      <c r="H205" s="20" t="s">
        <v>1816</v>
      </c>
      <c r="I205" s="33">
        <v>33262</v>
      </c>
      <c r="J205" s="33">
        <v>45688</v>
      </c>
      <c r="K205" s="28">
        <f ca="1">SUMIF(Data!$C$6:$V$29146,A205,Data!$V$6:$V$29146)</f>
        <v>0</v>
      </c>
      <c r="L205" s="28">
        <f t="shared" ca="1" si="3"/>
        <v>0</v>
      </c>
      <c r="M205" s="11" t="s">
        <v>408</v>
      </c>
    </row>
    <row r="206" spans="1:13" x14ac:dyDescent="0.2">
      <c r="A206" s="19">
        <v>100082264</v>
      </c>
      <c r="B206" s="20" t="s">
        <v>1187</v>
      </c>
      <c r="C206" s="20" t="s">
        <v>39</v>
      </c>
      <c r="D206" s="20" t="s">
        <v>27</v>
      </c>
      <c r="E206" s="20" t="s">
        <v>1188</v>
      </c>
      <c r="F206" s="20" t="s">
        <v>1233</v>
      </c>
      <c r="G206" s="20" t="s">
        <v>484</v>
      </c>
      <c r="H206" s="20" t="s">
        <v>1234</v>
      </c>
      <c r="I206" s="33">
        <v>37777</v>
      </c>
      <c r="J206" s="33">
        <v>45414</v>
      </c>
      <c r="K206" s="28">
        <f ca="1">SUMIF(Data!$C$6:$V$29146,A206,Data!$V$6:$V$29146)</f>
        <v>0</v>
      </c>
      <c r="L206" s="28">
        <f t="shared" ca="1" si="3"/>
        <v>0</v>
      </c>
      <c r="M206" s="11" t="s">
        <v>408</v>
      </c>
    </row>
    <row r="207" spans="1:13" x14ac:dyDescent="0.2">
      <c r="A207" s="19" t="s">
        <v>2122</v>
      </c>
      <c r="B207" s="20" t="s">
        <v>2123</v>
      </c>
      <c r="C207" s="20" t="s">
        <v>39</v>
      </c>
      <c r="D207" s="20" t="s">
        <v>30</v>
      </c>
      <c r="E207" s="20" t="s">
        <v>2124</v>
      </c>
      <c r="F207" s="20" t="s">
        <v>2125</v>
      </c>
      <c r="G207" s="20" t="s">
        <v>633</v>
      </c>
      <c r="H207" s="20" t="s">
        <v>2126</v>
      </c>
      <c r="I207" s="33">
        <v>31008</v>
      </c>
      <c r="J207" s="33">
        <v>45785</v>
      </c>
      <c r="K207" s="28">
        <f ca="1">SUMIF(Data!$C$6:$V$29146,A207,Data!$V$6:$V$29146)</f>
        <v>0</v>
      </c>
      <c r="L207" s="28">
        <f t="shared" ca="1" si="3"/>
        <v>0</v>
      </c>
      <c r="M207" s="11" t="s">
        <v>408</v>
      </c>
    </row>
    <row r="208" spans="1:13" x14ac:dyDescent="0.2">
      <c r="A208" s="19" t="s">
        <v>1608</v>
      </c>
      <c r="B208" s="20" t="s">
        <v>1660</v>
      </c>
      <c r="C208" s="20" t="s">
        <v>39</v>
      </c>
      <c r="D208" s="20" t="s">
        <v>29</v>
      </c>
      <c r="E208" s="20" t="s">
        <v>1712</v>
      </c>
      <c r="F208" s="20" t="s">
        <v>1762</v>
      </c>
      <c r="G208" s="20" t="s">
        <v>413</v>
      </c>
      <c r="H208" s="20" t="s">
        <v>1817</v>
      </c>
      <c r="I208" s="33">
        <v>37417</v>
      </c>
      <c r="J208" s="33">
        <v>45688</v>
      </c>
      <c r="K208" s="28">
        <f ca="1">SUMIF(Data!$C$6:$V$29146,A208,Data!$V$6:$V$29146)</f>
        <v>0</v>
      </c>
      <c r="L208" s="28">
        <f t="shared" ca="1" si="3"/>
        <v>0</v>
      </c>
      <c r="M208" s="11" t="s">
        <v>408</v>
      </c>
    </row>
    <row r="209" spans="1:13" x14ac:dyDescent="0.2">
      <c r="A209" s="19">
        <v>100090862</v>
      </c>
      <c r="B209" s="20" t="s">
        <v>1854</v>
      </c>
      <c r="C209" s="20" t="s">
        <v>39</v>
      </c>
      <c r="D209" s="20" t="s">
        <v>60</v>
      </c>
      <c r="E209" s="20" t="s">
        <v>1871</v>
      </c>
      <c r="F209" s="20" t="s">
        <v>1888</v>
      </c>
      <c r="G209" s="20" t="s">
        <v>713</v>
      </c>
      <c r="H209" s="20" t="s">
        <v>1904</v>
      </c>
      <c r="I209" s="33">
        <v>30445</v>
      </c>
      <c r="J209" s="33">
        <v>45736</v>
      </c>
      <c r="K209" s="28">
        <f ca="1">SUMIF(Data!$C$6:$V$29146,A209,Data!$V$6:$V$29146)</f>
        <v>0</v>
      </c>
      <c r="L209" s="28">
        <f t="shared" ca="1" si="3"/>
        <v>0</v>
      </c>
      <c r="M209" s="11" t="s">
        <v>408</v>
      </c>
    </row>
    <row r="210" spans="1:13" x14ac:dyDescent="0.2">
      <c r="A210" s="19">
        <v>100036437</v>
      </c>
      <c r="B210" s="20" t="s">
        <v>147</v>
      </c>
      <c r="C210" s="20" t="s">
        <v>39</v>
      </c>
      <c r="D210" s="20" t="s">
        <v>24</v>
      </c>
      <c r="E210" s="20" t="s">
        <v>148</v>
      </c>
      <c r="F210" s="20" t="s">
        <v>634</v>
      </c>
      <c r="G210" s="20" t="s">
        <v>635</v>
      </c>
      <c r="H210" s="20" t="s">
        <v>636</v>
      </c>
      <c r="I210" s="33">
        <v>29146</v>
      </c>
      <c r="J210" s="33">
        <v>43517</v>
      </c>
      <c r="K210" s="28">
        <f ca="1">SUMIF(Data!$C$6:$V$29146,A210,Data!$V$6:$V$29146)</f>
        <v>0</v>
      </c>
      <c r="L210" s="28">
        <f t="shared" ca="1" si="3"/>
        <v>0</v>
      </c>
      <c r="M210" s="11" t="s">
        <v>408</v>
      </c>
    </row>
    <row r="211" spans="1:13" x14ac:dyDescent="0.2">
      <c r="A211" s="20">
        <v>100036549</v>
      </c>
      <c r="B211" s="20" t="s">
        <v>158</v>
      </c>
      <c r="C211" s="20" t="s">
        <v>39</v>
      </c>
      <c r="D211" s="20" t="s">
        <v>47</v>
      </c>
      <c r="E211" s="20" t="s">
        <v>159</v>
      </c>
      <c r="F211" s="20" t="s">
        <v>637</v>
      </c>
      <c r="G211" s="20" t="s">
        <v>412</v>
      </c>
      <c r="H211" s="20" t="s">
        <v>638</v>
      </c>
      <c r="I211" s="33">
        <v>33940</v>
      </c>
      <c r="J211" s="33">
        <v>43525</v>
      </c>
      <c r="K211" s="28">
        <f ca="1">SUMIF(Data!$C$6:$V$29146,A211,Data!$V$6:$V$29146)</f>
        <v>0</v>
      </c>
      <c r="L211" s="28">
        <f t="shared" ca="1" si="3"/>
        <v>0</v>
      </c>
      <c r="M211" s="11" t="s">
        <v>408</v>
      </c>
    </row>
    <row r="212" spans="1:13" x14ac:dyDescent="0.2">
      <c r="A212" s="19">
        <v>100037653</v>
      </c>
      <c r="B212" s="20" t="s">
        <v>1075</v>
      </c>
      <c r="C212" s="20" t="s">
        <v>39</v>
      </c>
      <c r="D212" s="20" t="s">
        <v>32</v>
      </c>
      <c r="E212" s="20" t="s">
        <v>164</v>
      </c>
      <c r="F212" s="20" t="s">
        <v>639</v>
      </c>
      <c r="G212" s="20" t="s">
        <v>640</v>
      </c>
      <c r="H212" s="20" t="s">
        <v>641</v>
      </c>
      <c r="I212" s="33">
        <v>31328</v>
      </c>
      <c r="J212" s="33">
        <v>43559</v>
      </c>
      <c r="K212" s="28">
        <f ca="1">SUMIF(Data!$C$6:$V$29146,A212,Data!$V$6:$V$29146)</f>
        <v>0</v>
      </c>
      <c r="L212" s="28">
        <f t="shared" ca="1" si="3"/>
        <v>0</v>
      </c>
      <c r="M212" s="11" t="s">
        <v>408</v>
      </c>
    </row>
    <row r="213" spans="1:13" x14ac:dyDescent="0.2">
      <c r="A213" s="19">
        <v>100019290</v>
      </c>
      <c r="B213" s="20" t="s">
        <v>46</v>
      </c>
      <c r="C213" s="20" t="s">
        <v>39</v>
      </c>
      <c r="D213" s="20" t="s">
        <v>47</v>
      </c>
      <c r="E213" s="20" t="s">
        <v>48</v>
      </c>
      <c r="F213" s="20" t="s">
        <v>642</v>
      </c>
      <c r="G213" s="20" t="s">
        <v>425</v>
      </c>
      <c r="H213" s="20" t="s">
        <v>643</v>
      </c>
      <c r="I213" s="33">
        <v>25099</v>
      </c>
      <c r="J213" s="33">
        <v>42572</v>
      </c>
      <c r="K213" s="28">
        <f ca="1">SUMIF(Data!$C$6:$V$29146,A213,Data!$V$6:$V$29146)</f>
        <v>0</v>
      </c>
      <c r="L213" s="28">
        <f t="shared" ca="1" si="3"/>
        <v>0</v>
      </c>
      <c r="M213" s="11" t="s">
        <v>408</v>
      </c>
    </row>
    <row r="214" spans="1:13" x14ac:dyDescent="0.2">
      <c r="A214" s="19">
        <v>100032345</v>
      </c>
      <c r="B214" s="20" t="s">
        <v>108</v>
      </c>
      <c r="C214" s="20" t="s">
        <v>39</v>
      </c>
      <c r="D214" s="20" t="s">
        <v>32</v>
      </c>
      <c r="E214" s="20" t="s">
        <v>109</v>
      </c>
      <c r="F214" s="20" t="s">
        <v>644</v>
      </c>
      <c r="G214" s="20" t="s">
        <v>479</v>
      </c>
      <c r="H214" s="20" t="s">
        <v>645</v>
      </c>
      <c r="I214" s="33">
        <v>28641</v>
      </c>
      <c r="J214" s="33">
        <v>43237</v>
      </c>
      <c r="K214" s="28">
        <f ca="1">SUMIF(Data!$C$6:$V$29146,A214,Data!$V$6:$V$29146)</f>
        <v>6.69</v>
      </c>
      <c r="L214" s="28">
        <f t="shared" ca="1" si="3"/>
        <v>1.6725000000000001</v>
      </c>
      <c r="M214" s="11" t="s">
        <v>408</v>
      </c>
    </row>
    <row r="215" spans="1:13" x14ac:dyDescent="0.2">
      <c r="A215" s="20">
        <v>100087237</v>
      </c>
      <c r="B215" s="20" t="s">
        <v>1548</v>
      </c>
      <c r="C215" s="20" t="s">
        <v>39</v>
      </c>
      <c r="D215" s="20" t="s">
        <v>35</v>
      </c>
      <c r="E215" s="20" t="s">
        <v>1549</v>
      </c>
      <c r="F215" s="20" t="s">
        <v>1550</v>
      </c>
      <c r="G215" s="20" t="s">
        <v>1551</v>
      </c>
      <c r="H215" s="20" t="s">
        <v>1552</v>
      </c>
      <c r="I215" s="33">
        <v>25566</v>
      </c>
      <c r="J215" s="33">
        <v>45546</v>
      </c>
      <c r="K215" s="28">
        <f ca="1">SUMIF(Data!$C$6:$V$29146,A215,Data!$V$6:$V$29146)</f>
        <v>22.67</v>
      </c>
      <c r="L215" s="28">
        <f t="shared" ca="1" si="3"/>
        <v>5.6675000000000004</v>
      </c>
      <c r="M215" s="11" t="s">
        <v>408</v>
      </c>
    </row>
    <row r="216" spans="1:13" x14ac:dyDescent="0.2">
      <c r="A216" s="25">
        <v>100067153</v>
      </c>
      <c r="B216" s="20" t="s">
        <v>1102</v>
      </c>
      <c r="C216" s="20" t="s">
        <v>39</v>
      </c>
      <c r="D216" s="20" t="s">
        <v>35</v>
      </c>
      <c r="E216" s="20" t="s">
        <v>388</v>
      </c>
      <c r="F216" s="20" t="s">
        <v>646</v>
      </c>
      <c r="G216" s="20" t="s">
        <v>647</v>
      </c>
      <c r="H216" s="20" t="s">
        <v>648</v>
      </c>
      <c r="I216" s="33">
        <v>34836</v>
      </c>
      <c r="J216" s="33">
        <v>45028</v>
      </c>
      <c r="K216" s="28">
        <f ca="1">SUMIF(Data!$C$6:$V$29146,A216,Data!$V$6:$V$29146)</f>
        <v>0</v>
      </c>
      <c r="L216" s="28">
        <f t="shared" ca="1" si="3"/>
        <v>0</v>
      </c>
      <c r="M216" s="11" t="s">
        <v>408</v>
      </c>
    </row>
    <row r="217" spans="1:13" x14ac:dyDescent="0.2">
      <c r="A217" s="19" t="s">
        <v>1609</v>
      </c>
      <c r="B217" s="20" t="s">
        <v>1661</v>
      </c>
      <c r="C217" s="20" t="s">
        <v>39</v>
      </c>
      <c r="D217" s="20" t="s">
        <v>30</v>
      </c>
      <c r="E217" s="20" t="s">
        <v>1713</v>
      </c>
      <c r="F217" s="20" t="s">
        <v>1763</v>
      </c>
      <c r="G217" s="20" t="s">
        <v>1764</v>
      </c>
      <c r="H217" s="20" t="s">
        <v>1818</v>
      </c>
      <c r="I217" s="33">
        <v>38714</v>
      </c>
      <c r="J217" s="33">
        <v>45688</v>
      </c>
      <c r="K217" s="28">
        <f ca="1">SUMIF(Data!$C$6:$V$29146,A217,Data!$V$6:$V$29146)</f>
        <v>0</v>
      </c>
      <c r="L217" s="28">
        <f t="shared" ca="1" si="3"/>
        <v>0</v>
      </c>
      <c r="M217" s="11" t="s">
        <v>408</v>
      </c>
    </row>
    <row r="218" spans="1:13" x14ac:dyDescent="0.2">
      <c r="A218" s="19" t="s">
        <v>1610</v>
      </c>
      <c r="B218" s="20" t="s">
        <v>1662</v>
      </c>
      <c r="C218" s="20" t="s">
        <v>39</v>
      </c>
      <c r="D218" s="20" t="s">
        <v>30</v>
      </c>
      <c r="E218" s="20" t="s">
        <v>1714</v>
      </c>
      <c r="F218" s="20" t="s">
        <v>1765</v>
      </c>
      <c r="G218" s="20" t="s">
        <v>1766</v>
      </c>
      <c r="H218" s="20" t="s">
        <v>1819</v>
      </c>
      <c r="I218" s="33">
        <v>32330</v>
      </c>
      <c r="J218" s="33">
        <v>45688</v>
      </c>
      <c r="K218" s="28">
        <f ca="1">SUMIF(Data!$C$6:$V$29146,A218,Data!$V$6:$V$29146)</f>
        <v>0</v>
      </c>
      <c r="L218" s="28">
        <f t="shared" ca="1" si="3"/>
        <v>0</v>
      </c>
      <c r="M218" s="11" t="s">
        <v>408</v>
      </c>
    </row>
    <row r="219" spans="1:13" x14ac:dyDescent="0.2">
      <c r="A219" s="19" t="s">
        <v>1611</v>
      </c>
      <c r="B219" s="20" t="s">
        <v>1663</v>
      </c>
      <c r="C219" s="20" t="s">
        <v>39</v>
      </c>
      <c r="D219" s="20" t="s">
        <v>26</v>
      </c>
      <c r="E219" s="20" t="s">
        <v>1715</v>
      </c>
      <c r="F219" s="20" t="s">
        <v>1767</v>
      </c>
      <c r="G219" s="20" t="s">
        <v>578</v>
      </c>
      <c r="H219" s="20" t="s">
        <v>1820</v>
      </c>
      <c r="I219" s="33">
        <v>28670</v>
      </c>
      <c r="J219" s="33">
        <v>45688</v>
      </c>
      <c r="K219" s="28">
        <f ca="1">SUMIF(Data!$C$6:$V$29146,A219,Data!$V$6:$V$29146)</f>
        <v>0</v>
      </c>
      <c r="L219" s="28">
        <f t="shared" ca="1" si="3"/>
        <v>0</v>
      </c>
      <c r="M219" s="11" t="s">
        <v>408</v>
      </c>
    </row>
    <row r="220" spans="1:13" x14ac:dyDescent="0.2">
      <c r="A220" s="20">
        <v>100059842</v>
      </c>
      <c r="B220" s="20" t="s">
        <v>323</v>
      </c>
      <c r="C220" s="20" t="s">
        <v>39</v>
      </c>
      <c r="D220" s="20" t="s">
        <v>47</v>
      </c>
      <c r="E220" s="20" t="s">
        <v>324</v>
      </c>
      <c r="F220" s="20" t="s">
        <v>650</v>
      </c>
      <c r="G220" s="20" t="s">
        <v>434</v>
      </c>
      <c r="H220" s="20" t="s">
        <v>651</v>
      </c>
      <c r="I220" s="33">
        <v>32072</v>
      </c>
      <c r="J220" s="33">
        <v>44742</v>
      </c>
      <c r="K220" s="28">
        <f ca="1">SUMIF(Data!$C$6:$V$29146,A220,Data!$V$6:$V$29146)</f>
        <v>0</v>
      </c>
      <c r="L220" s="28">
        <f t="shared" ca="1" si="3"/>
        <v>0</v>
      </c>
      <c r="M220" s="11" t="s">
        <v>408</v>
      </c>
    </row>
    <row r="221" spans="1:13" x14ac:dyDescent="0.2">
      <c r="A221" s="19" t="s">
        <v>2127</v>
      </c>
      <c r="B221" s="20" t="s">
        <v>2128</v>
      </c>
      <c r="C221" s="20" t="s">
        <v>39</v>
      </c>
      <c r="D221" s="20" t="s">
        <v>23</v>
      </c>
      <c r="E221" s="20" t="s">
        <v>2129</v>
      </c>
      <c r="F221" s="20" t="s">
        <v>2130</v>
      </c>
      <c r="G221" s="20" t="s">
        <v>512</v>
      </c>
      <c r="H221" s="20" t="s">
        <v>2131</v>
      </c>
      <c r="I221" s="33">
        <v>37964</v>
      </c>
      <c r="J221" s="33">
        <v>45785</v>
      </c>
      <c r="K221" s="28">
        <f ca="1">SUMIF(Data!$C$6:$V$29146,A221,Data!$V$6:$V$29146)</f>
        <v>0</v>
      </c>
      <c r="L221" s="28">
        <f t="shared" ca="1" si="3"/>
        <v>0</v>
      </c>
      <c r="M221" s="11" t="s">
        <v>408</v>
      </c>
    </row>
    <row r="222" spans="1:13" x14ac:dyDescent="0.2">
      <c r="A222" s="20">
        <v>100087211</v>
      </c>
      <c r="B222" s="20" t="s">
        <v>1363</v>
      </c>
      <c r="C222" s="20" t="s">
        <v>39</v>
      </c>
      <c r="D222" s="20" t="s">
        <v>29</v>
      </c>
      <c r="E222" s="20" t="s">
        <v>1364</v>
      </c>
      <c r="F222" s="20" t="s">
        <v>1365</v>
      </c>
      <c r="G222" s="20" t="s">
        <v>738</v>
      </c>
      <c r="H222" s="20" t="s">
        <v>1366</v>
      </c>
      <c r="I222" s="33">
        <v>31016</v>
      </c>
      <c r="J222" s="33">
        <v>45546</v>
      </c>
      <c r="K222" s="28">
        <f ca="1">SUMIF(Data!$C$6:$V$29146,A222,Data!$V$6:$V$29146)</f>
        <v>60.02</v>
      </c>
      <c r="L222" s="28">
        <f t="shared" ca="1" si="3"/>
        <v>15.005000000000001</v>
      </c>
      <c r="M222" s="11" t="s">
        <v>408</v>
      </c>
    </row>
    <row r="223" spans="1:13" x14ac:dyDescent="0.2">
      <c r="A223" s="19" t="s">
        <v>1612</v>
      </c>
      <c r="B223" s="20" t="s">
        <v>1664</v>
      </c>
      <c r="C223" s="20" t="s">
        <v>39</v>
      </c>
      <c r="D223" s="20" t="s">
        <v>30</v>
      </c>
      <c r="E223" s="20" t="s">
        <v>1716</v>
      </c>
      <c r="F223" s="20" t="s">
        <v>1768</v>
      </c>
      <c r="G223" s="20" t="s">
        <v>425</v>
      </c>
      <c r="H223" s="20"/>
      <c r="I223" s="33">
        <v>27893</v>
      </c>
      <c r="J223" s="33">
        <v>45688</v>
      </c>
      <c r="K223" s="28">
        <f ca="1">SUMIF(Data!$C$6:$V$29146,A223,Data!$V$6:$V$29146)</f>
        <v>0</v>
      </c>
      <c r="L223" s="28">
        <f t="shared" ca="1" si="3"/>
        <v>0</v>
      </c>
      <c r="M223" s="11" t="s">
        <v>408</v>
      </c>
    </row>
    <row r="224" spans="1:13" x14ac:dyDescent="0.2">
      <c r="A224" s="19" t="s">
        <v>2132</v>
      </c>
      <c r="B224" s="20" t="s">
        <v>2133</v>
      </c>
      <c r="C224" s="20" t="s">
        <v>39</v>
      </c>
      <c r="D224" s="20" t="s">
        <v>60</v>
      </c>
      <c r="E224" s="20" t="s">
        <v>2134</v>
      </c>
      <c r="F224" s="20" t="s">
        <v>2135</v>
      </c>
      <c r="G224" s="20" t="s">
        <v>580</v>
      </c>
      <c r="H224" s="20" t="s">
        <v>2136</v>
      </c>
      <c r="I224" s="33">
        <v>37591</v>
      </c>
      <c r="J224" s="33">
        <v>45785</v>
      </c>
      <c r="K224" s="28">
        <f ca="1">SUMIF(Data!$C$6:$V$29146,A224,Data!$V$6:$V$29146)</f>
        <v>0</v>
      </c>
      <c r="L224" s="28">
        <f t="shared" ca="1" si="3"/>
        <v>0</v>
      </c>
      <c r="M224" s="11" t="s">
        <v>408</v>
      </c>
    </row>
    <row r="225" spans="1:13" x14ac:dyDescent="0.2">
      <c r="A225" s="19">
        <v>100039090</v>
      </c>
      <c r="B225" s="20" t="s">
        <v>171</v>
      </c>
      <c r="C225" s="20" t="s">
        <v>39</v>
      </c>
      <c r="D225" s="20" t="s">
        <v>32</v>
      </c>
      <c r="E225" s="20" t="s">
        <v>172</v>
      </c>
      <c r="F225" s="20" t="s">
        <v>653</v>
      </c>
      <c r="G225" s="20" t="s">
        <v>578</v>
      </c>
      <c r="H225" s="20" t="s">
        <v>654</v>
      </c>
      <c r="I225" s="33">
        <v>26549</v>
      </c>
      <c r="J225" s="33">
        <v>43600</v>
      </c>
      <c r="K225" s="28">
        <f ca="1">SUMIF(Data!$C$6:$V$29146,A225,Data!$V$6:$V$29146)</f>
        <v>36</v>
      </c>
      <c r="L225" s="28">
        <f t="shared" ca="1" si="3"/>
        <v>9</v>
      </c>
      <c r="M225" s="11" t="s">
        <v>408</v>
      </c>
    </row>
    <row r="226" spans="1:13" x14ac:dyDescent="0.2">
      <c r="A226" s="19" t="s">
        <v>1613</v>
      </c>
      <c r="B226" s="20" t="s">
        <v>1665</v>
      </c>
      <c r="C226" s="20" t="s">
        <v>39</v>
      </c>
      <c r="D226" s="20" t="s">
        <v>31</v>
      </c>
      <c r="E226" s="20" t="s">
        <v>1717</v>
      </c>
      <c r="F226" s="20" t="s">
        <v>1769</v>
      </c>
      <c r="G226" s="20" t="s">
        <v>1770</v>
      </c>
      <c r="H226" s="20" t="s">
        <v>1821</v>
      </c>
      <c r="I226" s="33">
        <v>27137</v>
      </c>
      <c r="J226" s="33">
        <v>45688</v>
      </c>
      <c r="K226" s="28">
        <f ca="1">SUMIF(Data!$C$6:$V$29146,A226,Data!$V$6:$V$29146)</f>
        <v>9.4600000000000009</v>
      </c>
      <c r="L226" s="28">
        <f t="shared" ca="1" si="3"/>
        <v>2.3650000000000002</v>
      </c>
      <c r="M226" s="11" t="s">
        <v>408</v>
      </c>
    </row>
    <row r="227" spans="1:13" x14ac:dyDescent="0.2">
      <c r="A227" s="19" t="s">
        <v>2137</v>
      </c>
      <c r="B227" s="20" t="s">
        <v>2138</v>
      </c>
      <c r="C227" s="20" t="s">
        <v>39</v>
      </c>
      <c r="D227" s="20" t="s">
        <v>47</v>
      </c>
      <c r="E227" s="20" t="s">
        <v>2139</v>
      </c>
      <c r="F227" s="20" t="s">
        <v>2140</v>
      </c>
      <c r="G227" s="20" t="s">
        <v>1751</v>
      </c>
      <c r="H227" s="20" t="s">
        <v>2141</v>
      </c>
      <c r="I227" s="33">
        <v>37426</v>
      </c>
      <c r="J227" s="33">
        <v>45785</v>
      </c>
      <c r="K227" s="28">
        <f ca="1">SUMIF(Data!$C$6:$V$29146,A227,Data!$V$6:$V$29146)</f>
        <v>0</v>
      </c>
      <c r="L227" s="28">
        <f t="shared" ca="1" si="3"/>
        <v>0</v>
      </c>
      <c r="M227" s="11" t="s">
        <v>408</v>
      </c>
    </row>
    <row r="228" spans="1:13" x14ac:dyDescent="0.2">
      <c r="A228" s="19" t="s">
        <v>2142</v>
      </c>
      <c r="B228" s="20" t="s">
        <v>2143</v>
      </c>
      <c r="C228" s="20" t="s">
        <v>39</v>
      </c>
      <c r="D228" s="20" t="s">
        <v>60</v>
      </c>
      <c r="E228" s="20" t="s">
        <v>2144</v>
      </c>
      <c r="F228" s="20" t="s">
        <v>2145</v>
      </c>
      <c r="G228" s="20" t="s">
        <v>2146</v>
      </c>
      <c r="H228" s="20" t="s">
        <v>2147</v>
      </c>
      <c r="I228" s="33">
        <v>32012</v>
      </c>
      <c r="J228" s="33">
        <v>45785</v>
      </c>
      <c r="K228" s="28">
        <f ca="1">SUMIF(Data!$C$6:$V$29146,A228,Data!$V$6:$V$29146)</f>
        <v>0</v>
      </c>
      <c r="L228" s="28">
        <f t="shared" ca="1" si="3"/>
        <v>0</v>
      </c>
      <c r="M228" s="11" t="s">
        <v>408</v>
      </c>
    </row>
    <row r="229" spans="1:13" x14ac:dyDescent="0.2">
      <c r="A229" s="19">
        <v>100062556</v>
      </c>
      <c r="B229" s="20" t="s">
        <v>339</v>
      </c>
      <c r="C229" s="20" t="s">
        <v>39</v>
      </c>
      <c r="D229" s="20" t="s">
        <v>25</v>
      </c>
      <c r="E229" s="20" t="s">
        <v>340</v>
      </c>
      <c r="F229" s="20" t="s">
        <v>655</v>
      </c>
      <c r="G229" s="20" t="s">
        <v>538</v>
      </c>
      <c r="H229" s="20" t="s">
        <v>656</v>
      </c>
      <c r="I229" s="33">
        <v>37900</v>
      </c>
      <c r="J229" s="33">
        <v>44832</v>
      </c>
      <c r="K229" s="28">
        <f ca="1">SUMIF(Data!$C$6:$V$29146,A229,Data!$V$6:$V$29146)</f>
        <v>0</v>
      </c>
      <c r="L229" s="28">
        <f t="shared" ca="1" si="3"/>
        <v>0</v>
      </c>
      <c r="M229" s="11" t="s">
        <v>408</v>
      </c>
    </row>
    <row r="230" spans="1:13" x14ac:dyDescent="0.2">
      <c r="A230" s="19">
        <v>100029769</v>
      </c>
      <c r="B230" s="20" t="s">
        <v>71</v>
      </c>
      <c r="C230" s="20" t="s">
        <v>39</v>
      </c>
      <c r="D230" s="20" t="s">
        <v>28</v>
      </c>
      <c r="E230" s="20" t="s">
        <v>72</v>
      </c>
      <c r="F230" s="20" t="s">
        <v>657</v>
      </c>
      <c r="G230" s="20" t="s">
        <v>425</v>
      </c>
      <c r="H230" s="20" t="s">
        <v>658</v>
      </c>
      <c r="I230" s="33">
        <v>22388</v>
      </c>
      <c r="J230" s="33">
        <v>43182</v>
      </c>
      <c r="K230" s="28">
        <f ca="1">SUMIF(Data!$C$6:$V$29146,A230,Data!$V$6:$V$29146)</f>
        <v>87.600000000000009</v>
      </c>
      <c r="L230" s="28">
        <f t="shared" ca="1" si="3"/>
        <v>21.900000000000002</v>
      </c>
      <c r="M230" s="11" t="s">
        <v>408</v>
      </c>
    </row>
    <row r="231" spans="1:13" ht="16.149999999999999" customHeight="1" x14ac:dyDescent="0.2">
      <c r="A231" s="20">
        <v>100036411</v>
      </c>
      <c r="B231" s="20" t="s">
        <v>149</v>
      </c>
      <c r="C231" s="20" t="s">
        <v>39</v>
      </c>
      <c r="D231" s="20" t="s">
        <v>32</v>
      </c>
      <c r="E231" s="20" t="s">
        <v>150</v>
      </c>
      <c r="F231" s="20" t="s">
        <v>659</v>
      </c>
      <c r="G231" s="20" t="s">
        <v>660</v>
      </c>
      <c r="H231" s="20" t="s">
        <v>661</v>
      </c>
      <c r="I231" s="33">
        <v>36223</v>
      </c>
      <c r="J231" s="33">
        <v>43517</v>
      </c>
      <c r="K231" s="28">
        <f ca="1">SUMIF(Data!$C$6:$V$29146,A231,Data!$V$6:$V$29146)</f>
        <v>0</v>
      </c>
      <c r="L231" s="28">
        <f t="shared" ca="1" si="3"/>
        <v>0</v>
      </c>
      <c r="M231" s="11" t="s">
        <v>408</v>
      </c>
    </row>
    <row r="232" spans="1:13" x14ac:dyDescent="0.2">
      <c r="A232" s="19">
        <v>100082261</v>
      </c>
      <c r="B232" s="20" t="s">
        <v>1191</v>
      </c>
      <c r="C232" s="20" t="s">
        <v>39</v>
      </c>
      <c r="D232" s="20" t="s">
        <v>47</v>
      </c>
      <c r="E232" s="20" t="s">
        <v>1192</v>
      </c>
      <c r="F232" s="20" t="s">
        <v>1235</v>
      </c>
      <c r="G232" s="20" t="s">
        <v>1039</v>
      </c>
      <c r="H232" s="20" t="s">
        <v>1236</v>
      </c>
      <c r="I232" s="33">
        <v>38325</v>
      </c>
      <c r="J232" s="33">
        <v>45414</v>
      </c>
      <c r="K232" s="28">
        <f ca="1">SUMIF(Data!$C$6:$V$29146,A232,Data!$V$6:$V$29146)</f>
        <v>0</v>
      </c>
      <c r="L232" s="28">
        <f t="shared" ca="1" si="3"/>
        <v>0</v>
      </c>
      <c r="M232" s="11" t="s">
        <v>408</v>
      </c>
    </row>
    <row r="233" spans="1:13" x14ac:dyDescent="0.2">
      <c r="A233" s="20">
        <v>100029807</v>
      </c>
      <c r="B233" s="20" t="s">
        <v>73</v>
      </c>
      <c r="C233" s="20" t="s">
        <v>39</v>
      </c>
      <c r="D233" s="20" t="s">
        <v>25</v>
      </c>
      <c r="E233" s="20" t="s">
        <v>74</v>
      </c>
      <c r="F233" s="20" t="s">
        <v>663</v>
      </c>
      <c r="G233" s="20" t="s">
        <v>664</v>
      </c>
      <c r="H233" s="20" t="s">
        <v>665</v>
      </c>
      <c r="I233" s="33">
        <v>33874</v>
      </c>
      <c r="J233" s="33">
        <v>43182</v>
      </c>
      <c r="K233" s="28">
        <f ca="1">SUMIF(Data!$C$6:$V$29146,A233,Data!$V$6:$V$29146)</f>
        <v>0</v>
      </c>
      <c r="L233" s="28">
        <f t="shared" ca="1" si="3"/>
        <v>0</v>
      </c>
      <c r="M233" s="11" t="s">
        <v>408</v>
      </c>
    </row>
    <row r="234" spans="1:13" x14ac:dyDescent="0.2">
      <c r="A234" s="20">
        <v>100087208</v>
      </c>
      <c r="B234" s="20" t="s">
        <v>1410</v>
      </c>
      <c r="C234" s="20" t="s">
        <v>39</v>
      </c>
      <c r="D234" s="20" t="s">
        <v>47</v>
      </c>
      <c r="E234" s="20" t="s">
        <v>1411</v>
      </c>
      <c r="F234" s="20" t="s">
        <v>1412</v>
      </c>
      <c r="G234" s="20" t="s">
        <v>440</v>
      </c>
      <c r="H234" s="20" t="s">
        <v>1413</v>
      </c>
      <c r="I234" s="33">
        <v>20532</v>
      </c>
      <c r="J234" s="33">
        <v>45546</v>
      </c>
      <c r="K234" s="28">
        <f ca="1">SUMIF(Data!$C$6:$V$29146,A234,Data!$V$6:$V$29146)</f>
        <v>0</v>
      </c>
      <c r="L234" s="28">
        <f t="shared" ca="1" si="3"/>
        <v>0</v>
      </c>
      <c r="M234" s="11" t="s">
        <v>408</v>
      </c>
    </row>
    <row r="235" spans="1:13" x14ac:dyDescent="0.2">
      <c r="A235" s="22">
        <v>100049344</v>
      </c>
      <c r="B235" s="20" t="s">
        <v>224</v>
      </c>
      <c r="C235" s="20" t="s">
        <v>39</v>
      </c>
      <c r="D235" s="20" t="s">
        <v>34</v>
      </c>
      <c r="E235" s="20" t="s">
        <v>225</v>
      </c>
      <c r="F235" s="20" t="s">
        <v>667</v>
      </c>
      <c r="G235" s="20" t="s">
        <v>668</v>
      </c>
      <c r="H235" s="20" t="s">
        <v>669</v>
      </c>
      <c r="I235" s="33">
        <v>21862</v>
      </c>
      <c r="J235" s="33">
        <v>44392</v>
      </c>
      <c r="K235" s="28">
        <f ca="1">SUMIF(Data!$C$6:$V$29146,A235,Data!$V$6:$V$29146)</f>
        <v>26.11</v>
      </c>
      <c r="L235" s="28">
        <f t="shared" ca="1" si="3"/>
        <v>6.5274999999999999</v>
      </c>
      <c r="M235" s="11" t="s">
        <v>408</v>
      </c>
    </row>
    <row r="236" spans="1:13" x14ac:dyDescent="0.2">
      <c r="A236" s="19">
        <v>100074397</v>
      </c>
      <c r="B236" s="20" t="s">
        <v>927</v>
      </c>
      <c r="C236" s="20" t="s">
        <v>39</v>
      </c>
      <c r="D236" s="20" t="s">
        <v>27</v>
      </c>
      <c r="E236" s="20" t="s">
        <v>928</v>
      </c>
      <c r="F236" s="20" t="s">
        <v>929</v>
      </c>
      <c r="G236" s="20" t="s">
        <v>425</v>
      </c>
      <c r="H236" s="20" t="s">
        <v>930</v>
      </c>
      <c r="I236" s="33">
        <v>37321</v>
      </c>
      <c r="J236" s="33">
        <v>45189</v>
      </c>
      <c r="K236" s="28">
        <f ca="1">SUMIF(Data!$C$6:$V$29146,A236,Data!$V$6:$V$29146)</f>
        <v>0</v>
      </c>
      <c r="L236" s="28">
        <f t="shared" ca="1" si="3"/>
        <v>0</v>
      </c>
      <c r="M236" s="11" t="s">
        <v>408</v>
      </c>
    </row>
    <row r="237" spans="1:13" x14ac:dyDescent="0.2">
      <c r="A237" s="19">
        <v>100073280</v>
      </c>
      <c r="B237" s="20" t="s">
        <v>862</v>
      </c>
      <c r="C237" s="20" t="s">
        <v>39</v>
      </c>
      <c r="D237" s="20" t="s">
        <v>30</v>
      </c>
      <c r="E237" s="20" t="s">
        <v>863</v>
      </c>
      <c r="F237" s="20" t="s">
        <v>864</v>
      </c>
      <c r="G237" s="20" t="s">
        <v>448</v>
      </c>
      <c r="H237" s="20" t="s">
        <v>865</v>
      </c>
      <c r="I237" s="33">
        <v>27007</v>
      </c>
      <c r="J237" s="33">
        <v>45154</v>
      </c>
      <c r="K237" s="28">
        <f ca="1">SUMIF(Data!$C$6:$V$29146,A237,Data!$V$6:$V$29146)</f>
        <v>0</v>
      </c>
      <c r="L237" s="28">
        <f t="shared" ca="1" si="3"/>
        <v>0</v>
      </c>
      <c r="M237" s="11" t="s">
        <v>408</v>
      </c>
    </row>
    <row r="238" spans="1:13" x14ac:dyDescent="0.2">
      <c r="A238" s="20">
        <v>100058997</v>
      </c>
      <c r="B238" s="20" t="s">
        <v>1091</v>
      </c>
      <c r="C238" s="20" t="s">
        <v>39</v>
      </c>
      <c r="D238" s="20" t="s">
        <v>26</v>
      </c>
      <c r="E238" s="20" t="s">
        <v>295</v>
      </c>
      <c r="F238" s="20" t="s">
        <v>670</v>
      </c>
      <c r="G238" s="20" t="s">
        <v>640</v>
      </c>
      <c r="H238" s="20" t="s">
        <v>671</v>
      </c>
      <c r="I238" s="33">
        <v>37612</v>
      </c>
      <c r="J238" s="33">
        <v>44720</v>
      </c>
      <c r="K238" s="28">
        <f ca="1">SUMIF(Data!$C$6:$V$29146,A238,Data!$V$6:$V$29146)</f>
        <v>0</v>
      </c>
      <c r="L238" s="28">
        <f t="shared" ca="1" si="3"/>
        <v>0</v>
      </c>
      <c r="M238" s="11" t="s">
        <v>408</v>
      </c>
    </row>
    <row r="239" spans="1:13" x14ac:dyDescent="0.2">
      <c r="A239" s="19">
        <v>100044854</v>
      </c>
      <c r="B239" s="20" t="s">
        <v>203</v>
      </c>
      <c r="C239" s="20" t="s">
        <v>39</v>
      </c>
      <c r="D239" s="20" t="s">
        <v>32</v>
      </c>
      <c r="E239" s="20" t="s">
        <v>204</v>
      </c>
      <c r="F239" s="20" t="s">
        <v>672</v>
      </c>
      <c r="G239" s="20" t="s">
        <v>673</v>
      </c>
      <c r="H239" s="20" t="s">
        <v>674</v>
      </c>
      <c r="I239" s="33">
        <v>32100</v>
      </c>
      <c r="J239" s="33">
        <v>43887</v>
      </c>
      <c r="K239" s="28">
        <f ca="1">SUMIF(Data!$C$6:$V$29146,A239,Data!$V$6:$V$29146)</f>
        <v>0</v>
      </c>
      <c r="L239" s="28">
        <f t="shared" ca="1" si="3"/>
        <v>0</v>
      </c>
      <c r="M239" s="11" t="s">
        <v>408</v>
      </c>
    </row>
    <row r="240" spans="1:13" x14ac:dyDescent="0.2">
      <c r="A240" s="19">
        <v>100073310</v>
      </c>
      <c r="B240" s="20" t="s">
        <v>866</v>
      </c>
      <c r="C240" s="20" t="s">
        <v>39</v>
      </c>
      <c r="D240" s="20" t="s">
        <v>30</v>
      </c>
      <c r="E240" s="20" t="s">
        <v>867</v>
      </c>
      <c r="F240" s="20" t="s">
        <v>868</v>
      </c>
      <c r="G240" s="20" t="s">
        <v>412</v>
      </c>
      <c r="H240" s="20" t="s">
        <v>869</v>
      </c>
      <c r="I240" s="33">
        <v>23997</v>
      </c>
      <c r="J240" s="33">
        <v>45154</v>
      </c>
      <c r="K240" s="28">
        <f ca="1">SUMIF(Data!$C$6:$V$29146,A240,Data!$V$6:$V$29146)</f>
        <v>0</v>
      </c>
      <c r="L240" s="28">
        <f t="shared" ca="1" si="3"/>
        <v>0</v>
      </c>
      <c r="M240" s="11" t="s">
        <v>408</v>
      </c>
    </row>
    <row r="241" spans="1:13" x14ac:dyDescent="0.2">
      <c r="A241" s="19" t="s">
        <v>2148</v>
      </c>
      <c r="B241" s="20" t="s">
        <v>2149</v>
      </c>
      <c r="C241" s="20" t="s">
        <v>39</v>
      </c>
      <c r="D241" s="20" t="s">
        <v>30</v>
      </c>
      <c r="E241" s="20" t="s">
        <v>2150</v>
      </c>
      <c r="F241" s="20" t="s">
        <v>2151</v>
      </c>
      <c r="G241" s="20" t="s">
        <v>544</v>
      </c>
      <c r="H241" s="20" t="s">
        <v>2152</v>
      </c>
      <c r="I241" s="33">
        <v>38622</v>
      </c>
      <c r="J241" s="33">
        <v>45785</v>
      </c>
      <c r="K241" s="28">
        <f ca="1">SUMIF(Data!$C$6:$V$29146,A241,Data!$V$6:$V$29146)</f>
        <v>0</v>
      </c>
      <c r="L241" s="28">
        <f t="shared" ca="1" si="3"/>
        <v>0</v>
      </c>
      <c r="M241" s="11" t="s">
        <v>408</v>
      </c>
    </row>
    <row r="242" spans="1:13" x14ac:dyDescent="0.2">
      <c r="A242" s="19">
        <v>100077490</v>
      </c>
      <c r="B242" s="20" t="s">
        <v>985</v>
      </c>
      <c r="C242" s="20" t="s">
        <v>39</v>
      </c>
      <c r="D242" s="20" t="s">
        <v>29</v>
      </c>
      <c r="E242" s="20" t="s">
        <v>986</v>
      </c>
      <c r="F242" s="20" t="s">
        <v>1045</v>
      </c>
      <c r="G242" s="20" t="s">
        <v>926</v>
      </c>
      <c r="H242" s="20" t="s">
        <v>1046</v>
      </c>
      <c r="I242" s="33">
        <v>33615</v>
      </c>
      <c r="J242" s="33">
        <v>45322</v>
      </c>
      <c r="K242" s="28">
        <f ca="1">SUMIF(Data!$C$6:$V$29146,A242,Data!$V$6:$V$29146)</f>
        <v>0</v>
      </c>
      <c r="L242" s="28">
        <f t="shared" ca="1" si="3"/>
        <v>0</v>
      </c>
      <c r="M242" s="11" t="s">
        <v>408</v>
      </c>
    </row>
    <row r="243" spans="1:13" x14ac:dyDescent="0.2">
      <c r="A243" s="19" t="s">
        <v>2153</v>
      </c>
      <c r="B243" s="20" t="s">
        <v>2154</v>
      </c>
      <c r="C243" s="20" t="s">
        <v>39</v>
      </c>
      <c r="D243" s="20" t="s">
        <v>23</v>
      </c>
      <c r="E243" s="20" t="s">
        <v>2155</v>
      </c>
      <c r="F243" s="20" t="s">
        <v>2156</v>
      </c>
      <c r="G243" s="20" t="s">
        <v>2157</v>
      </c>
      <c r="H243" s="20" t="s">
        <v>2158</v>
      </c>
      <c r="I243" s="33">
        <v>38856</v>
      </c>
      <c r="J243" s="33">
        <v>45785</v>
      </c>
      <c r="K243" s="28">
        <f ca="1">SUMIF(Data!$C$6:$V$29146,A243,Data!$V$6:$V$29146)</f>
        <v>0</v>
      </c>
      <c r="L243" s="28">
        <f t="shared" ca="1" si="3"/>
        <v>0</v>
      </c>
      <c r="M243" s="11" t="s">
        <v>408</v>
      </c>
    </row>
    <row r="244" spans="1:13" x14ac:dyDescent="0.2">
      <c r="A244" s="22">
        <v>100059904</v>
      </c>
      <c r="B244" s="20" t="s">
        <v>325</v>
      </c>
      <c r="C244" s="20" t="s">
        <v>39</v>
      </c>
      <c r="D244" s="20" t="s">
        <v>26</v>
      </c>
      <c r="E244" s="20" t="s">
        <v>326</v>
      </c>
      <c r="F244" s="20" t="s">
        <v>675</v>
      </c>
      <c r="G244" s="20" t="s">
        <v>490</v>
      </c>
      <c r="H244" s="20" t="s">
        <v>676</v>
      </c>
      <c r="I244" s="33">
        <v>35217</v>
      </c>
      <c r="J244" s="33">
        <v>44742</v>
      </c>
      <c r="K244" s="28">
        <f ca="1">SUMIF(Data!$C$6:$V$29146,A244,Data!$V$6:$V$29146)</f>
        <v>0</v>
      </c>
      <c r="L244" s="28">
        <f t="shared" ca="1" si="3"/>
        <v>0</v>
      </c>
      <c r="M244" s="11" t="s">
        <v>408</v>
      </c>
    </row>
    <row r="245" spans="1:13" x14ac:dyDescent="0.2">
      <c r="A245" s="19">
        <v>100047609</v>
      </c>
      <c r="B245" s="20" t="s">
        <v>210</v>
      </c>
      <c r="C245" s="20" t="s">
        <v>39</v>
      </c>
      <c r="D245" s="20" t="s">
        <v>23</v>
      </c>
      <c r="E245" s="20" t="s">
        <v>211</v>
      </c>
      <c r="F245" s="20" t="s">
        <v>677</v>
      </c>
      <c r="G245" s="20" t="s">
        <v>490</v>
      </c>
      <c r="H245" s="20" t="s">
        <v>678</v>
      </c>
      <c r="I245" s="33">
        <v>23450</v>
      </c>
      <c r="J245" s="33">
        <v>44342</v>
      </c>
      <c r="K245" s="28">
        <f ca="1">SUMIF(Data!$C$6:$V$29146,A245,Data!$V$6:$V$29146)</f>
        <v>0</v>
      </c>
      <c r="L245" s="28">
        <f t="shared" ca="1" si="3"/>
        <v>0</v>
      </c>
      <c r="M245" s="11" t="s">
        <v>408</v>
      </c>
    </row>
    <row r="246" spans="1:13" x14ac:dyDescent="0.2">
      <c r="A246" s="19">
        <v>100077532</v>
      </c>
      <c r="B246" s="20" t="s">
        <v>983</v>
      </c>
      <c r="C246" s="20" t="s">
        <v>39</v>
      </c>
      <c r="D246" s="20" t="s">
        <v>30</v>
      </c>
      <c r="E246" s="20" t="s">
        <v>984</v>
      </c>
      <c r="F246" s="20" t="s">
        <v>1043</v>
      </c>
      <c r="G246" s="20" t="s">
        <v>777</v>
      </c>
      <c r="H246" s="20" t="s">
        <v>1044</v>
      </c>
      <c r="I246" s="33">
        <v>28848</v>
      </c>
      <c r="J246" s="33">
        <v>45322</v>
      </c>
      <c r="K246" s="28">
        <f ca="1">SUMIF(Data!$C$6:$V$29146,A246,Data!$V$6:$V$29146)</f>
        <v>0</v>
      </c>
      <c r="L246" s="28">
        <f t="shared" ca="1" si="3"/>
        <v>0</v>
      </c>
      <c r="M246" s="11" t="s">
        <v>408</v>
      </c>
    </row>
    <row r="247" spans="1:13" x14ac:dyDescent="0.2">
      <c r="A247" s="19" t="s">
        <v>2159</v>
      </c>
      <c r="B247" s="20" t="s">
        <v>2160</v>
      </c>
      <c r="C247" s="20" t="s">
        <v>39</v>
      </c>
      <c r="D247" s="20" t="s">
        <v>26</v>
      </c>
      <c r="E247" s="20" t="s">
        <v>2161</v>
      </c>
      <c r="F247" s="20" t="s">
        <v>2162</v>
      </c>
      <c r="G247" s="20" t="s">
        <v>448</v>
      </c>
      <c r="H247" s="20" t="s">
        <v>2163</v>
      </c>
      <c r="I247" s="33">
        <v>37086</v>
      </c>
      <c r="J247" s="33">
        <v>45785</v>
      </c>
      <c r="K247" s="28">
        <f ca="1">SUMIF(Data!$C$6:$V$29146,A247,Data!$V$6:$V$29146)</f>
        <v>6.15</v>
      </c>
      <c r="L247" s="28">
        <f t="shared" ca="1" si="3"/>
        <v>1.5375000000000001</v>
      </c>
      <c r="M247" s="11" t="s">
        <v>408</v>
      </c>
    </row>
    <row r="248" spans="1:13" x14ac:dyDescent="0.2">
      <c r="A248" s="19" t="s">
        <v>2164</v>
      </c>
      <c r="B248" s="20" t="s">
        <v>2165</v>
      </c>
      <c r="C248" s="20" t="s">
        <v>39</v>
      </c>
      <c r="D248" s="20" t="s">
        <v>60</v>
      </c>
      <c r="E248" s="20" t="s">
        <v>2166</v>
      </c>
      <c r="F248" s="20" t="s">
        <v>2167</v>
      </c>
      <c r="G248" s="20" t="s">
        <v>448</v>
      </c>
      <c r="H248" s="20" t="s">
        <v>2168</v>
      </c>
      <c r="I248" s="33">
        <v>38774</v>
      </c>
      <c r="J248" s="33">
        <v>45785</v>
      </c>
      <c r="K248" s="28">
        <f ca="1">SUMIF(Data!$C$6:$V$29146,A248,Data!$V$6:$V$29146)</f>
        <v>0</v>
      </c>
      <c r="L248" s="28">
        <f t="shared" ca="1" si="3"/>
        <v>0</v>
      </c>
      <c r="M248" s="11" t="s">
        <v>408</v>
      </c>
    </row>
    <row r="249" spans="1:13" x14ac:dyDescent="0.2">
      <c r="A249" s="19" t="s">
        <v>2169</v>
      </c>
      <c r="B249" s="20" t="s">
        <v>2170</v>
      </c>
      <c r="C249" s="20" t="s">
        <v>39</v>
      </c>
      <c r="D249" s="20" t="s">
        <v>47</v>
      </c>
      <c r="E249" s="20" t="s">
        <v>2171</v>
      </c>
      <c r="F249" s="20" t="s">
        <v>2172</v>
      </c>
      <c r="G249" s="20" t="s">
        <v>1790</v>
      </c>
      <c r="H249" s="20" t="s">
        <v>2173</v>
      </c>
      <c r="I249" s="33">
        <v>37187</v>
      </c>
      <c r="J249" s="33">
        <v>45785</v>
      </c>
      <c r="K249" s="28">
        <f ca="1">SUMIF(Data!$C$6:$V$29146,A249,Data!$V$6:$V$29146)</f>
        <v>0</v>
      </c>
      <c r="L249" s="28">
        <f t="shared" ca="1" si="3"/>
        <v>0</v>
      </c>
      <c r="M249" s="11" t="s">
        <v>408</v>
      </c>
    </row>
    <row r="250" spans="1:13" x14ac:dyDescent="0.2">
      <c r="A250" s="20">
        <v>100087209</v>
      </c>
      <c r="B250" s="20" t="s">
        <v>1414</v>
      </c>
      <c r="C250" s="20" t="s">
        <v>39</v>
      </c>
      <c r="D250" s="20" t="s">
        <v>47</v>
      </c>
      <c r="E250" s="20" t="s">
        <v>1415</v>
      </c>
      <c r="F250" s="20" t="s">
        <v>1416</v>
      </c>
      <c r="G250" s="20" t="s">
        <v>752</v>
      </c>
      <c r="H250" s="20" t="s">
        <v>1417</v>
      </c>
      <c r="I250" s="33">
        <v>21751</v>
      </c>
      <c r="J250" s="33">
        <v>45546</v>
      </c>
      <c r="K250" s="28">
        <f ca="1">SUMIF(Data!$C$6:$V$29146,A250,Data!$V$6:$V$29146)</f>
        <v>0</v>
      </c>
      <c r="L250" s="28">
        <f t="shared" ca="1" si="3"/>
        <v>0</v>
      </c>
      <c r="M250" s="11" t="s">
        <v>408</v>
      </c>
    </row>
    <row r="251" spans="1:13" x14ac:dyDescent="0.2">
      <c r="A251" s="19" t="s">
        <v>2174</v>
      </c>
      <c r="B251" s="20" t="s">
        <v>2175</v>
      </c>
      <c r="C251" s="20" t="s">
        <v>39</v>
      </c>
      <c r="D251" s="20" t="s">
        <v>30</v>
      </c>
      <c r="E251" s="20" t="s">
        <v>2176</v>
      </c>
      <c r="F251" s="20" t="s">
        <v>2177</v>
      </c>
      <c r="G251" s="20" t="s">
        <v>633</v>
      </c>
      <c r="H251" s="20" t="s">
        <v>2178</v>
      </c>
      <c r="I251" s="33">
        <v>27930</v>
      </c>
      <c r="J251" s="33">
        <v>45785</v>
      </c>
      <c r="K251" s="28">
        <f ca="1">SUMIF(Data!$C$6:$V$29146,A251,Data!$V$6:$V$29146)</f>
        <v>0</v>
      </c>
      <c r="L251" s="28">
        <f t="shared" ca="1" si="3"/>
        <v>0</v>
      </c>
      <c r="M251" s="11" t="s">
        <v>408</v>
      </c>
    </row>
    <row r="252" spans="1:13" x14ac:dyDescent="0.2">
      <c r="A252" s="19" t="s">
        <v>1614</v>
      </c>
      <c r="B252" s="20" t="s">
        <v>1666</v>
      </c>
      <c r="C252" s="20" t="s">
        <v>39</v>
      </c>
      <c r="D252" s="20" t="s">
        <v>26</v>
      </c>
      <c r="E252" s="20" t="s">
        <v>1718</v>
      </c>
      <c r="F252" s="20" t="s">
        <v>1771</v>
      </c>
      <c r="G252" s="20" t="s">
        <v>633</v>
      </c>
      <c r="H252" s="20"/>
      <c r="I252" s="33">
        <v>38891</v>
      </c>
      <c r="J252" s="33">
        <v>45688</v>
      </c>
      <c r="K252" s="28">
        <f ca="1">SUMIF(Data!$C$6:$V$29146,A252,Data!$V$6:$V$29146)</f>
        <v>0</v>
      </c>
      <c r="L252" s="28">
        <f t="shared" ca="1" si="3"/>
        <v>0</v>
      </c>
      <c r="M252" s="11" t="s">
        <v>408</v>
      </c>
    </row>
    <row r="253" spans="1:13" x14ac:dyDescent="0.2">
      <c r="A253" s="19">
        <v>100090866</v>
      </c>
      <c r="B253" s="20" t="s">
        <v>1855</v>
      </c>
      <c r="C253" s="20" t="s">
        <v>39</v>
      </c>
      <c r="D253" s="20" t="s">
        <v>26</v>
      </c>
      <c r="E253" s="20" t="s">
        <v>1872</v>
      </c>
      <c r="F253" s="20" t="s">
        <v>1889</v>
      </c>
      <c r="G253" s="20" t="s">
        <v>1890</v>
      </c>
      <c r="H253" s="20" t="s">
        <v>1905</v>
      </c>
      <c r="I253" s="33">
        <v>32981</v>
      </c>
      <c r="J253" s="33">
        <v>45736</v>
      </c>
      <c r="K253" s="28">
        <f ca="1">SUMIF(Data!$C$6:$V$29146,A253,Data!$V$6:$V$29146)</f>
        <v>0</v>
      </c>
      <c r="L253" s="28">
        <f t="shared" ca="1" si="3"/>
        <v>0</v>
      </c>
      <c r="M253" s="11" t="s">
        <v>408</v>
      </c>
    </row>
    <row r="254" spans="1:13" x14ac:dyDescent="0.2">
      <c r="A254" s="19" t="s">
        <v>2179</v>
      </c>
      <c r="B254" s="20" t="s">
        <v>2180</v>
      </c>
      <c r="C254" s="20" t="s">
        <v>39</v>
      </c>
      <c r="D254" s="20" t="s">
        <v>47</v>
      </c>
      <c r="E254" s="20" t="s">
        <v>2181</v>
      </c>
      <c r="F254" s="20" t="s">
        <v>2182</v>
      </c>
      <c r="G254" s="20" t="s">
        <v>412</v>
      </c>
      <c r="H254" s="20" t="s">
        <v>2183</v>
      </c>
      <c r="I254" s="33">
        <v>36626</v>
      </c>
      <c r="J254" s="33">
        <v>45785</v>
      </c>
      <c r="K254" s="28">
        <f ca="1">SUMIF(Data!$C$6:$V$29146,A254,Data!$V$6:$V$29146)</f>
        <v>0</v>
      </c>
      <c r="L254" s="28">
        <f t="shared" ca="1" si="3"/>
        <v>0</v>
      </c>
      <c r="M254" s="11" t="s">
        <v>408</v>
      </c>
    </row>
    <row r="255" spans="1:13" x14ac:dyDescent="0.2">
      <c r="A255" s="21">
        <v>100054540</v>
      </c>
      <c r="B255" s="20" t="s">
        <v>280</v>
      </c>
      <c r="C255" s="20" t="s">
        <v>39</v>
      </c>
      <c r="D255" s="20" t="s">
        <v>32</v>
      </c>
      <c r="E255" s="20" t="s">
        <v>281</v>
      </c>
      <c r="F255" s="20" t="s">
        <v>680</v>
      </c>
      <c r="G255" s="20" t="s">
        <v>578</v>
      </c>
      <c r="H255" s="20" t="s">
        <v>681</v>
      </c>
      <c r="I255" s="33">
        <v>32873</v>
      </c>
      <c r="J255" s="33">
        <v>44612</v>
      </c>
      <c r="K255" s="28">
        <f ca="1">SUMIF(Data!$C$6:$V$29146,A255,Data!$V$6:$V$29146)</f>
        <v>6.8</v>
      </c>
      <c r="L255" s="28">
        <f t="shared" ca="1" si="3"/>
        <v>1.7</v>
      </c>
      <c r="M255" s="11" t="s">
        <v>408</v>
      </c>
    </row>
    <row r="256" spans="1:13" x14ac:dyDescent="0.2">
      <c r="A256" s="19" t="s">
        <v>1615</v>
      </c>
      <c r="B256" s="20" t="s">
        <v>1667</v>
      </c>
      <c r="C256" s="20" t="s">
        <v>39</v>
      </c>
      <c r="D256" s="20" t="s">
        <v>60</v>
      </c>
      <c r="E256" s="20" t="s">
        <v>1719</v>
      </c>
      <c r="F256" s="20" t="s">
        <v>1772</v>
      </c>
      <c r="G256" s="20" t="s">
        <v>546</v>
      </c>
      <c r="H256" s="20" t="s">
        <v>1822</v>
      </c>
      <c r="I256" s="33">
        <v>23996</v>
      </c>
      <c r="J256" s="33">
        <v>45688</v>
      </c>
      <c r="K256" s="28">
        <f ca="1">SUMIF(Data!$C$6:$V$29146,A256,Data!$V$6:$V$29146)</f>
        <v>0</v>
      </c>
      <c r="L256" s="28">
        <f t="shared" ca="1" si="3"/>
        <v>0</v>
      </c>
      <c r="M256" s="11" t="s">
        <v>408</v>
      </c>
    </row>
    <row r="257" spans="1:13" x14ac:dyDescent="0.2">
      <c r="A257" s="20">
        <v>100054442</v>
      </c>
      <c r="B257" s="20" t="s">
        <v>260</v>
      </c>
      <c r="C257" s="20" t="s">
        <v>39</v>
      </c>
      <c r="D257" s="20" t="s">
        <v>32</v>
      </c>
      <c r="E257" s="20" t="s">
        <v>261</v>
      </c>
      <c r="F257" s="20" t="s">
        <v>682</v>
      </c>
      <c r="G257" s="20" t="s">
        <v>578</v>
      </c>
      <c r="H257" s="20">
        <v>0</v>
      </c>
      <c r="I257" s="33">
        <v>33426</v>
      </c>
      <c r="J257" s="33">
        <v>44591</v>
      </c>
      <c r="K257" s="28">
        <f ca="1">SUMIF(Data!$C$6:$V$29146,A257,Data!$V$6:$V$29146)</f>
        <v>0</v>
      </c>
      <c r="L257" s="28">
        <f t="shared" ca="1" si="3"/>
        <v>0</v>
      </c>
      <c r="M257" s="11" t="s">
        <v>408</v>
      </c>
    </row>
    <row r="258" spans="1:13" x14ac:dyDescent="0.2">
      <c r="A258" s="19">
        <v>100077505</v>
      </c>
      <c r="B258" s="20" t="s">
        <v>991</v>
      </c>
      <c r="C258" s="20" t="s">
        <v>39</v>
      </c>
      <c r="D258" s="20" t="s">
        <v>31</v>
      </c>
      <c r="E258" s="20" t="s">
        <v>992</v>
      </c>
      <c r="F258" s="20" t="s">
        <v>1047</v>
      </c>
      <c r="G258" s="20" t="s">
        <v>1048</v>
      </c>
      <c r="H258" s="20" t="s">
        <v>1049</v>
      </c>
      <c r="I258" s="33">
        <v>26844</v>
      </c>
      <c r="J258" s="33">
        <v>45322</v>
      </c>
      <c r="K258" s="28">
        <f ca="1">SUMIF(Data!$C$6:$V$29146,A258,Data!$V$6:$V$29146)</f>
        <v>59.069999999999993</v>
      </c>
      <c r="L258" s="28">
        <f t="shared" ca="1" si="3"/>
        <v>14.767499999999998</v>
      </c>
      <c r="M258" s="11" t="s">
        <v>408</v>
      </c>
    </row>
    <row r="259" spans="1:13" x14ac:dyDescent="0.2">
      <c r="A259" s="20">
        <v>100030313</v>
      </c>
      <c r="B259" s="20" t="s">
        <v>75</v>
      </c>
      <c r="C259" s="20" t="s">
        <v>39</v>
      </c>
      <c r="D259" s="20" t="s">
        <v>31</v>
      </c>
      <c r="E259" s="20" t="s">
        <v>76</v>
      </c>
      <c r="F259" s="20" t="s">
        <v>683</v>
      </c>
      <c r="G259" s="20" t="s">
        <v>684</v>
      </c>
      <c r="H259" s="20" t="s">
        <v>685</v>
      </c>
      <c r="I259" s="33">
        <v>23822</v>
      </c>
      <c r="J259" s="33">
        <v>43182</v>
      </c>
      <c r="K259" s="28">
        <f ca="1">SUMIF(Data!$C$6:$V$29146,A259,Data!$V$6:$V$29146)</f>
        <v>0</v>
      </c>
      <c r="L259" s="28">
        <f t="shared" ca="1" si="3"/>
        <v>0</v>
      </c>
      <c r="M259" s="11" t="s">
        <v>408</v>
      </c>
    </row>
    <row r="260" spans="1:13" x14ac:dyDescent="0.2">
      <c r="A260" s="19" t="s">
        <v>2184</v>
      </c>
      <c r="B260" s="20" t="s">
        <v>2185</v>
      </c>
      <c r="C260" s="20" t="s">
        <v>39</v>
      </c>
      <c r="D260" s="20" t="s">
        <v>30</v>
      </c>
      <c r="E260" s="20" t="s">
        <v>2186</v>
      </c>
      <c r="F260" s="20" t="s">
        <v>2187</v>
      </c>
      <c r="G260" s="20" t="s">
        <v>2188</v>
      </c>
      <c r="H260" s="20" t="s">
        <v>2189</v>
      </c>
      <c r="I260" s="33">
        <v>26402</v>
      </c>
      <c r="J260" s="33">
        <v>45785</v>
      </c>
      <c r="K260" s="28">
        <f ca="1">SUMIF(Data!$C$6:$V$29146,A260,Data!$V$6:$V$29146)</f>
        <v>0</v>
      </c>
      <c r="L260" s="28">
        <f t="shared" ca="1" si="3"/>
        <v>0</v>
      </c>
      <c r="M260" s="11" t="s">
        <v>408</v>
      </c>
    </row>
    <row r="261" spans="1:13" x14ac:dyDescent="0.2">
      <c r="A261" s="25">
        <v>100067161</v>
      </c>
      <c r="B261" s="20" t="s">
        <v>1104</v>
      </c>
      <c r="C261" s="20" t="s">
        <v>39</v>
      </c>
      <c r="D261" s="20" t="s">
        <v>30</v>
      </c>
      <c r="E261" s="20" t="s">
        <v>400</v>
      </c>
      <c r="F261" s="20" t="s">
        <v>776</v>
      </c>
      <c r="G261" s="20" t="s">
        <v>777</v>
      </c>
      <c r="H261" s="20" t="s">
        <v>778</v>
      </c>
      <c r="I261" s="33">
        <v>34158</v>
      </c>
      <c r="J261" s="33">
        <v>45028</v>
      </c>
      <c r="K261" s="28">
        <f ca="1">SUMIF(Data!$C$6:$V$29146,A261,Data!$V$6:$V$29146)</f>
        <v>84.990000000000009</v>
      </c>
      <c r="L261" s="28">
        <f t="shared" ref="L261:L324" ca="1" si="4">IFERROR(K261*0.25,"")</f>
        <v>21.247500000000002</v>
      </c>
      <c r="M261" s="11" t="s">
        <v>408</v>
      </c>
    </row>
    <row r="262" spans="1:13" x14ac:dyDescent="0.2">
      <c r="A262" s="20">
        <v>100087228</v>
      </c>
      <c r="B262" s="20" t="s">
        <v>1522</v>
      </c>
      <c r="C262" s="20" t="s">
        <v>39</v>
      </c>
      <c r="D262" s="20" t="s">
        <v>60</v>
      </c>
      <c r="E262" s="20" t="s">
        <v>1523</v>
      </c>
      <c r="F262" s="20" t="s">
        <v>1524</v>
      </c>
      <c r="G262" s="20" t="s">
        <v>1525</v>
      </c>
      <c r="H262" s="20" t="s">
        <v>1526</v>
      </c>
      <c r="I262" s="33">
        <v>31902</v>
      </c>
      <c r="J262" s="33">
        <v>45546</v>
      </c>
      <c r="K262" s="28">
        <f ca="1">SUMIF(Data!$C$6:$V$29146,A262,Data!$V$6:$V$29146)</f>
        <v>69.260000000000005</v>
      </c>
      <c r="L262" s="28">
        <f t="shared" ca="1" si="4"/>
        <v>17.315000000000001</v>
      </c>
      <c r="M262" s="11" t="s">
        <v>408</v>
      </c>
    </row>
    <row r="263" spans="1:13" x14ac:dyDescent="0.2">
      <c r="A263" s="19">
        <v>100084263</v>
      </c>
      <c r="B263" s="20" t="s">
        <v>1295</v>
      </c>
      <c r="C263" s="20" t="s">
        <v>39</v>
      </c>
      <c r="D263" s="20" t="s">
        <v>47</v>
      </c>
      <c r="E263" s="20" t="s">
        <v>1296</v>
      </c>
      <c r="F263" s="20" t="s">
        <v>1351</v>
      </c>
      <c r="G263" s="20" t="s">
        <v>570</v>
      </c>
      <c r="H263" s="20" t="s">
        <v>1352</v>
      </c>
      <c r="I263" s="33">
        <v>38281</v>
      </c>
      <c r="J263" s="33">
        <v>45456</v>
      </c>
      <c r="K263" s="28">
        <f ca="1">SUMIF(Data!$C$6:$V$29146,A263,Data!$V$6:$V$29146)</f>
        <v>0</v>
      </c>
      <c r="L263" s="28">
        <f t="shared" ca="1" si="4"/>
        <v>0</v>
      </c>
      <c r="M263" s="11" t="s">
        <v>408</v>
      </c>
    </row>
    <row r="264" spans="1:13" x14ac:dyDescent="0.2">
      <c r="A264" s="19" t="s">
        <v>2190</v>
      </c>
      <c r="B264" s="20" t="s">
        <v>2191</v>
      </c>
      <c r="C264" s="20" t="s">
        <v>39</v>
      </c>
      <c r="D264" s="20" t="s">
        <v>30</v>
      </c>
      <c r="E264" s="20" t="s">
        <v>2192</v>
      </c>
      <c r="F264" s="20" t="s">
        <v>2193</v>
      </c>
      <c r="G264" s="20" t="s">
        <v>1507</v>
      </c>
      <c r="H264" s="20"/>
      <c r="I264" s="33">
        <v>30095</v>
      </c>
      <c r="J264" s="33">
        <v>45785</v>
      </c>
      <c r="K264" s="28">
        <f ca="1">SUMIF(Data!$C$6:$V$29146,A264,Data!$V$6:$V$29146)</f>
        <v>0</v>
      </c>
      <c r="L264" s="28">
        <f t="shared" ca="1" si="4"/>
        <v>0</v>
      </c>
      <c r="M264" s="11" t="s">
        <v>408</v>
      </c>
    </row>
    <row r="265" spans="1:13" x14ac:dyDescent="0.2">
      <c r="A265" s="19" t="s">
        <v>1616</v>
      </c>
      <c r="B265" s="20" t="s">
        <v>1668</v>
      </c>
      <c r="C265" s="20" t="s">
        <v>39</v>
      </c>
      <c r="D265" s="20" t="s">
        <v>30</v>
      </c>
      <c r="E265" s="20" t="s">
        <v>1720</v>
      </c>
      <c r="F265" s="20" t="s">
        <v>1773</v>
      </c>
      <c r="G265" s="20" t="s">
        <v>442</v>
      </c>
      <c r="H265" s="20" t="s">
        <v>1823</v>
      </c>
      <c r="I265" s="33">
        <v>33156</v>
      </c>
      <c r="J265" s="33">
        <v>45688</v>
      </c>
      <c r="K265" s="28">
        <f ca="1">SUMIF(Data!$C$6:$V$29146,A265,Data!$V$6:$V$29146)</f>
        <v>0</v>
      </c>
      <c r="L265" s="28">
        <f t="shared" ca="1" si="4"/>
        <v>0</v>
      </c>
      <c r="M265" s="11" t="s">
        <v>408</v>
      </c>
    </row>
    <row r="266" spans="1:13" x14ac:dyDescent="0.2">
      <c r="A266" s="19" t="s">
        <v>2194</v>
      </c>
      <c r="B266" s="20" t="s">
        <v>2195</v>
      </c>
      <c r="C266" s="20" t="s">
        <v>39</v>
      </c>
      <c r="D266" s="20" t="s">
        <v>135</v>
      </c>
      <c r="E266" s="20" t="s">
        <v>2196</v>
      </c>
      <c r="F266" s="20" t="s">
        <v>2197</v>
      </c>
      <c r="G266" s="20" t="s">
        <v>442</v>
      </c>
      <c r="H266" s="20" t="s">
        <v>2198</v>
      </c>
      <c r="I266" s="33">
        <v>32791</v>
      </c>
      <c r="J266" s="33">
        <v>45785</v>
      </c>
      <c r="K266" s="28">
        <f ca="1">SUMIF(Data!$C$6:$V$29146,A266,Data!$V$6:$V$29146)</f>
        <v>0</v>
      </c>
      <c r="L266" s="28">
        <f t="shared" ca="1" si="4"/>
        <v>0</v>
      </c>
      <c r="M266" s="11" t="s">
        <v>408</v>
      </c>
    </row>
    <row r="267" spans="1:13" x14ac:dyDescent="0.2">
      <c r="A267" s="19">
        <v>100030131</v>
      </c>
      <c r="B267" s="20" t="s">
        <v>77</v>
      </c>
      <c r="C267" s="20" t="s">
        <v>39</v>
      </c>
      <c r="D267" s="20" t="s">
        <v>28</v>
      </c>
      <c r="E267" s="20" t="s">
        <v>78</v>
      </c>
      <c r="F267" s="20" t="s">
        <v>686</v>
      </c>
      <c r="G267" s="20" t="s">
        <v>652</v>
      </c>
      <c r="H267" s="20" t="s">
        <v>687</v>
      </c>
      <c r="I267" s="33">
        <v>29132</v>
      </c>
      <c r="J267" s="33">
        <v>43182</v>
      </c>
      <c r="K267" s="28">
        <f ca="1">SUMIF(Data!$C$6:$V$29146,A267,Data!$V$6:$V$29146)</f>
        <v>0</v>
      </c>
      <c r="L267" s="28">
        <f t="shared" ca="1" si="4"/>
        <v>0</v>
      </c>
      <c r="M267" s="11" t="s">
        <v>408</v>
      </c>
    </row>
    <row r="268" spans="1:13" x14ac:dyDescent="0.2">
      <c r="A268" s="19">
        <v>100054262</v>
      </c>
      <c r="B268" s="20" t="s">
        <v>262</v>
      </c>
      <c r="C268" s="20" t="s">
        <v>39</v>
      </c>
      <c r="D268" s="20" t="s">
        <v>23</v>
      </c>
      <c r="E268" s="20" t="s">
        <v>263</v>
      </c>
      <c r="F268" s="20" t="s">
        <v>688</v>
      </c>
      <c r="G268" s="20" t="s">
        <v>425</v>
      </c>
      <c r="H268" s="20" t="s">
        <v>689</v>
      </c>
      <c r="I268" s="33">
        <v>37056</v>
      </c>
      <c r="J268" s="33">
        <v>44591</v>
      </c>
      <c r="K268" s="28">
        <f ca="1">SUMIF(Data!$C$6:$V$29146,A268,Data!$V$6:$V$29146)</f>
        <v>0</v>
      </c>
      <c r="L268" s="28">
        <f t="shared" ca="1" si="4"/>
        <v>0</v>
      </c>
      <c r="M268" s="11" t="s">
        <v>408</v>
      </c>
    </row>
    <row r="269" spans="1:13" x14ac:dyDescent="0.2">
      <c r="A269" s="19">
        <v>100049339</v>
      </c>
      <c r="B269" s="20" t="s">
        <v>226</v>
      </c>
      <c r="C269" s="20" t="s">
        <v>39</v>
      </c>
      <c r="D269" s="20" t="s">
        <v>32</v>
      </c>
      <c r="E269" s="20" t="s">
        <v>227</v>
      </c>
      <c r="F269" s="20" t="s">
        <v>690</v>
      </c>
      <c r="G269" s="20" t="s">
        <v>490</v>
      </c>
      <c r="H269" s="20" t="s">
        <v>691</v>
      </c>
      <c r="I269" s="33">
        <v>28376</v>
      </c>
      <c r="J269" s="33">
        <v>44392</v>
      </c>
      <c r="K269" s="28">
        <f ca="1">SUMIF(Data!$C$6:$V$29146,A269,Data!$V$6:$V$29146)</f>
        <v>0</v>
      </c>
      <c r="L269" s="28">
        <f t="shared" ca="1" si="4"/>
        <v>0</v>
      </c>
      <c r="M269" s="11" t="s">
        <v>408</v>
      </c>
    </row>
    <row r="270" spans="1:13" x14ac:dyDescent="0.2">
      <c r="A270" s="19">
        <v>100048184</v>
      </c>
      <c r="B270" s="20" t="s">
        <v>215</v>
      </c>
      <c r="C270" s="20" t="s">
        <v>39</v>
      </c>
      <c r="D270" s="20" t="s">
        <v>23</v>
      </c>
      <c r="E270" s="20" t="s">
        <v>216</v>
      </c>
      <c r="F270" s="20" t="s">
        <v>692</v>
      </c>
      <c r="G270" s="20" t="s">
        <v>693</v>
      </c>
      <c r="H270" s="20" t="s">
        <v>694</v>
      </c>
      <c r="I270" s="33">
        <v>37473</v>
      </c>
      <c r="J270" s="33">
        <v>44364</v>
      </c>
      <c r="K270" s="28">
        <f ca="1">SUMIF(Data!$C$6:$V$29146,A270,Data!$V$6:$V$29146)</f>
        <v>0</v>
      </c>
      <c r="L270" s="28">
        <f t="shared" ca="1" si="4"/>
        <v>0</v>
      </c>
      <c r="M270" s="11" t="s">
        <v>408</v>
      </c>
    </row>
    <row r="271" spans="1:13" x14ac:dyDescent="0.2">
      <c r="A271" s="20">
        <v>100029704</v>
      </c>
      <c r="B271" s="20" t="s">
        <v>79</v>
      </c>
      <c r="C271" s="20" t="s">
        <v>39</v>
      </c>
      <c r="D271" s="20" t="s">
        <v>23</v>
      </c>
      <c r="E271" s="20" t="s">
        <v>80</v>
      </c>
      <c r="F271" s="20" t="s">
        <v>695</v>
      </c>
      <c r="G271" s="20" t="s">
        <v>514</v>
      </c>
      <c r="H271" s="20" t="s">
        <v>696</v>
      </c>
      <c r="I271" s="33">
        <v>33590</v>
      </c>
      <c r="J271" s="33">
        <v>43182</v>
      </c>
      <c r="K271" s="28">
        <f ca="1">SUMIF(Data!$C$6:$V$29146,A271,Data!$V$6:$V$29146)</f>
        <v>0</v>
      </c>
      <c r="L271" s="28">
        <f t="shared" ca="1" si="4"/>
        <v>0</v>
      </c>
      <c r="M271" s="11" t="s">
        <v>408</v>
      </c>
    </row>
    <row r="272" spans="1:13" x14ac:dyDescent="0.2">
      <c r="A272" s="19">
        <v>100090868</v>
      </c>
      <c r="B272" s="20" t="s">
        <v>1856</v>
      </c>
      <c r="C272" s="20" t="s">
        <v>39</v>
      </c>
      <c r="D272" s="20" t="s">
        <v>30</v>
      </c>
      <c r="E272" s="20" t="s">
        <v>1873</v>
      </c>
      <c r="F272" s="20" t="s">
        <v>1891</v>
      </c>
      <c r="G272" s="20" t="s">
        <v>640</v>
      </c>
      <c r="H272" s="20" t="s">
        <v>1906</v>
      </c>
      <c r="I272" s="33">
        <v>33767</v>
      </c>
      <c r="J272" s="33">
        <v>45736</v>
      </c>
      <c r="K272" s="28">
        <f ca="1">SUMIF(Data!$C$6:$V$29146,A272,Data!$V$6:$V$29146)</f>
        <v>0</v>
      </c>
      <c r="L272" s="28">
        <f t="shared" ca="1" si="4"/>
        <v>0</v>
      </c>
      <c r="M272" s="11" t="s">
        <v>408</v>
      </c>
    </row>
    <row r="273" spans="1:13" x14ac:dyDescent="0.2">
      <c r="A273" s="20">
        <v>100087238</v>
      </c>
      <c r="B273" s="20" t="s">
        <v>1497</v>
      </c>
      <c r="C273" s="20" t="s">
        <v>39</v>
      </c>
      <c r="D273" s="20" t="s">
        <v>30</v>
      </c>
      <c r="E273" s="20" t="s">
        <v>1498</v>
      </c>
      <c r="F273" s="20" t="s">
        <v>1499</v>
      </c>
      <c r="G273" s="20" t="s">
        <v>416</v>
      </c>
      <c r="H273" s="20" t="s">
        <v>1500</v>
      </c>
      <c r="I273" s="33">
        <v>36423</v>
      </c>
      <c r="J273" s="33">
        <v>45546</v>
      </c>
      <c r="K273" s="28">
        <f ca="1">SUMIF(Data!$C$6:$V$29146,A273,Data!$V$6:$V$29146)</f>
        <v>0</v>
      </c>
      <c r="L273" s="28">
        <f t="shared" ca="1" si="4"/>
        <v>0</v>
      </c>
      <c r="M273" s="11" t="s">
        <v>408</v>
      </c>
    </row>
    <row r="274" spans="1:13" x14ac:dyDescent="0.2">
      <c r="A274" s="19">
        <v>100036246</v>
      </c>
      <c r="B274" s="20" t="s">
        <v>141</v>
      </c>
      <c r="C274" s="20" t="s">
        <v>39</v>
      </c>
      <c r="D274" s="20" t="s">
        <v>31</v>
      </c>
      <c r="E274" s="20" t="s">
        <v>142</v>
      </c>
      <c r="F274" s="20" t="s">
        <v>697</v>
      </c>
      <c r="G274" s="20" t="s">
        <v>425</v>
      </c>
      <c r="H274" s="20" t="s">
        <v>698</v>
      </c>
      <c r="I274" s="33">
        <v>28418</v>
      </c>
      <c r="J274" s="33">
        <v>43503</v>
      </c>
      <c r="K274" s="28">
        <f ca="1">SUMIF(Data!$C$6:$V$29146,A274,Data!$V$6:$V$29146)</f>
        <v>0</v>
      </c>
      <c r="L274" s="28">
        <f t="shared" ca="1" si="4"/>
        <v>0</v>
      </c>
      <c r="M274" s="11" t="s">
        <v>408</v>
      </c>
    </row>
    <row r="275" spans="1:13" x14ac:dyDescent="0.2">
      <c r="A275" s="19" t="s">
        <v>2199</v>
      </c>
      <c r="B275" s="20" t="s">
        <v>2200</v>
      </c>
      <c r="C275" s="20" t="s">
        <v>39</v>
      </c>
      <c r="D275" s="20" t="s">
        <v>26</v>
      </c>
      <c r="E275" s="20" t="s">
        <v>2201</v>
      </c>
      <c r="F275" s="20" t="s">
        <v>2202</v>
      </c>
      <c r="G275" s="20" t="s">
        <v>448</v>
      </c>
      <c r="H275" s="20" t="s">
        <v>2203</v>
      </c>
      <c r="I275" s="33">
        <v>39145</v>
      </c>
      <c r="J275" s="33">
        <v>45785</v>
      </c>
      <c r="K275" s="28">
        <f ca="1">SUMIF(Data!$C$6:$V$29146,A275,Data!$V$6:$V$29146)</f>
        <v>0</v>
      </c>
      <c r="L275" s="28">
        <f t="shared" ca="1" si="4"/>
        <v>0</v>
      </c>
      <c r="M275" s="11" t="s">
        <v>408</v>
      </c>
    </row>
    <row r="276" spans="1:13" x14ac:dyDescent="0.2">
      <c r="A276" s="19">
        <v>100049378</v>
      </c>
      <c r="B276" s="20" t="s">
        <v>228</v>
      </c>
      <c r="C276" s="20" t="s">
        <v>39</v>
      </c>
      <c r="D276" s="20" t="s">
        <v>32</v>
      </c>
      <c r="E276" s="20" t="s">
        <v>229</v>
      </c>
      <c r="F276" s="20" t="s">
        <v>699</v>
      </c>
      <c r="G276" s="20" t="s">
        <v>544</v>
      </c>
      <c r="H276" s="20" t="s">
        <v>700</v>
      </c>
      <c r="I276" s="33">
        <v>31400</v>
      </c>
      <c r="J276" s="33">
        <v>44392</v>
      </c>
      <c r="K276" s="28">
        <f ca="1">SUMIF(Data!$C$6:$V$29146,A276,Data!$V$6:$V$29146)</f>
        <v>5.69</v>
      </c>
      <c r="L276" s="28">
        <f t="shared" ca="1" si="4"/>
        <v>1.4225000000000001</v>
      </c>
      <c r="M276" s="11" t="s">
        <v>408</v>
      </c>
    </row>
    <row r="277" spans="1:13" x14ac:dyDescent="0.2">
      <c r="A277" s="19" t="s">
        <v>2204</v>
      </c>
      <c r="B277" s="20" t="s">
        <v>2205</v>
      </c>
      <c r="C277" s="20" t="s">
        <v>39</v>
      </c>
      <c r="D277" s="20" t="s">
        <v>47</v>
      </c>
      <c r="E277" s="20" t="s">
        <v>2206</v>
      </c>
      <c r="F277" s="20" t="s">
        <v>2207</v>
      </c>
      <c r="G277" s="20" t="s">
        <v>633</v>
      </c>
      <c r="H277" s="20" t="s">
        <v>2208</v>
      </c>
      <c r="I277" s="33">
        <v>38718</v>
      </c>
      <c r="J277" s="33">
        <v>45785</v>
      </c>
      <c r="K277" s="28">
        <f ca="1">SUMIF(Data!$C$6:$V$29146,A277,Data!$V$6:$V$29146)</f>
        <v>0</v>
      </c>
      <c r="L277" s="28">
        <f t="shared" ca="1" si="4"/>
        <v>0</v>
      </c>
      <c r="M277" s="11" t="s">
        <v>408</v>
      </c>
    </row>
    <row r="278" spans="1:13" x14ac:dyDescent="0.2">
      <c r="A278" s="19">
        <v>100082242</v>
      </c>
      <c r="B278" s="20" t="s">
        <v>1195</v>
      </c>
      <c r="C278" s="20" t="s">
        <v>39</v>
      </c>
      <c r="D278" s="20" t="s">
        <v>31</v>
      </c>
      <c r="E278" s="20" t="s">
        <v>1196</v>
      </c>
      <c r="F278" s="20" t="s">
        <v>1237</v>
      </c>
      <c r="G278" s="20" t="s">
        <v>1238</v>
      </c>
      <c r="H278" s="20" t="s">
        <v>1239</v>
      </c>
      <c r="I278" s="33">
        <v>35010</v>
      </c>
      <c r="J278" s="33">
        <v>45414</v>
      </c>
      <c r="K278" s="28">
        <f ca="1">SUMIF(Data!$C$6:$V$29146,A278,Data!$V$6:$V$29146)</f>
        <v>0</v>
      </c>
      <c r="L278" s="28">
        <f t="shared" ca="1" si="4"/>
        <v>0</v>
      </c>
      <c r="M278" s="11" t="s">
        <v>408</v>
      </c>
    </row>
    <row r="279" spans="1:13" x14ac:dyDescent="0.2">
      <c r="A279" s="20">
        <v>100055353</v>
      </c>
      <c r="B279" s="20" t="s">
        <v>282</v>
      </c>
      <c r="C279" s="20" t="s">
        <v>39</v>
      </c>
      <c r="D279" s="20" t="s">
        <v>47</v>
      </c>
      <c r="E279" s="20" t="s">
        <v>283</v>
      </c>
      <c r="F279" s="20" t="s">
        <v>701</v>
      </c>
      <c r="G279" s="20" t="s">
        <v>448</v>
      </c>
      <c r="H279" s="20" t="s">
        <v>702</v>
      </c>
      <c r="I279" s="33">
        <v>29909</v>
      </c>
      <c r="J279" s="33">
        <v>44612</v>
      </c>
      <c r="K279" s="28">
        <f ca="1">SUMIF(Data!$C$6:$V$29146,A279,Data!$V$6:$V$29146)</f>
        <v>0</v>
      </c>
      <c r="L279" s="28">
        <f t="shared" ca="1" si="4"/>
        <v>0</v>
      </c>
      <c r="M279" s="11" t="s">
        <v>408</v>
      </c>
    </row>
    <row r="280" spans="1:13" x14ac:dyDescent="0.2">
      <c r="A280" s="19" t="s">
        <v>2310</v>
      </c>
      <c r="B280" s="20" t="s">
        <v>2319</v>
      </c>
      <c r="C280" s="20" t="s">
        <v>39</v>
      </c>
      <c r="D280" s="20" t="s">
        <v>26</v>
      </c>
      <c r="E280" s="20" t="s">
        <v>2328</v>
      </c>
      <c r="F280" s="20" t="s">
        <v>2338</v>
      </c>
      <c r="G280" s="20" t="s">
        <v>2339</v>
      </c>
      <c r="H280" s="20" t="s">
        <v>2348</v>
      </c>
      <c r="I280" s="33">
        <v>36927</v>
      </c>
      <c r="J280" s="33">
        <v>45805</v>
      </c>
      <c r="K280" s="28">
        <f ca="1">SUMIF(Data!$C$6:$V$29146,A280,Data!$V$6:$V$29146)</f>
        <v>0</v>
      </c>
      <c r="L280" s="28">
        <f t="shared" ca="1" si="4"/>
        <v>0</v>
      </c>
      <c r="M280" s="11" t="s">
        <v>408</v>
      </c>
    </row>
    <row r="281" spans="1:13" x14ac:dyDescent="0.2">
      <c r="A281" s="25">
        <v>100067151</v>
      </c>
      <c r="B281" s="20" t="s">
        <v>391</v>
      </c>
      <c r="C281" s="20" t="s">
        <v>39</v>
      </c>
      <c r="D281" s="20" t="s">
        <v>32</v>
      </c>
      <c r="E281" s="20" t="s">
        <v>392</v>
      </c>
      <c r="F281" s="20" t="s">
        <v>703</v>
      </c>
      <c r="G281" s="20" t="s">
        <v>704</v>
      </c>
      <c r="H281" s="20" t="s">
        <v>705</v>
      </c>
      <c r="I281" s="33">
        <v>33536</v>
      </c>
      <c r="J281" s="33">
        <v>45028</v>
      </c>
      <c r="K281" s="28">
        <f ca="1">SUMIF(Data!$C$6:$V$29146,A281,Data!$V$6:$V$29146)</f>
        <v>6.29</v>
      </c>
      <c r="L281" s="28">
        <f t="shared" ca="1" si="4"/>
        <v>1.5725</v>
      </c>
      <c r="M281" s="11" t="s">
        <v>408</v>
      </c>
    </row>
    <row r="282" spans="1:13" x14ac:dyDescent="0.2">
      <c r="A282" s="19">
        <v>100064573</v>
      </c>
      <c r="B282" s="20" t="s">
        <v>351</v>
      </c>
      <c r="C282" s="20" t="s">
        <v>39</v>
      </c>
      <c r="D282" s="20" t="s">
        <v>29</v>
      </c>
      <c r="E282" s="20" t="s">
        <v>352</v>
      </c>
      <c r="F282" s="20" t="s">
        <v>706</v>
      </c>
      <c r="G282" s="20" t="s">
        <v>707</v>
      </c>
      <c r="H282" s="20" t="s">
        <v>708</v>
      </c>
      <c r="I282" s="33">
        <v>36747</v>
      </c>
      <c r="J282" s="33">
        <v>44958</v>
      </c>
      <c r="K282" s="28">
        <f ca="1">SUMIF(Data!$C$6:$V$29146,A282,Data!$V$6:$V$29146)</f>
        <v>0</v>
      </c>
      <c r="L282" s="28">
        <f t="shared" ca="1" si="4"/>
        <v>0</v>
      </c>
      <c r="M282" s="11" t="s">
        <v>408</v>
      </c>
    </row>
    <row r="283" spans="1:13" x14ac:dyDescent="0.2">
      <c r="A283" s="20">
        <v>100033954</v>
      </c>
      <c r="B283" s="20" t="s">
        <v>118</v>
      </c>
      <c r="C283" s="20" t="s">
        <v>39</v>
      </c>
      <c r="D283" s="20" t="s">
        <v>33</v>
      </c>
      <c r="E283" s="20" t="s">
        <v>119</v>
      </c>
      <c r="F283" s="20" t="s">
        <v>709</v>
      </c>
      <c r="G283" s="20" t="s">
        <v>710</v>
      </c>
      <c r="H283" s="20" t="s">
        <v>711</v>
      </c>
      <c r="I283" s="33">
        <v>34780</v>
      </c>
      <c r="J283" s="33">
        <v>43293</v>
      </c>
      <c r="K283" s="28">
        <f ca="1">SUMIF(Data!$C$6:$V$29146,A283,Data!$V$6:$V$29146)</f>
        <v>41.09</v>
      </c>
      <c r="L283" s="28">
        <f t="shared" ca="1" si="4"/>
        <v>10.272500000000001</v>
      </c>
      <c r="M283" s="11" t="s">
        <v>408</v>
      </c>
    </row>
    <row r="284" spans="1:13" x14ac:dyDescent="0.2">
      <c r="A284" s="21">
        <v>100054550</v>
      </c>
      <c r="B284" s="20" t="s">
        <v>284</v>
      </c>
      <c r="C284" s="20" t="s">
        <v>39</v>
      </c>
      <c r="D284" s="20" t="s">
        <v>32</v>
      </c>
      <c r="E284" s="20" t="s">
        <v>285</v>
      </c>
      <c r="F284" s="20" t="s">
        <v>712</v>
      </c>
      <c r="G284" s="20" t="s">
        <v>713</v>
      </c>
      <c r="H284" s="20" t="s">
        <v>714</v>
      </c>
      <c r="I284" s="33">
        <v>31960</v>
      </c>
      <c r="J284" s="33">
        <v>44612</v>
      </c>
      <c r="K284" s="28">
        <f ca="1">SUMIF(Data!$C$6:$V$29146,A284,Data!$V$6:$V$29146)</f>
        <v>0</v>
      </c>
      <c r="L284" s="28">
        <f t="shared" ca="1" si="4"/>
        <v>0</v>
      </c>
      <c r="M284" s="11" t="s">
        <v>408</v>
      </c>
    </row>
    <row r="285" spans="1:13" x14ac:dyDescent="0.2">
      <c r="A285" s="19" t="s">
        <v>1618</v>
      </c>
      <c r="B285" s="20" t="s">
        <v>1670</v>
      </c>
      <c r="C285" s="20" t="s">
        <v>39</v>
      </c>
      <c r="D285" s="20" t="s">
        <v>35</v>
      </c>
      <c r="E285" s="20" t="s">
        <v>1722</v>
      </c>
      <c r="F285" s="20" t="s">
        <v>1774</v>
      </c>
      <c r="G285" s="20" t="s">
        <v>1775</v>
      </c>
      <c r="H285" s="20" t="s">
        <v>1824</v>
      </c>
      <c r="I285" s="33">
        <v>23136</v>
      </c>
      <c r="J285" s="33">
        <v>45688</v>
      </c>
      <c r="K285" s="28">
        <f ca="1">SUMIF(Data!$C$6:$V$29146,A285,Data!$V$6:$V$29146)</f>
        <v>0</v>
      </c>
      <c r="L285" s="28">
        <f t="shared" ca="1" si="4"/>
        <v>0</v>
      </c>
      <c r="M285" s="11" t="s">
        <v>408</v>
      </c>
    </row>
    <row r="286" spans="1:13" x14ac:dyDescent="0.2">
      <c r="A286" s="19" t="s">
        <v>1619</v>
      </c>
      <c r="B286" s="20" t="s">
        <v>1671</v>
      </c>
      <c r="C286" s="20" t="s">
        <v>39</v>
      </c>
      <c r="D286" s="20" t="s">
        <v>26</v>
      </c>
      <c r="E286" s="20" t="s">
        <v>1723</v>
      </c>
      <c r="F286" s="20" t="s">
        <v>1776</v>
      </c>
      <c r="G286" s="20" t="s">
        <v>763</v>
      </c>
      <c r="H286" s="20" t="s">
        <v>1825</v>
      </c>
      <c r="I286" s="33">
        <v>33281</v>
      </c>
      <c r="J286" s="33">
        <v>45688</v>
      </c>
      <c r="K286" s="28">
        <f ca="1">SUMIF(Data!$C$6:$V$29146,A286,Data!$V$6:$V$29146)</f>
        <v>0</v>
      </c>
      <c r="L286" s="28">
        <f t="shared" ca="1" si="4"/>
        <v>0</v>
      </c>
      <c r="M286" s="11" t="s">
        <v>408</v>
      </c>
    </row>
    <row r="287" spans="1:13" x14ac:dyDescent="0.2">
      <c r="A287" s="19">
        <v>100090871</v>
      </c>
      <c r="B287" s="20" t="s">
        <v>1857</v>
      </c>
      <c r="C287" s="20" t="s">
        <v>39</v>
      </c>
      <c r="D287" s="20" t="s">
        <v>35</v>
      </c>
      <c r="E287" s="20" t="s">
        <v>1874</v>
      </c>
      <c r="F287" s="20" t="s">
        <v>1892</v>
      </c>
      <c r="G287" s="20" t="s">
        <v>1893</v>
      </c>
      <c r="H287" s="20" t="s">
        <v>1907</v>
      </c>
      <c r="I287" s="33">
        <v>33928</v>
      </c>
      <c r="J287" s="33">
        <v>45736</v>
      </c>
      <c r="K287" s="28">
        <f ca="1">SUMIF(Data!$C$6:$V$29146,A287,Data!$V$6:$V$29146)</f>
        <v>4.46</v>
      </c>
      <c r="L287" s="28">
        <f t="shared" ca="1" si="4"/>
        <v>1.115</v>
      </c>
      <c r="M287" s="11" t="s">
        <v>408</v>
      </c>
    </row>
    <row r="288" spans="1:13" x14ac:dyDescent="0.2">
      <c r="A288" s="20">
        <v>100041255</v>
      </c>
      <c r="B288" s="20" t="s">
        <v>190</v>
      </c>
      <c r="C288" s="20" t="s">
        <v>39</v>
      </c>
      <c r="D288" s="20" t="s">
        <v>32</v>
      </c>
      <c r="E288" s="20" t="s">
        <v>191</v>
      </c>
      <c r="F288" s="20" t="s">
        <v>715</v>
      </c>
      <c r="G288" s="20" t="s">
        <v>464</v>
      </c>
      <c r="H288" s="20" t="s">
        <v>716</v>
      </c>
      <c r="I288" s="33">
        <v>35440</v>
      </c>
      <c r="J288" s="33">
        <v>43677</v>
      </c>
      <c r="K288" s="28">
        <f ca="1">SUMIF(Data!$C$6:$V$29146,A288,Data!$V$6:$V$29146)</f>
        <v>0</v>
      </c>
      <c r="L288" s="28">
        <f t="shared" ca="1" si="4"/>
        <v>0</v>
      </c>
      <c r="M288" s="11" t="s">
        <v>408</v>
      </c>
    </row>
    <row r="289" spans="1:13" x14ac:dyDescent="0.2">
      <c r="A289" s="19" t="s">
        <v>1620</v>
      </c>
      <c r="B289" s="20" t="s">
        <v>1672</v>
      </c>
      <c r="C289" s="20" t="s">
        <v>39</v>
      </c>
      <c r="D289" s="20" t="s">
        <v>35</v>
      </c>
      <c r="E289" s="20" t="s">
        <v>1724</v>
      </c>
      <c r="F289" s="20" t="s">
        <v>1777</v>
      </c>
      <c r="G289" s="20" t="s">
        <v>1778</v>
      </c>
      <c r="H289" s="20" t="s">
        <v>1826</v>
      </c>
      <c r="I289" s="33">
        <v>31592</v>
      </c>
      <c r="J289" s="33">
        <v>45688</v>
      </c>
      <c r="K289" s="28">
        <f ca="1">SUMIF(Data!$C$6:$V$29146,A289,Data!$V$6:$V$29146)</f>
        <v>0</v>
      </c>
      <c r="L289" s="28">
        <f t="shared" ca="1" si="4"/>
        <v>0</v>
      </c>
      <c r="M289" s="11" t="s">
        <v>408</v>
      </c>
    </row>
    <row r="290" spans="1:13" x14ac:dyDescent="0.2">
      <c r="A290" s="20">
        <v>100019120</v>
      </c>
      <c r="B290" s="20" t="s">
        <v>49</v>
      </c>
      <c r="C290" s="20" t="s">
        <v>39</v>
      </c>
      <c r="D290" s="20" t="s">
        <v>24</v>
      </c>
      <c r="E290" s="20" t="s">
        <v>50</v>
      </c>
      <c r="F290" s="20" t="s">
        <v>717</v>
      </c>
      <c r="G290" s="20" t="s">
        <v>538</v>
      </c>
      <c r="H290" s="20" t="s">
        <v>718</v>
      </c>
      <c r="I290" s="33">
        <v>34882</v>
      </c>
      <c r="J290" s="33">
        <v>42572</v>
      </c>
      <c r="K290" s="28">
        <f ca="1">SUMIF(Data!$C$6:$V$29146,A290,Data!$V$6:$V$29146)</f>
        <v>0</v>
      </c>
      <c r="L290" s="28">
        <f t="shared" ca="1" si="4"/>
        <v>0</v>
      </c>
      <c r="M290" s="11" t="s">
        <v>408</v>
      </c>
    </row>
    <row r="291" spans="1:13" x14ac:dyDescent="0.2">
      <c r="A291" s="19">
        <v>100052788</v>
      </c>
      <c r="B291" s="20" t="s">
        <v>247</v>
      </c>
      <c r="C291" s="20" t="s">
        <v>39</v>
      </c>
      <c r="D291" s="20" t="s">
        <v>47</v>
      </c>
      <c r="E291" s="20" t="s">
        <v>248</v>
      </c>
      <c r="F291" s="20" t="s">
        <v>719</v>
      </c>
      <c r="G291" s="20" t="s">
        <v>570</v>
      </c>
      <c r="H291" s="20" t="s">
        <v>720</v>
      </c>
      <c r="I291" s="33">
        <v>32462</v>
      </c>
      <c r="J291" s="33">
        <v>44482</v>
      </c>
      <c r="K291" s="28">
        <f ca="1">SUMIF(Data!$C$6:$V$29146,A291,Data!$V$6:$V$29146)</f>
        <v>0</v>
      </c>
      <c r="L291" s="28">
        <f t="shared" ca="1" si="4"/>
        <v>0</v>
      </c>
      <c r="M291" s="11" t="s">
        <v>408</v>
      </c>
    </row>
    <row r="292" spans="1:13" x14ac:dyDescent="0.2">
      <c r="A292" s="19">
        <v>100068469</v>
      </c>
      <c r="B292" s="20" t="s">
        <v>1140</v>
      </c>
      <c r="C292" s="20" t="s">
        <v>39</v>
      </c>
      <c r="D292" s="20" t="s">
        <v>47</v>
      </c>
      <c r="E292" s="20" t="s">
        <v>1141</v>
      </c>
      <c r="F292" s="20" t="s">
        <v>1321</v>
      </c>
      <c r="G292" s="20" t="s">
        <v>1322</v>
      </c>
      <c r="H292" s="20" t="s">
        <v>1142</v>
      </c>
      <c r="I292" s="33">
        <v>34992</v>
      </c>
      <c r="J292" s="33">
        <v>45050</v>
      </c>
      <c r="K292" s="28">
        <f ca="1">SUMIF(Data!$C$6:$V$29146,A292,Data!$V$6:$V$29146)</f>
        <v>0</v>
      </c>
      <c r="L292" s="28">
        <f t="shared" ca="1" si="4"/>
        <v>0</v>
      </c>
      <c r="M292" s="11" t="s">
        <v>408</v>
      </c>
    </row>
    <row r="293" spans="1:13" x14ac:dyDescent="0.2">
      <c r="A293" s="20">
        <v>100036438</v>
      </c>
      <c r="B293" s="20" t="s">
        <v>151</v>
      </c>
      <c r="C293" s="20" t="s">
        <v>39</v>
      </c>
      <c r="D293" s="20" t="s">
        <v>32</v>
      </c>
      <c r="E293" s="20" t="s">
        <v>152</v>
      </c>
      <c r="F293" s="20" t="s">
        <v>721</v>
      </c>
      <c r="G293" s="20" t="s">
        <v>722</v>
      </c>
      <c r="H293" s="20" t="s">
        <v>723</v>
      </c>
      <c r="I293" s="33">
        <v>29134</v>
      </c>
      <c r="J293" s="33">
        <v>43517</v>
      </c>
      <c r="K293" s="28">
        <f ca="1">SUMIF(Data!$C$6:$V$29146,A293,Data!$V$6:$V$29146)</f>
        <v>6.74</v>
      </c>
      <c r="L293" s="28">
        <f t="shared" ca="1" si="4"/>
        <v>1.6850000000000001</v>
      </c>
      <c r="M293" s="11" t="s">
        <v>408</v>
      </c>
    </row>
    <row r="294" spans="1:13" x14ac:dyDescent="0.2">
      <c r="A294" s="19">
        <v>100090872</v>
      </c>
      <c r="B294" s="20" t="s">
        <v>1858</v>
      </c>
      <c r="C294" s="20" t="s">
        <v>39</v>
      </c>
      <c r="D294" s="20" t="s">
        <v>30</v>
      </c>
      <c r="E294" s="20" t="s">
        <v>1875</v>
      </c>
      <c r="F294" s="20" t="s">
        <v>1894</v>
      </c>
      <c r="G294" s="20" t="s">
        <v>466</v>
      </c>
      <c r="H294" s="20" t="s">
        <v>1908</v>
      </c>
      <c r="I294" s="33">
        <v>32383</v>
      </c>
      <c r="J294" s="33">
        <v>45736</v>
      </c>
      <c r="K294" s="28">
        <f ca="1">SUMIF(Data!$C$6:$V$29146,A294,Data!$V$6:$V$29146)</f>
        <v>0</v>
      </c>
      <c r="L294" s="28">
        <f t="shared" ca="1" si="4"/>
        <v>0</v>
      </c>
      <c r="M294" s="11" t="s">
        <v>408</v>
      </c>
    </row>
    <row r="295" spans="1:13" x14ac:dyDescent="0.2">
      <c r="A295" s="20">
        <v>100002580</v>
      </c>
      <c r="B295" s="20" t="s">
        <v>42</v>
      </c>
      <c r="C295" s="20" t="s">
        <v>39</v>
      </c>
      <c r="D295" s="20" t="s">
        <v>23</v>
      </c>
      <c r="E295" s="20" t="s">
        <v>43</v>
      </c>
      <c r="F295" s="20" t="s">
        <v>724</v>
      </c>
      <c r="G295" s="20" t="s">
        <v>725</v>
      </c>
      <c r="H295" s="20" t="s">
        <v>726</v>
      </c>
      <c r="I295" s="33">
        <v>24371</v>
      </c>
      <c r="J295" s="33">
        <v>41848</v>
      </c>
      <c r="K295" s="28">
        <f ca="1">SUMIF(Data!$C$6:$V$29146,A295,Data!$V$6:$V$29146)</f>
        <v>0</v>
      </c>
      <c r="L295" s="28">
        <f t="shared" ca="1" si="4"/>
        <v>0</v>
      </c>
      <c r="M295" s="11" t="s">
        <v>408</v>
      </c>
    </row>
    <row r="296" spans="1:13" x14ac:dyDescent="0.2">
      <c r="A296" s="19" t="s">
        <v>2209</v>
      </c>
      <c r="B296" s="20" t="s">
        <v>2210</v>
      </c>
      <c r="C296" s="20" t="s">
        <v>39</v>
      </c>
      <c r="D296" s="20" t="s">
        <v>26</v>
      </c>
      <c r="E296" s="20" t="s">
        <v>2211</v>
      </c>
      <c r="F296" s="20" t="s">
        <v>760</v>
      </c>
      <c r="G296" s="20" t="s">
        <v>423</v>
      </c>
      <c r="H296" s="20" t="s">
        <v>2212</v>
      </c>
      <c r="I296" s="33">
        <v>38071</v>
      </c>
      <c r="J296" s="33">
        <v>45785</v>
      </c>
      <c r="K296" s="28">
        <f ca="1">SUMIF(Data!$C$6:$V$29146,A296,Data!$V$6:$V$29146)</f>
        <v>6.63</v>
      </c>
      <c r="L296" s="28">
        <f t="shared" ca="1" si="4"/>
        <v>1.6575</v>
      </c>
      <c r="M296" s="11" t="s">
        <v>408</v>
      </c>
    </row>
    <row r="297" spans="1:13" x14ac:dyDescent="0.2">
      <c r="A297" s="19">
        <v>100064576</v>
      </c>
      <c r="B297" s="20" t="s">
        <v>353</v>
      </c>
      <c r="C297" s="20" t="s">
        <v>39</v>
      </c>
      <c r="D297" s="20" t="s">
        <v>26</v>
      </c>
      <c r="E297" s="20" t="s">
        <v>354</v>
      </c>
      <c r="F297" s="20" t="s">
        <v>727</v>
      </c>
      <c r="G297" s="20" t="s">
        <v>728</v>
      </c>
      <c r="H297" s="20" t="s">
        <v>729</v>
      </c>
      <c r="I297" s="33">
        <v>21006</v>
      </c>
      <c r="J297" s="33">
        <v>44958</v>
      </c>
      <c r="K297" s="28">
        <f ca="1">SUMIF(Data!$C$6:$V$29146,A297,Data!$V$6:$V$29146)</f>
        <v>0</v>
      </c>
      <c r="L297" s="28">
        <f t="shared" ca="1" si="4"/>
        <v>0</v>
      </c>
      <c r="M297" s="11" t="s">
        <v>408</v>
      </c>
    </row>
    <row r="298" spans="1:13" x14ac:dyDescent="0.2">
      <c r="A298" s="19">
        <v>100073308</v>
      </c>
      <c r="B298" s="20" t="s">
        <v>1109</v>
      </c>
      <c r="C298" s="20" t="s">
        <v>39</v>
      </c>
      <c r="D298" s="20" t="s">
        <v>30</v>
      </c>
      <c r="E298" s="20" t="s">
        <v>874</v>
      </c>
      <c r="F298" s="20" t="s">
        <v>875</v>
      </c>
      <c r="G298" s="20" t="s">
        <v>666</v>
      </c>
      <c r="H298" s="20" t="s">
        <v>876</v>
      </c>
      <c r="I298" s="33">
        <v>26637</v>
      </c>
      <c r="J298" s="33">
        <v>45154</v>
      </c>
      <c r="K298" s="28">
        <f ca="1">SUMIF(Data!$C$6:$V$29146,A298,Data!$V$6:$V$29146)</f>
        <v>0</v>
      </c>
      <c r="L298" s="28">
        <f t="shared" ca="1" si="4"/>
        <v>0</v>
      </c>
      <c r="M298" s="11" t="s">
        <v>408</v>
      </c>
    </row>
    <row r="299" spans="1:13" x14ac:dyDescent="0.2">
      <c r="A299" s="20">
        <v>100059506</v>
      </c>
      <c r="B299" s="20" t="s">
        <v>1094</v>
      </c>
      <c r="C299" s="20" t="s">
        <v>39</v>
      </c>
      <c r="D299" s="20" t="s">
        <v>31</v>
      </c>
      <c r="E299" s="20" t="s">
        <v>304</v>
      </c>
      <c r="F299" s="20" t="s">
        <v>1095</v>
      </c>
      <c r="G299" s="20" t="s">
        <v>773</v>
      </c>
      <c r="H299" s="20" t="s">
        <v>503</v>
      </c>
      <c r="I299" s="33">
        <v>26910</v>
      </c>
      <c r="J299" s="33">
        <v>44735</v>
      </c>
      <c r="K299" s="28">
        <f ca="1">SUMIF(Data!$C$6:$V$29146,A299,Data!$V$6:$V$29146)</f>
        <v>72.22999999999999</v>
      </c>
      <c r="L299" s="28">
        <f t="shared" ca="1" si="4"/>
        <v>18.057499999999997</v>
      </c>
      <c r="M299" s="11" t="s">
        <v>408</v>
      </c>
    </row>
    <row r="300" spans="1:13" x14ac:dyDescent="0.2">
      <c r="A300" s="20">
        <v>100049340</v>
      </c>
      <c r="B300" s="20" t="s">
        <v>230</v>
      </c>
      <c r="C300" s="20" t="s">
        <v>39</v>
      </c>
      <c r="D300" s="20" t="s">
        <v>23</v>
      </c>
      <c r="E300" s="20" t="s">
        <v>231</v>
      </c>
      <c r="F300" s="20" t="s">
        <v>730</v>
      </c>
      <c r="G300" s="20" t="s">
        <v>412</v>
      </c>
      <c r="H300" s="20" t="s">
        <v>731</v>
      </c>
      <c r="I300" s="33">
        <v>37002</v>
      </c>
      <c r="J300" s="33">
        <v>44392</v>
      </c>
      <c r="K300" s="28">
        <f ca="1">SUMIF(Data!$C$6:$V$29146,A300,Data!$V$6:$V$29146)</f>
        <v>0</v>
      </c>
      <c r="L300" s="28">
        <f t="shared" ca="1" si="4"/>
        <v>0</v>
      </c>
      <c r="M300" s="11" t="s">
        <v>408</v>
      </c>
    </row>
    <row r="301" spans="1:13" x14ac:dyDescent="0.2">
      <c r="A301" s="20">
        <v>100054554</v>
      </c>
      <c r="B301" s="20" t="s">
        <v>286</v>
      </c>
      <c r="C301" s="20" t="s">
        <v>39</v>
      </c>
      <c r="D301" s="20" t="s">
        <v>32</v>
      </c>
      <c r="E301" s="20" t="s">
        <v>287</v>
      </c>
      <c r="F301" s="20" t="s">
        <v>732</v>
      </c>
      <c r="G301" s="20" t="s">
        <v>733</v>
      </c>
      <c r="H301" s="20" t="s">
        <v>734</v>
      </c>
      <c r="I301" s="33">
        <v>35735</v>
      </c>
      <c r="J301" s="33">
        <v>44612</v>
      </c>
      <c r="K301" s="28">
        <f ca="1">SUMIF(Data!$C$6:$V$29146,A301,Data!$V$6:$V$29146)</f>
        <v>0</v>
      </c>
      <c r="L301" s="28">
        <f t="shared" ca="1" si="4"/>
        <v>0</v>
      </c>
      <c r="M301" s="11" t="s">
        <v>408</v>
      </c>
    </row>
    <row r="302" spans="1:13" x14ac:dyDescent="0.2">
      <c r="A302" s="19">
        <v>100064593</v>
      </c>
      <c r="B302" s="20" t="s">
        <v>357</v>
      </c>
      <c r="C302" s="20" t="s">
        <v>39</v>
      </c>
      <c r="D302" s="20" t="s">
        <v>60</v>
      </c>
      <c r="E302" s="20" t="s">
        <v>358</v>
      </c>
      <c r="F302" s="20" t="s">
        <v>735</v>
      </c>
      <c r="G302" s="20" t="s">
        <v>412</v>
      </c>
      <c r="H302" s="20" t="s">
        <v>736</v>
      </c>
      <c r="I302" s="33">
        <v>23940</v>
      </c>
      <c r="J302" s="33">
        <v>44958</v>
      </c>
      <c r="K302" s="28">
        <f ca="1">SUMIF(Data!$C$6:$V$29146,A302,Data!$V$6:$V$29146)</f>
        <v>0</v>
      </c>
      <c r="L302" s="28">
        <f t="shared" ca="1" si="4"/>
        <v>0</v>
      </c>
      <c r="M302" s="11" t="s">
        <v>408</v>
      </c>
    </row>
    <row r="303" spans="1:13" x14ac:dyDescent="0.2">
      <c r="A303" s="19" t="s">
        <v>2213</v>
      </c>
      <c r="B303" s="20" t="s">
        <v>2214</v>
      </c>
      <c r="C303" s="20" t="s">
        <v>39</v>
      </c>
      <c r="D303" s="20" t="s">
        <v>60</v>
      </c>
      <c r="E303" s="20" t="s">
        <v>2215</v>
      </c>
      <c r="F303" s="20" t="s">
        <v>2216</v>
      </c>
      <c r="G303" s="20" t="s">
        <v>484</v>
      </c>
      <c r="H303" s="20" t="s">
        <v>2217</v>
      </c>
      <c r="I303" s="33">
        <v>33968</v>
      </c>
      <c r="J303" s="33">
        <v>45785</v>
      </c>
      <c r="K303" s="28">
        <f ca="1">SUMIF(Data!$C$6:$V$29146,A303,Data!$V$6:$V$29146)</f>
        <v>12.93</v>
      </c>
      <c r="L303" s="28">
        <f t="shared" ca="1" si="4"/>
        <v>3.2324999999999999</v>
      </c>
      <c r="M303" s="11" t="s">
        <v>408</v>
      </c>
    </row>
    <row r="304" spans="1:13" x14ac:dyDescent="0.2">
      <c r="A304" s="19">
        <v>100090856</v>
      </c>
      <c r="B304" s="20" t="s">
        <v>1859</v>
      </c>
      <c r="C304" s="20" t="s">
        <v>39</v>
      </c>
      <c r="D304" s="20" t="s">
        <v>30</v>
      </c>
      <c r="E304" s="20" t="s">
        <v>1876</v>
      </c>
      <c r="F304" s="20" t="s">
        <v>1895</v>
      </c>
      <c r="G304" s="20" t="s">
        <v>546</v>
      </c>
      <c r="H304" s="20" t="s">
        <v>1909</v>
      </c>
      <c r="I304" s="33">
        <v>37552</v>
      </c>
      <c r="J304" s="33">
        <v>45736</v>
      </c>
      <c r="K304" s="28">
        <f ca="1">SUMIF(Data!$C$6:$V$29146,A304,Data!$V$6:$V$29146)</f>
        <v>17.739999999999998</v>
      </c>
      <c r="L304" s="28">
        <f t="shared" ca="1" si="4"/>
        <v>4.4349999999999996</v>
      </c>
      <c r="M304" s="11" t="s">
        <v>408</v>
      </c>
    </row>
    <row r="305" spans="1:13" x14ac:dyDescent="0.2">
      <c r="A305" s="20">
        <v>100087234</v>
      </c>
      <c r="B305" s="20" t="s">
        <v>1583</v>
      </c>
      <c r="C305" s="20" t="s">
        <v>39</v>
      </c>
      <c r="D305" s="20" t="s">
        <v>36</v>
      </c>
      <c r="E305" s="20" t="s">
        <v>1584</v>
      </c>
      <c r="F305" s="20" t="s">
        <v>1585</v>
      </c>
      <c r="G305" s="20" t="s">
        <v>434</v>
      </c>
      <c r="H305" s="20" t="s">
        <v>1586</v>
      </c>
      <c r="I305" s="33">
        <v>38743</v>
      </c>
      <c r="J305" s="33">
        <v>45546</v>
      </c>
      <c r="K305" s="28">
        <f ca="1">SUMIF(Data!$C$6:$V$29146,A305,Data!$V$6:$V$29146)</f>
        <v>0</v>
      </c>
      <c r="L305" s="28">
        <f t="shared" ca="1" si="4"/>
        <v>0</v>
      </c>
      <c r="M305" s="11" t="s">
        <v>408</v>
      </c>
    </row>
    <row r="306" spans="1:13" x14ac:dyDescent="0.2">
      <c r="A306" s="19" t="s">
        <v>1621</v>
      </c>
      <c r="B306" s="20" t="s">
        <v>1673</v>
      </c>
      <c r="C306" s="20" t="s">
        <v>39</v>
      </c>
      <c r="D306" s="20" t="s">
        <v>30</v>
      </c>
      <c r="E306" s="20" t="s">
        <v>1725</v>
      </c>
      <c r="F306" s="20" t="s">
        <v>1779</v>
      </c>
      <c r="G306" s="20" t="s">
        <v>802</v>
      </c>
      <c r="H306" s="20" t="s">
        <v>1827</v>
      </c>
      <c r="I306" s="33">
        <v>23597</v>
      </c>
      <c r="J306" s="33">
        <v>45688</v>
      </c>
      <c r="K306" s="28">
        <f ca="1">SUMIF(Data!$C$6:$V$29146,A306,Data!$V$6:$V$29146)</f>
        <v>0</v>
      </c>
      <c r="L306" s="28">
        <f t="shared" ca="1" si="4"/>
        <v>0</v>
      </c>
      <c r="M306" s="11" t="s">
        <v>408</v>
      </c>
    </row>
    <row r="307" spans="1:13" x14ac:dyDescent="0.2">
      <c r="A307" s="19" t="s">
        <v>2218</v>
      </c>
      <c r="B307" s="20" t="s">
        <v>2219</v>
      </c>
      <c r="C307" s="20" t="s">
        <v>39</v>
      </c>
      <c r="D307" s="20" t="s">
        <v>30</v>
      </c>
      <c r="E307" s="20" t="s">
        <v>2220</v>
      </c>
      <c r="F307" s="20" t="s">
        <v>2221</v>
      </c>
      <c r="G307" s="20" t="s">
        <v>2222</v>
      </c>
      <c r="H307" s="20" t="s">
        <v>2223</v>
      </c>
      <c r="I307" s="33">
        <v>28249</v>
      </c>
      <c r="J307" s="33">
        <v>45785</v>
      </c>
      <c r="K307" s="28">
        <f ca="1">SUMIF(Data!$C$6:$V$29146,A307,Data!$V$6:$V$29146)</f>
        <v>0</v>
      </c>
      <c r="L307" s="28">
        <f t="shared" ca="1" si="4"/>
        <v>0</v>
      </c>
      <c r="M307" s="11" t="s">
        <v>408</v>
      </c>
    </row>
    <row r="308" spans="1:13" x14ac:dyDescent="0.2">
      <c r="A308" s="20">
        <v>100064793</v>
      </c>
      <c r="B308" s="20" t="s">
        <v>371</v>
      </c>
      <c r="C308" s="20" t="s">
        <v>39</v>
      </c>
      <c r="D308" s="20" t="s">
        <v>32</v>
      </c>
      <c r="E308" s="20" t="s">
        <v>372</v>
      </c>
      <c r="F308" s="20" t="s">
        <v>737</v>
      </c>
      <c r="G308" s="20" t="s">
        <v>738</v>
      </c>
      <c r="H308" s="20" t="s">
        <v>739</v>
      </c>
      <c r="I308" s="33">
        <v>36637</v>
      </c>
      <c r="J308" s="33">
        <v>44965</v>
      </c>
      <c r="K308" s="28">
        <f ca="1">SUMIF(Data!$C$6:$V$29146,A308,Data!$V$6:$V$29146)</f>
        <v>0</v>
      </c>
      <c r="L308" s="28">
        <f t="shared" ca="1" si="4"/>
        <v>0</v>
      </c>
      <c r="M308" s="11" t="s">
        <v>408</v>
      </c>
    </row>
    <row r="309" spans="1:13" x14ac:dyDescent="0.2">
      <c r="A309" s="19">
        <v>100077514</v>
      </c>
      <c r="B309" s="20" t="s">
        <v>1007</v>
      </c>
      <c r="C309" s="20" t="s">
        <v>39</v>
      </c>
      <c r="D309" s="20" t="s">
        <v>36</v>
      </c>
      <c r="E309" s="20" t="s">
        <v>1008</v>
      </c>
      <c r="F309" s="20" t="s">
        <v>1050</v>
      </c>
      <c r="G309" s="20" t="s">
        <v>434</v>
      </c>
      <c r="H309" s="20" t="s">
        <v>1051</v>
      </c>
      <c r="I309" s="33">
        <v>37142</v>
      </c>
      <c r="J309" s="33">
        <v>45322</v>
      </c>
      <c r="K309" s="28">
        <f ca="1">SUMIF(Data!$C$6:$V$29146,A309,Data!$V$6:$V$29146)</f>
        <v>0</v>
      </c>
      <c r="L309" s="28">
        <f t="shared" ca="1" si="4"/>
        <v>0</v>
      </c>
      <c r="M309" s="11" t="s">
        <v>408</v>
      </c>
    </row>
    <row r="310" spans="1:13" x14ac:dyDescent="0.2">
      <c r="A310" s="19" t="s">
        <v>1622</v>
      </c>
      <c r="B310" s="20" t="s">
        <v>1674</v>
      </c>
      <c r="C310" s="20" t="s">
        <v>39</v>
      </c>
      <c r="D310" s="20" t="s">
        <v>26</v>
      </c>
      <c r="E310" s="20" t="s">
        <v>1726</v>
      </c>
      <c r="F310" s="20" t="s">
        <v>1780</v>
      </c>
      <c r="G310" s="20" t="s">
        <v>662</v>
      </c>
      <c r="H310" s="20" t="s">
        <v>1828</v>
      </c>
      <c r="I310" s="33">
        <v>38607</v>
      </c>
      <c r="J310" s="33">
        <v>45688</v>
      </c>
      <c r="K310" s="28">
        <f ca="1">SUMIF(Data!$C$6:$V$29146,A310,Data!$V$6:$V$29146)</f>
        <v>6.92</v>
      </c>
      <c r="L310" s="28">
        <f t="shared" ca="1" si="4"/>
        <v>1.73</v>
      </c>
      <c r="M310" s="11" t="s">
        <v>408</v>
      </c>
    </row>
    <row r="311" spans="1:13" x14ac:dyDescent="0.2">
      <c r="A311" s="19">
        <v>100074378</v>
      </c>
      <c r="B311" s="20" t="s">
        <v>933</v>
      </c>
      <c r="C311" s="20" t="s">
        <v>39</v>
      </c>
      <c r="D311" s="20" t="s">
        <v>25</v>
      </c>
      <c r="E311" s="20" t="s">
        <v>934</v>
      </c>
      <c r="F311" s="20" t="s">
        <v>896</v>
      </c>
      <c r="G311" s="20" t="s">
        <v>633</v>
      </c>
      <c r="H311" s="20" t="s">
        <v>935</v>
      </c>
      <c r="I311" s="33">
        <v>35451</v>
      </c>
      <c r="J311" s="33">
        <v>45189</v>
      </c>
      <c r="K311" s="28">
        <f ca="1">SUMIF(Data!$C$6:$V$29146,A311,Data!$V$6:$V$29146)</f>
        <v>0</v>
      </c>
      <c r="L311" s="28">
        <f t="shared" ca="1" si="4"/>
        <v>0</v>
      </c>
      <c r="M311" s="11" t="s">
        <v>408</v>
      </c>
    </row>
    <row r="312" spans="1:13" x14ac:dyDescent="0.2">
      <c r="A312" s="19">
        <v>100082250</v>
      </c>
      <c r="B312" s="20" t="s">
        <v>1197</v>
      </c>
      <c r="C312" s="20" t="s">
        <v>39</v>
      </c>
      <c r="D312" s="20" t="s">
        <v>47</v>
      </c>
      <c r="E312" s="20" t="s">
        <v>1198</v>
      </c>
      <c r="F312" s="20" t="s">
        <v>1240</v>
      </c>
      <c r="G312" s="20" t="s">
        <v>1241</v>
      </c>
      <c r="H312" s="20" t="s">
        <v>1242</v>
      </c>
      <c r="I312" s="33">
        <v>38250</v>
      </c>
      <c r="J312" s="33">
        <v>45414</v>
      </c>
      <c r="K312" s="28">
        <f ca="1">SUMIF(Data!$C$6:$V$29146,A312,Data!$V$6:$V$29146)</f>
        <v>0</v>
      </c>
      <c r="L312" s="28">
        <f t="shared" ca="1" si="4"/>
        <v>0</v>
      </c>
      <c r="M312" s="11" t="s">
        <v>408</v>
      </c>
    </row>
    <row r="313" spans="1:13" x14ac:dyDescent="0.2">
      <c r="A313" s="22">
        <v>100054565</v>
      </c>
      <c r="B313" s="20" t="s">
        <v>288</v>
      </c>
      <c r="C313" s="20" t="s">
        <v>39</v>
      </c>
      <c r="D313" s="20" t="s">
        <v>25</v>
      </c>
      <c r="E313" s="20" t="s">
        <v>289</v>
      </c>
      <c r="F313" s="20" t="s">
        <v>740</v>
      </c>
      <c r="G313" s="20" t="s">
        <v>412</v>
      </c>
      <c r="H313" s="20" t="s">
        <v>741</v>
      </c>
      <c r="I313" s="33">
        <v>33361</v>
      </c>
      <c r="J313" s="33">
        <v>44612</v>
      </c>
      <c r="K313" s="28">
        <f ca="1">SUMIF(Data!$C$6:$V$29146,A313,Data!$V$6:$V$29146)</f>
        <v>0</v>
      </c>
      <c r="L313" s="28">
        <f t="shared" ca="1" si="4"/>
        <v>0</v>
      </c>
      <c r="M313" s="11" t="s">
        <v>408</v>
      </c>
    </row>
    <row r="314" spans="1:13" x14ac:dyDescent="0.2">
      <c r="A314" s="19" t="s">
        <v>2224</v>
      </c>
      <c r="B314" s="20" t="s">
        <v>2225</v>
      </c>
      <c r="C314" s="20" t="s">
        <v>39</v>
      </c>
      <c r="D314" s="20" t="s">
        <v>26</v>
      </c>
      <c r="E314" s="20" t="s">
        <v>2226</v>
      </c>
      <c r="F314" s="20" t="s">
        <v>2227</v>
      </c>
      <c r="G314" s="20" t="s">
        <v>538</v>
      </c>
      <c r="H314" s="20" t="s">
        <v>2228</v>
      </c>
      <c r="I314" s="33">
        <v>33959</v>
      </c>
      <c r="J314" s="33">
        <v>45785</v>
      </c>
      <c r="K314" s="28">
        <f ca="1">SUMIF(Data!$C$6:$V$29146,A314,Data!$V$6:$V$29146)</f>
        <v>0</v>
      </c>
      <c r="L314" s="28">
        <f t="shared" ca="1" si="4"/>
        <v>0</v>
      </c>
      <c r="M314" s="11" t="s">
        <v>408</v>
      </c>
    </row>
    <row r="315" spans="1:13" x14ac:dyDescent="0.2">
      <c r="A315" s="19">
        <v>100002210</v>
      </c>
      <c r="B315" s="20" t="s">
        <v>1065</v>
      </c>
      <c r="C315" s="20" t="s">
        <v>39</v>
      </c>
      <c r="D315" s="20" t="s">
        <v>34</v>
      </c>
      <c r="E315" s="20" t="s">
        <v>41</v>
      </c>
      <c r="F315" s="20" t="s">
        <v>1066</v>
      </c>
      <c r="G315" s="20" t="s">
        <v>742</v>
      </c>
      <c r="H315" s="20" t="s">
        <v>743</v>
      </c>
      <c r="I315" s="33">
        <v>25638</v>
      </c>
      <c r="J315" s="33">
        <v>41843</v>
      </c>
      <c r="K315" s="28">
        <f ca="1">SUMIF(Data!$C$6:$V$29146,A315,Data!$V$6:$V$29146)</f>
        <v>37.6</v>
      </c>
      <c r="L315" s="28">
        <f t="shared" ca="1" si="4"/>
        <v>9.4</v>
      </c>
      <c r="M315" s="11" t="s">
        <v>408</v>
      </c>
    </row>
    <row r="316" spans="1:13" x14ac:dyDescent="0.2">
      <c r="A316" s="19">
        <v>100054330</v>
      </c>
      <c r="B316" s="20" t="s">
        <v>1317</v>
      </c>
      <c r="C316" s="20" t="s">
        <v>39</v>
      </c>
      <c r="D316" s="20" t="s">
        <v>28</v>
      </c>
      <c r="E316" s="20" t="s">
        <v>1318</v>
      </c>
      <c r="F316" s="20" t="s">
        <v>1361</v>
      </c>
      <c r="G316" s="20" t="s">
        <v>640</v>
      </c>
      <c r="H316" s="20" t="s">
        <v>1362</v>
      </c>
      <c r="I316" s="33">
        <v>33665</v>
      </c>
      <c r="J316" s="33">
        <v>44586</v>
      </c>
      <c r="K316" s="28">
        <f ca="1">SUMIF(Data!$C$6:$V$29146,A316,Data!$V$6:$V$29146)</f>
        <v>48.400000000000006</v>
      </c>
      <c r="L316" s="28">
        <f t="shared" ca="1" si="4"/>
        <v>12.100000000000001</v>
      </c>
      <c r="M316" s="11" t="s">
        <v>408</v>
      </c>
    </row>
    <row r="317" spans="1:13" x14ac:dyDescent="0.2">
      <c r="A317" s="20">
        <v>100052657</v>
      </c>
      <c r="B317" s="20" t="s">
        <v>240</v>
      </c>
      <c r="C317" s="20" t="s">
        <v>39</v>
      </c>
      <c r="D317" s="20" t="s">
        <v>32</v>
      </c>
      <c r="E317" s="20" t="s">
        <v>241</v>
      </c>
      <c r="F317" s="20" t="s">
        <v>744</v>
      </c>
      <c r="G317" s="20" t="s">
        <v>745</v>
      </c>
      <c r="H317" s="20" t="s">
        <v>746</v>
      </c>
      <c r="I317" s="33">
        <v>31445</v>
      </c>
      <c r="J317" s="33">
        <v>44479</v>
      </c>
      <c r="K317" s="28">
        <f ca="1">SUMIF(Data!$C$6:$V$29146,A317,Data!$V$6:$V$29146)</f>
        <v>16.54</v>
      </c>
      <c r="L317" s="28">
        <f t="shared" ca="1" si="4"/>
        <v>4.1349999999999998</v>
      </c>
      <c r="M317" s="11" t="s">
        <v>408</v>
      </c>
    </row>
    <row r="318" spans="1:13" x14ac:dyDescent="0.2">
      <c r="A318" s="19">
        <v>100068466</v>
      </c>
      <c r="B318" s="20" t="s">
        <v>1143</v>
      </c>
      <c r="C318" s="20" t="s">
        <v>39</v>
      </c>
      <c r="D318" s="20" t="s">
        <v>23</v>
      </c>
      <c r="E318" s="20" t="s">
        <v>1144</v>
      </c>
      <c r="F318" s="20" t="s">
        <v>1145</v>
      </c>
      <c r="G318" s="20" t="s">
        <v>773</v>
      </c>
      <c r="H318" s="20" t="s">
        <v>1146</v>
      </c>
      <c r="I318" s="33">
        <v>38320</v>
      </c>
      <c r="J318" s="33">
        <v>45050</v>
      </c>
      <c r="K318" s="28">
        <f ca="1">SUMIF(Data!$C$6:$V$29146,A318,Data!$V$6:$V$29146)</f>
        <v>0</v>
      </c>
      <c r="L318" s="28">
        <f t="shared" ca="1" si="4"/>
        <v>0</v>
      </c>
      <c r="M318" s="11" t="s">
        <v>408</v>
      </c>
    </row>
    <row r="319" spans="1:13" x14ac:dyDescent="0.2">
      <c r="A319" s="19" t="s">
        <v>1623</v>
      </c>
      <c r="B319" s="20" t="s">
        <v>1675</v>
      </c>
      <c r="C319" s="20" t="s">
        <v>39</v>
      </c>
      <c r="D319" s="20" t="s">
        <v>26</v>
      </c>
      <c r="E319" s="20" t="s">
        <v>1727</v>
      </c>
      <c r="F319" s="20" t="s">
        <v>1781</v>
      </c>
      <c r="G319" s="20" t="s">
        <v>466</v>
      </c>
      <c r="H319" s="20" t="s">
        <v>1829</v>
      </c>
      <c r="I319" s="33">
        <v>38799</v>
      </c>
      <c r="J319" s="33">
        <v>45688</v>
      </c>
      <c r="K319" s="28">
        <f ca="1">SUMIF(Data!$C$6:$V$29146,A319,Data!$V$6:$V$29146)</f>
        <v>7.05</v>
      </c>
      <c r="L319" s="28">
        <f t="shared" ca="1" si="4"/>
        <v>1.7625</v>
      </c>
      <c r="M319" s="11" t="s">
        <v>408</v>
      </c>
    </row>
    <row r="320" spans="1:13" x14ac:dyDescent="0.2">
      <c r="A320" s="20">
        <v>100087259</v>
      </c>
      <c r="B320" s="20" t="s">
        <v>1553</v>
      </c>
      <c r="C320" s="20" t="s">
        <v>39</v>
      </c>
      <c r="D320" s="20" t="s">
        <v>35</v>
      </c>
      <c r="E320" s="20" t="s">
        <v>1554</v>
      </c>
      <c r="F320" s="20" t="s">
        <v>1555</v>
      </c>
      <c r="G320" s="20" t="s">
        <v>1556</v>
      </c>
      <c r="H320" s="20" t="s">
        <v>1557</v>
      </c>
      <c r="I320" s="33">
        <v>30931</v>
      </c>
      <c r="J320" s="33">
        <v>45546</v>
      </c>
      <c r="K320" s="28">
        <f ca="1">SUMIF(Data!$C$6:$V$29146,A320,Data!$V$6:$V$29146)</f>
        <v>45.13000000000001</v>
      </c>
      <c r="L320" s="28">
        <f t="shared" ca="1" si="4"/>
        <v>11.282500000000002</v>
      </c>
      <c r="M320" s="11" t="s">
        <v>408</v>
      </c>
    </row>
    <row r="321" spans="1:13" x14ac:dyDescent="0.2">
      <c r="A321" s="19">
        <v>100082235</v>
      </c>
      <c r="B321" s="20" t="s">
        <v>1201</v>
      </c>
      <c r="C321" s="20" t="s">
        <v>39</v>
      </c>
      <c r="D321" s="20" t="s">
        <v>27</v>
      </c>
      <c r="E321" s="20" t="s">
        <v>1202</v>
      </c>
      <c r="F321" s="20" t="s">
        <v>1243</v>
      </c>
      <c r="G321" s="20" t="s">
        <v>425</v>
      </c>
      <c r="H321" s="20" t="s">
        <v>1244</v>
      </c>
      <c r="I321" s="33">
        <v>38140</v>
      </c>
      <c r="J321" s="33">
        <v>45414</v>
      </c>
      <c r="K321" s="28">
        <f ca="1">SUMIF(Data!$C$6:$V$29146,A321,Data!$V$6:$V$29146)</f>
        <v>0</v>
      </c>
      <c r="L321" s="28">
        <f t="shared" ca="1" si="4"/>
        <v>0</v>
      </c>
      <c r="M321" s="11" t="s">
        <v>408</v>
      </c>
    </row>
    <row r="322" spans="1:13" x14ac:dyDescent="0.2">
      <c r="A322" s="19">
        <v>100078199</v>
      </c>
      <c r="B322" s="20" t="s">
        <v>1061</v>
      </c>
      <c r="C322" s="20" t="s">
        <v>39</v>
      </c>
      <c r="D322" s="20" t="s">
        <v>47</v>
      </c>
      <c r="E322" s="20" t="s">
        <v>1062</v>
      </c>
      <c r="F322" s="20" t="s">
        <v>1063</v>
      </c>
      <c r="G322" s="20" t="s">
        <v>544</v>
      </c>
      <c r="H322" s="20" t="s">
        <v>1064</v>
      </c>
      <c r="I322" s="33">
        <v>36521</v>
      </c>
      <c r="J322" s="33">
        <v>45338</v>
      </c>
      <c r="K322" s="28">
        <f ca="1">SUMIF(Data!$C$6:$V$29146,A322,Data!$V$6:$V$29146)</f>
        <v>0</v>
      </c>
      <c r="L322" s="28">
        <f t="shared" ca="1" si="4"/>
        <v>0</v>
      </c>
      <c r="M322" s="11" t="s">
        <v>408</v>
      </c>
    </row>
    <row r="323" spans="1:13" x14ac:dyDescent="0.2">
      <c r="A323" s="19" t="s">
        <v>1624</v>
      </c>
      <c r="B323" s="20" t="s">
        <v>1676</v>
      </c>
      <c r="C323" s="20" t="s">
        <v>39</v>
      </c>
      <c r="D323" s="20" t="s">
        <v>29</v>
      </c>
      <c r="E323" s="20" t="s">
        <v>1728</v>
      </c>
      <c r="F323" s="20" t="s">
        <v>1782</v>
      </c>
      <c r="G323" s="20" t="s">
        <v>775</v>
      </c>
      <c r="H323" s="20" t="s">
        <v>1830</v>
      </c>
      <c r="I323" s="33">
        <v>26598</v>
      </c>
      <c r="J323" s="33">
        <v>45688</v>
      </c>
      <c r="K323" s="28">
        <f ca="1">SUMIF(Data!$C$6:$V$29146,A323,Data!$V$6:$V$29146)</f>
        <v>0</v>
      </c>
      <c r="L323" s="28">
        <f t="shared" ca="1" si="4"/>
        <v>0</v>
      </c>
      <c r="M323" s="11" t="s">
        <v>408</v>
      </c>
    </row>
    <row r="324" spans="1:13" x14ac:dyDescent="0.2">
      <c r="A324" s="19">
        <v>100071828</v>
      </c>
      <c r="B324" s="20" t="s">
        <v>1147</v>
      </c>
      <c r="C324" s="20" t="s">
        <v>39</v>
      </c>
      <c r="D324" s="20" t="s">
        <v>30</v>
      </c>
      <c r="E324" s="20" t="s">
        <v>1148</v>
      </c>
      <c r="F324" s="20" t="s">
        <v>1149</v>
      </c>
      <c r="G324" s="20" t="s">
        <v>752</v>
      </c>
      <c r="H324" s="20" t="s">
        <v>1150</v>
      </c>
      <c r="I324" s="33">
        <v>24949</v>
      </c>
      <c r="J324" s="33">
        <v>45112</v>
      </c>
      <c r="K324" s="28">
        <f ca="1">SUMIF(Data!$C$6:$V$29146,A324,Data!$V$6:$V$29146)</f>
        <v>0</v>
      </c>
      <c r="L324" s="28">
        <f t="shared" ca="1" si="4"/>
        <v>0</v>
      </c>
      <c r="M324" s="11" t="s">
        <v>408</v>
      </c>
    </row>
    <row r="325" spans="1:13" x14ac:dyDescent="0.2">
      <c r="A325" s="19">
        <v>100054558</v>
      </c>
      <c r="B325" s="20" t="s">
        <v>290</v>
      </c>
      <c r="C325" s="20" t="s">
        <v>39</v>
      </c>
      <c r="D325" s="20" t="s">
        <v>32</v>
      </c>
      <c r="E325" s="20" t="s">
        <v>291</v>
      </c>
      <c r="F325" s="20" t="s">
        <v>747</v>
      </c>
      <c r="G325" s="20" t="s">
        <v>556</v>
      </c>
      <c r="H325" s="20" t="s">
        <v>748</v>
      </c>
      <c r="I325" s="33">
        <v>31624</v>
      </c>
      <c r="J325" s="33">
        <v>44612</v>
      </c>
      <c r="K325" s="28">
        <f ca="1">SUMIF(Data!$C$6:$V$29146,A325,Data!$V$6:$V$29146)</f>
        <v>0</v>
      </c>
      <c r="L325" s="28">
        <f t="shared" ref="L325:L388" ca="1" si="5">IFERROR(K325*0.25,"")</f>
        <v>0</v>
      </c>
      <c r="M325" s="11" t="s">
        <v>408</v>
      </c>
    </row>
    <row r="326" spans="1:13" x14ac:dyDescent="0.2">
      <c r="A326" s="20">
        <v>100036544</v>
      </c>
      <c r="B326" s="20" t="s">
        <v>160</v>
      </c>
      <c r="C326" s="20" t="s">
        <v>39</v>
      </c>
      <c r="D326" s="20" t="s">
        <v>35</v>
      </c>
      <c r="E326" s="20" t="s">
        <v>161</v>
      </c>
      <c r="F326" s="20" t="s">
        <v>749</v>
      </c>
      <c r="G326" s="20" t="s">
        <v>750</v>
      </c>
      <c r="H326" s="20" t="s">
        <v>751</v>
      </c>
      <c r="I326" s="33">
        <v>24505</v>
      </c>
      <c r="J326" s="33">
        <v>43525</v>
      </c>
      <c r="K326" s="28">
        <f ca="1">SUMIF(Data!$C$6:$V$29146,A326,Data!$V$6:$V$29146)</f>
        <v>0</v>
      </c>
      <c r="L326" s="28">
        <f t="shared" ca="1" si="5"/>
        <v>0</v>
      </c>
      <c r="M326" s="11" t="s">
        <v>408</v>
      </c>
    </row>
    <row r="327" spans="1:13" x14ac:dyDescent="0.2">
      <c r="A327" s="19">
        <v>100073264</v>
      </c>
      <c r="B327" s="20" t="s">
        <v>877</v>
      </c>
      <c r="C327" s="20" t="s">
        <v>39</v>
      </c>
      <c r="D327" s="20" t="s">
        <v>36</v>
      </c>
      <c r="E327" s="20" t="s">
        <v>878</v>
      </c>
      <c r="F327" s="20" t="s">
        <v>879</v>
      </c>
      <c r="G327" s="20" t="s">
        <v>880</v>
      </c>
      <c r="H327" s="20" t="s">
        <v>881</v>
      </c>
      <c r="I327" s="33">
        <v>29650</v>
      </c>
      <c r="J327" s="33">
        <v>45154</v>
      </c>
      <c r="K327" s="28">
        <f ca="1">SUMIF(Data!$C$6:$V$29146,A327,Data!$V$6:$V$29146)</f>
        <v>0</v>
      </c>
      <c r="L327" s="28">
        <f t="shared" ca="1" si="5"/>
        <v>0</v>
      </c>
      <c r="M327" s="11" t="s">
        <v>408</v>
      </c>
    </row>
    <row r="328" spans="1:13" x14ac:dyDescent="0.2">
      <c r="A328" s="19">
        <v>100036513</v>
      </c>
      <c r="B328" s="20" t="s">
        <v>1074</v>
      </c>
      <c r="C328" s="20" t="s">
        <v>39</v>
      </c>
      <c r="D328" s="20" t="s">
        <v>28</v>
      </c>
      <c r="E328" s="20" t="s">
        <v>153</v>
      </c>
      <c r="F328" s="20" t="s">
        <v>753</v>
      </c>
      <c r="G328" s="20" t="s">
        <v>425</v>
      </c>
      <c r="H328" s="20" t="s">
        <v>754</v>
      </c>
      <c r="I328" s="33">
        <v>29400</v>
      </c>
      <c r="J328" s="33">
        <v>43523</v>
      </c>
      <c r="K328" s="28">
        <f ca="1">SUMIF(Data!$C$6:$V$29146,A328,Data!$V$6:$V$29146)</f>
        <v>0</v>
      </c>
      <c r="L328" s="28">
        <f t="shared" ca="1" si="5"/>
        <v>0</v>
      </c>
      <c r="M328" s="11" t="s">
        <v>408</v>
      </c>
    </row>
    <row r="329" spans="1:13" x14ac:dyDescent="0.2">
      <c r="A329" s="19" t="s">
        <v>1625</v>
      </c>
      <c r="B329" s="20" t="s">
        <v>1677</v>
      </c>
      <c r="C329" s="20" t="s">
        <v>39</v>
      </c>
      <c r="D329" s="20" t="s">
        <v>60</v>
      </c>
      <c r="E329" s="20" t="s">
        <v>1729</v>
      </c>
      <c r="F329" s="20" t="s">
        <v>1783</v>
      </c>
      <c r="G329" s="20" t="s">
        <v>423</v>
      </c>
      <c r="H329" s="20" t="s">
        <v>1831</v>
      </c>
      <c r="I329" s="33">
        <v>35323</v>
      </c>
      <c r="J329" s="33">
        <v>45688</v>
      </c>
      <c r="K329" s="28">
        <f ca="1">SUMIF(Data!$C$6:$V$29146,A329,Data!$V$6:$V$29146)</f>
        <v>0</v>
      </c>
      <c r="L329" s="28">
        <f t="shared" ca="1" si="5"/>
        <v>0</v>
      </c>
      <c r="M329" s="11" t="s">
        <v>408</v>
      </c>
    </row>
    <row r="330" spans="1:13" x14ac:dyDescent="0.2">
      <c r="A330" s="19" t="s">
        <v>1626</v>
      </c>
      <c r="B330" s="20" t="s">
        <v>1678</v>
      </c>
      <c r="C330" s="20" t="s">
        <v>39</v>
      </c>
      <c r="D330" s="20" t="s">
        <v>35</v>
      </c>
      <c r="E330" s="20" t="s">
        <v>1730</v>
      </c>
      <c r="F330" s="20" t="s">
        <v>1784</v>
      </c>
      <c r="G330" s="20" t="s">
        <v>1048</v>
      </c>
      <c r="H330" s="20" t="s">
        <v>1832</v>
      </c>
      <c r="I330" s="33">
        <v>31906</v>
      </c>
      <c r="J330" s="33">
        <v>45688</v>
      </c>
      <c r="K330" s="28">
        <f ca="1">SUMIF(Data!$C$6:$V$29146,A330,Data!$V$6:$V$29146)</f>
        <v>0</v>
      </c>
      <c r="L330" s="28">
        <f t="shared" ca="1" si="5"/>
        <v>0</v>
      </c>
      <c r="M330" s="11" t="s">
        <v>408</v>
      </c>
    </row>
    <row r="331" spans="1:13" x14ac:dyDescent="0.2">
      <c r="A331" s="19">
        <v>100066160</v>
      </c>
      <c r="B331" s="20" t="s">
        <v>1151</v>
      </c>
      <c r="C331" s="20" t="s">
        <v>39</v>
      </c>
      <c r="D331" s="20" t="s">
        <v>47</v>
      </c>
      <c r="E331" s="20" t="s">
        <v>1152</v>
      </c>
      <c r="F331" s="20" t="s">
        <v>1153</v>
      </c>
      <c r="G331" s="20" t="s">
        <v>940</v>
      </c>
      <c r="H331" s="20" t="s">
        <v>1154</v>
      </c>
      <c r="I331" s="33">
        <v>38136</v>
      </c>
      <c r="J331" s="33">
        <v>45154</v>
      </c>
      <c r="K331" s="28">
        <f ca="1">SUMIF(Data!$C$6:$V$29146,A331,Data!$V$6:$V$29146)</f>
        <v>0</v>
      </c>
      <c r="L331" s="28">
        <f t="shared" ca="1" si="5"/>
        <v>0</v>
      </c>
      <c r="M331" s="11" t="s">
        <v>408</v>
      </c>
    </row>
    <row r="332" spans="1:13" x14ac:dyDescent="0.2">
      <c r="A332" s="19" t="s">
        <v>2229</v>
      </c>
      <c r="B332" s="20" t="s">
        <v>2230</v>
      </c>
      <c r="C332" s="20" t="s">
        <v>39</v>
      </c>
      <c r="D332" s="20" t="s">
        <v>60</v>
      </c>
      <c r="E332" s="20" t="s">
        <v>2231</v>
      </c>
      <c r="F332" s="20" t="s">
        <v>2232</v>
      </c>
      <c r="G332" s="20" t="s">
        <v>544</v>
      </c>
      <c r="H332" s="20" t="s">
        <v>2233</v>
      </c>
      <c r="I332" s="33">
        <v>36406</v>
      </c>
      <c r="J332" s="33">
        <v>45785</v>
      </c>
      <c r="K332" s="28">
        <f ca="1">SUMIF(Data!$C$6:$V$29146,A332,Data!$V$6:$V$29146)</f>
        <v>20.46</v>
      </c>
      <c r="L332" s="28">
        <f t="shared" ca="1" si="5"/>
        <v>5.1150000000000002</v>
      </c>
      <c r="M332" s="11" t="s">
        <v>408</v>
      </c>
    </row>
    <row r="333" spans="1:13" x14ac:dyDescent="0.2">
      <c r="A333" s="19">
        <v>100074404</v>
      </c>
      <c r="B333" s="20" t="s">
        <v>936</v>
      </c>
      <c r="C333" s="20" t="s">
        <v>39</v>
      </c>
      <c r="D333" s="20" t="s">
        <v>25</v>
      </c>
      <c r="E333" s="20" t="s">
        <v>937</v>
      </c>
      <c r="F333" s="20" t="s">
        <v>938</v>
      </c>
      <c r="G333" s="20" t="s">
        <v>412</v>
      </c>
      <c r="H333" s="20" t="s">
        <v>939</v>
      </c>
      <c r="I333" s="33">
        <v>36745</v>
      </c>
      <c r="J333" s="33">
        <v>45189</v>
      </c>
      <c r="K333" s="28">
        <f ca="1">SUMIF(Data!$C$6:$V$29146,A333,Data!$V$6:$V$29146)</f>
        <v>0</v>
      </c>
      <c r="L333" s="28">
        <f t="shared" ca="1" si="5"/>
        <v>0</v>
      </c>
      <c r="M333" s="11" t="s">
        <v>408</v>
      </c>
    </row>
    <row r="334" spans="1:13" x14ac:dyDescent="0.2">
      <c r="A334" s="22">
        <v>100030487</v>
      </c>
      <c r="B334" s="20" t="s">
        <v>87</v>
      </c>
      <c r="C334" s="20" t="s">
        <v>39</v>
      </c>
      <c r="D334" s="20" t="s">
        <v>31</v>
      </c>
      <c r="E334" s="20" t="s">
        <v>88</v>
      </c>
      <c r="F334" s="20" t="s">
        <v>755</v>
      </c>
      <c r="G334" s="20" t="s">
        <v>425</v>
      </c>
      <c r="H334" s="20" t="s">
        <v>756</v>
      </c>
      <c r="I334" s="33">
        <v>19351</v>
      </c>
      <c r="J334" s="33">
        <v>43188</v>
      </c>
      <c r="K334" s="28">
        <f ca="1">SUMIF(Data!$C$6:$V$29146,A334,Data!$V$6:$V$29146)</f>
        <v>0</v>
      </c>
      <c r="L334" s="28">
        <f t="shared" ca="1" si="5"/>
        <v>0</v>
      </c>
      <c r="M334" s="11" t="s">
        <v>408</v>
      </c>
    </row>
    <row r="335" spans="1:13" x14ac:dyDescent="0.2">
      <c r="A335" s="25">
        <v>100019331</v>
      </c>
      <c r="B335" s="20" t="s">
        <v>393</v>
      </c>
      <c r="C335" s="20" t="s">
        <v>39</v>
      </c>
      <c r="D335" s="20" t="s">
        <v>30</v>
      </c>
      <c r="E335" s="20" t="s">
        <v>394</v>
      </c>
      <c r="F335" s="20" t="s">
        <v>757</v>
      </c>
      <c r="G335" s="20" t="s">
        <v>425</v>
      </c>
      <c r="H335" s="20" t="s">
        <v>758</v>
      </c>
      <c r="I335" s="33">
        <v>23010</v>
      </c>
      <c r="J335" s="33">
        <v>42583</v>
      </c>
      <c r="K335" s="28">
        <f ca="1">SUMIF(Data!$C$6:$V$29146,A335,Data!$V$6:$V$29146)</f>
        <v>0</v>
      </c>
      <c r="L335" s="28">
        <f t="shared" ca="1" si="5"/>
        <v>0</v>
      </c>
      <c r="M335" s="11" t="s">
        <v>408</v>
      </c>
    </row>
    <row r="336" spans="1:13" x14ac:dyDescent="0.2">
      <c r="A336" s="25">
        <v>100064879</v>
      </c>
      <c r="B336" s="20" t="s">
        <v>395</v>
      </c>
      <c r="C336" s="20" t="s">
        <v>39</v>
      </c>
      <c r="D336" s="20" t="s">
        <v>26</v>
      </c>
      <c r="E336" s="20" t="s">
        <v>396</v>
      </c>
      <c r="F336" s="20" t="s">
        <v>760</v>
      </c>
      <c r="G336" s="20" t="s">
        <v>423</v>
      </c>
      <c r="H336" s="20" t="s">
        <v>761</v>
      </c>
      <c r="I336" s="33">
        <v>26789</v>
      </c>
      <c r="J336" s="33">
        <v>44958</v>
      </c>
      <c r="K336" s="28">
        <f ca="1">SUMIF(Data!$C$6:$V$29146,A336,Data!$V$6:$V$29146)</f>
        <v>6.54</v>
      </c>
      <c r="L336" s="28">
        <f t="shared" ca="1" si="5"/>
        <v>1.635</v>
      </c>
      <c r="M336" s="11" t="s">
        <v>408</v>
      </c>
    </row>
    <row r="337" spans="1:13" x14ac:dyDescent="0.2">
      <c r="A337" s="22">
        <v>100064788</v>
      </c>
      <c r="B337" s="20" t="s">
        <v>373</v>
      </c>
      <c r="C337" s="20" t="s">
        <v>39</v>
      </c>
      <c r="D337" s="20" t="s">
        <v>26</v>
      </c>
      <c r="E337" s="20" t="s">
        <v>374</v>
      </c>
      <c r="F337" s="20" t="s">
        <v>762</v>
      </c>
      <c r="G337" s="20" t="s">
        <v>763</v>
      </c>
      <c r="H337" s="20" t="s">
        <v>764</v>
      </c>
      <c r="I337" s="33">
        <v>34933</v>
      </c>
      <c r="J337" s="33">
        <v>44965</v>
      </c>
      <c r="K337" s="28">
        <f ca="1">SUMIF(Data!$C$6:$V$29146,A337,Data!$V$6:$V$29146)</f>
        <v>0</v>
      </c>
      <c r="L337" s="28">
        <f t="shared" ca="1" si="5"/>
        <v>0</v>
      </c>
      <c r="M337" s="11" t="s">
        <v>408</v>
      </c>
    </row>
    <row r="338" spans="1:13" x14ac:dyDescent="0.2">
      <c r="A338" s="25">
        <v>100067154</v>
      </c>
      <c r="B338" s="20" t="s">
        <v>397</v>
      </c>
      <c r="C338" s="20" t="s">
        <v>39</v>
      </c>
      <c r="D338" s="20" t="s">
        <v>32</v>
      </c>
      <c r="E338" s="20" t="s">
        <v>398</v>
      </c>
      <c r="F338" s="20" t="s">
        <v>765</v>
      </c>
      <c r="G338" s="20" t="s">
        <v>766</v>
      </c>
      <c r="H338" s="20" t="s">
        <v>767</v>
      </c>
      <c r="I338" s="33">
        <v>36331</v>
      </c>
      <c r="J338" s="33">
        <v>45028</v>
      </c>
      <c r="K338" s="28">
        <f ca="1">SUMIF(Data!$C$6:$V$29146,A338,Data!$V$6:$V$29146)</f>
        <v>5.72</v>
      </c>
      <c r="L338" s="28">
        <f t="shared" ca="1" si="5"/>
        <v>1.43</v>
      </c>
      <c r="M338" s="11" t="s">
        <v>408</v>
      </c>
    </row>
    <row r="339" spans="1:13" x14ac:dyDescent="0.2">
      <c r="A339" s="19" t="s">
        <v>2234</v>
      </c>
      <c r="B339" s="20" t="s">
        <v>2235</v>
      </c>
      <c r="C339" s="20" t="s">
        <v>39</v>
      </c>
      <c r="D339" s="20" t="s">
        <v>47</v>
      </c>
      <c r="E339" s="20" t="s">
        <v>2236</v>
      </c>
      <c r="F339" s="20" t="s">
        <v>2237</v>
      </c>
      <c r="G339" s="20" t="s">
        <v>423</v>
      </c>
      <c r="H339" s="20" t="s">
        <v>2238</v>
      </c>
      <c r="I339" s="33">
        <v>30603</v>
      </c>
      <c r="J339" s="33">
        <v>45785</v>
      </c>
      <c r="K339" s="28">
        <f ca="1">SUMIF(Data!$C$6:$V$29146,A339,Data!$V$6:$V$29146)</f>
        <v>0</v>
      </c>
      <c r="L339" s="28">
        <f t="shared" ca="1" si="5"/>
        <v>0</v>
      </c>
      <c r="M339" s="11" t="s">
        <v>408</v>
      </c>
    </row>
    <row r="340" spans="1:13" x14ac:dyDescent="0.2">
      <c r="A340" s="19">
        <v>100049982</v>
      </c>
      <c r="B340" s="20" t="s">
        <v>1086</v>
      </c>
      <c r="C340" s="20" t="s">
        <v>39</v>
      </c>
      <c r="D340" s="20" t="s">
        <v>31</v>
      </c>
      <c r="E340" s="20" t="s">
        <v>236</v>
      </c>
      <c r="F340" s="20" t="s">
        <v>768</v>
      </c>
      <c r="G340" s="20" t="s">
        <v>413</v>
      </c>
      <c r="H340" s="20" t="s">
        <v>769</v>
      </c>
      <c r="I340" s="33">
        <v>22156</v>
      </c>
      <c r="J340" s="33">
        <v>44410</v>
      </c>
      <c r="K340" s="28">
        <f ca="1">SUMIF(Data!$C$6:$V$29146,A340,Data!$V$6:$V$29146)</f>
        <v>0</v>
      </c>
      <c r="L340" s="28">
        <f t="shared" ca="1" si="5"/>
        <v>0</v>
      </c>
      <c r="M340" s="11" t="s">
        <v>408</v>
      </c>
    </row>
    <row r="341" spans="1:13" x14ac:dyDescent="0.2">
      <c r="A341" s="20">
        <v>100039136</v>
      </c>
      <c r="B341" s="20" t="s">
        <v>1078</v>
      </c>
      <c r="C341" s="20" t="s">
        <v>39</v>
      </c>
      <c r="D341" s="20" t="s">
        <v>23</v>
      </c>
      <c r="E341" s="20" t="s">
        <v>173</v>
      </c>
      <c r="F341" s="20" t="s">
        <v>770</v>
      </c>
      <c r="G341" s="20" t="s">
        <v>562</v>
      </c>
      <c r="H341" s="20" t="s">
        <v>771</v>
      </c>
      <c r="I341" s="33">
        <v>36444</v>
      </c>
      <c r="J341" s="33">
        <v>43600</v>
      </c>
      <c r="K341" s="28">
        <f ca="1">SUMIF(Data!$C$6:$V$29146,A341,Data!$V$6:$V$29146)</f>
        <v>0</v>
      </c>
      <c r="L341" s="28">
        <f t="shared" ca="1" si="5"/>
        <v>0</v>
      </c>
      <c r="M341" s="11" t="s">
        <v>408</v>
      </c>
    </row>
    <row r="342" spans="1:13" x14ac:dyDescent="0.2">
      <c r="A342" s="20">
        <v>100087251</v>
      </c>
      <c r="B342" s="20" t="s">
        <v>1418</v>
      </c>
      <c r="C342" s="20" t="s">
        <v>39</v>
      </c>
      <c r="D342" s="20" t="s">
        <v>47</v>
      </c>
      <c r="E342" s="20" t="s">
        <v>1419</v>
      </c>
      <c r="F342" s="20" t="s">
        <v>1420</v>
      </c>
      <c r="G342" s="20" t="s">
        <v>562</v>
      </c>
      <c r="H342" s="20" t="s">
        <v>1421</v>
      </c>
      <c r="I342" s="33">
        <v>38310</v>
      </c>
      <c r="J342" s="33">
        <v>45546</v>
      </c>
      <c r="K342" s="28">
        <f ca="1">SUMIF(Data!$C$6:$V$29146,A342,Data!$V$6:$V$29146)</f>
        <v>0</v>
      </c>
      <c r="L342" s="28">
        <f t="shared" ca="1" si="5"/>
        <v>0</v>
      </c>
      <c r="M342" s="11" t="s">
        <v>408</v>
      </c>
    </row>
    <row r="343" spans="1:13" x14ac:dyDescent="0.2">
      <c r="A343" s="19" t="s">
        <v>2239</v>
      </c>
      <c r="B343" s="20" t="s">
        <v>2240</v>
      </c>
      <c r="C343" s="20" t="s">
        <v>39</v>
      </c>
      <c r="D343" s="20" t="s">
        <v>30</v>
      </c>
      <c r="E343" s="20" t="s">
        <v>2241</v>
      </c>
      <c r="F343" s="20" t="s">
        <v>2242</v>
      </c>
      <c r="G343" s="20" t="s">
        <v>2243</v>
      </c>
      <c r="H343" s="20" t="s">
        <v>2244</v>
      </c>
      <c r="I343" s="33">
        <v>33794</v>
      </c>
      <c r="J343" s="33">
        <v>45785</v>
      </c>
      <c r="K343" s="28">
        <f ca="1">SUMIF(Data!$C$6:$V$29146,A343,Data!$V$6:$V$29146)</f>
        <v>0</v>
      </c>
      <c r="L343" s="28">
        <f t="shared" ca="1" si="5"/>
        <v>0</v>
      </c>
      <c r="M343" s="11" t="s">
        <v>408</v>
      </c>
    </row>
    <row r="344" spans="1:13" x14ac:dyDescent="0.2">
      <c r="A344" s="19">
        <v>100082243</v>
      </c>
      <c r="B344" s="20" t="s">
        <v>1207</v>
      </c>
      <c r="C344" s="20" t="s">
        <v>39</v>
      </c>
      <c r="D344" s="20" t="s">
        <v>47</v>
      </c>
      <c r="E344" s="20" t="s">
        <v>1208</v>
      </c>
      <c r="F344" s="20" t="s">
        <v>1245</v>
      </c>
      <c r="G344" s="20" t="s">
        <v>1039</v>
      </c>
      <c r="H344" s="20" t="s">
        <v>1323</v>
      </c>
      <c r="I344" s="33">
        <v>37784</v>
      </c>
      <c r="J344" s="33">
        <v>45414</v>
      </c>
      <c r="K344" s="28">
        <f ca="1">SUMIF(Data!$C$6:$V$29146,A344,Data!$V$6:$V$29146)</f>
        <v>0</v>
      </c>
      <c r="L344" s="28">
        <f t="shared" ca="1" si="5"/>
        <v>0</v>
      </c>
      <c r="M344" s="11" t="s">
        <v>408</v>
      </c>
    </row>
    <row r="345" spans="1:13" x14ac:dyDescent="0.2">
      <c r="A345" s="19" t="s">
        <v>1627</v>
      </c>
      <c r="B345" s="20" t="s">
        <v>1679</v>
      </c>
      <c r="C345" s="20" t="s">
        <v>39</v>
      </c>
      <c r="D345" s="20" t="s">
        <v>26</v>
      </c>
      <c r="E345" s="20" t="s">
        <v>1731</v>
      </c>
      <c r="F345" s="20" t="s">
        <v>1785</v>
      </c>
      <c r="G345" s="20" t="s">
        <v>520</v>
      </c>
      <c r="H345" s="20" t="s">
        <v>1833</v>
      </c>
      <c r="I345" s="33">
        <v>31293</v>
      </c>
      <c r="J345" s="33">
        <v>45688</v>
      </c>
      <c r="K345" s="28">
        <f ca="1">SUMIF(Data!$C$6:$V$29146,A345,Data!$V$6:$V$29146)</f>
        <v>0</v>
      </c>
      <c r="L345" s="28">
        <f t="shared" ca="1" si="5"/>
        <v>0</v>
      </c>
      <c r="M345" s="11" t="s">
        <v>408</v>
      </c>
    </row>
    <row r="346" spans="1:13" x14ac:dyDescent="0.2">
      <c r="A346" s="20">
        <v>100087280</v>
      </c>
      <c r="B346" s="20" t="s">
        <v>1367</v>
      </c>
      <c r="C346" s="20" t="s">
        <v>39</v>
      </c>
      <c r="D346" s="20" t="s">
        <v>29</v>
      </c>
      <c r="E346" s="20" t="s">
        <v>1368</v>
      </c>
      <c r="F346" s="20" t="s">
        <v>1369</v>
      </c>
      <c r="G346" s="20" t="s">
        <v>1370</v>
      </c>
      <c r="H346" s="20" t="s">
        <v>1371</v>
      </c>
      <c r="I346" s="33">
        <v>36215</v>
      </c>
      <c r="J346" s="33">
        <v>45546</v>
      </c>
      <c r="K346" s="28">
        <f ca="1">SUMIF(Data!$C$6:$V$29146,A346,Data!$V$6:$V$29146)</f>
        <v>0</v>
      </c>
      <c r="L346" s="28">
        <f t="shared" ca="1" si="5"/>
        <v>0</v>
      </c>
      <c r="M346" s="11" t="s">
        <v>408</v>
      </c>
    </row>
    <row r="347" spans="1:13" x14ac:dyDescent="0.2">
      <c r="A347" s="19" t="s">
        <v>2245</v>
      </c>
      <c r="B347" s="20" t="s">
        <v>2246</v>
      </c>
      <c r="C347" s="20" t="s">
        <v>39</v>
      </c>
      <c r="D347" s="20" t="s">
        <v>30</v>
      </c>
      <c r="E347" s="20" t="s">
        <v>2247</v>
      </c>
      <c r="F347" s="20" t="s">
        <v>2248</v>
      </c>
      <c r="G347" s="20" t="s">
        <v>2249</v>
      </c>
      <c r="H347" s="20" t="s">
        <v>2250</v>
      </c>
      <c r="I347" s="33">
        <v>29182</v>
      </c>
      <c r="J347" s="33">
        <v>45785</v>
      </c>
      <c r="K347" s="28">
        <f ca="1">SUMIF(Data!$C$6:$V$29146,A347,Data!$V$6:$V$29146)</f>
        <v>0</v>
      </c>
      <c r="L347" s="28">
        <f t="shared" ca="1" si="5"/>
        <v>0</v>
      </c>
      <c r="M347" s="11" t="s">
        <v>408</v>
      </c>
    </row>
    <row r="348" spans="1:13" x14ac:dyDescent="0.2">
      <c r="A348" s="19" t="s">
        <v>1628</v>
      </c>
      <c r="B348" s="20" t="s">
        <v>1680</v>
      </c>
      <c r="C348" s="20" t="s">
        <v>39</v>
      </c>
      <c r="D348" s="20" t="s">
        <v>35</v>
      </c>
      <c r="E348" s="20" t="s">
        <v>1732</v>
      </c>
      <c r="F348" s="20" t="s">
        <v>1786</v>
      </c>
      <c r="G348" s="20" t="s">
        <v>591</v>
      </c>
      <c r="H348" s="20" t="s">
        <v>1834</v>
      </c>
      <c r="I348" s="33">
        <v>30016</v>
      </c>
      <c r="J348" s="33">
        <v>45688</v>
      </c>
      <c r="K348" s="28">
        <f ca="1">SUMIF(Data!$C$6:$V$29146,A348,Data!$V$6:$V$29146)</f>
        <v>0</v>
      </c>
      <c r="L348" s="28">
        <f t="shared" ca="1" si="5"/>
        <v>0</v>
      </c>
      <c r="M348" s="11" t="s">
        <v>408</v>
      </c>
    </row>
    <row r="349" spans="1:13" x14ac:dyDescent="0.2">
      <c r="A349" s="19">
        <v>100077526</v>
      </c>
      <c r="B349" s="20" t="s">
        <v>1013</v>
      </c>
      <c r="C349" s="20" t="s">
        <v>39</v>
      </c>
      <c r="D349" s="20" t="s">
        <v>47</v>
      </c>
      <c r="E349" s="20" t="s">
        <v>1014</v>
      </c>
      <c r="F349" s="20" t="s">
        <v>1052</v>
      </c>
      <c r="G349" s="20" t="s">
        <v>773</v>
      </c>
      <c r="H349" s="20" t="s">
        <v>1053</v>
      </c>
      <c r="I349" s="33">
        <v>33512</v>
      </c>
      <c r="J349" s="33">
        <v>45322</v>
      </c>
      <c r="K349" s="28">
        <f ca="1">SUMIF(Data!$C$6:$V$29146,A349,Data!$V$6:$V$29146)</f>
        <v>0</v>
      </c>
      <c r="L349" s="28">
        <f t="shared" ca="1" si="5"/>
        <v>0</v>
      </c>
      <c r="M349" s="11" t="s">
        <v>408</v>
      </c>
    </row>
    <row r="350" spans="1:13" x14ac:dyDescent="0.2">
      <c r="A350" s="20">
        <v>100039079</v>
      </c>
      <c r="B350" s="20" t="s">
        <v>174</v>
      </c>
      <c r="C350" s="20" t="s">
        <v>39</v>
      </c>
      <c r="D350" s="20" t="s">
        <v>32</v>
      </c>
      <c r="E350" s="20" t="s">
        <v>175</v>
      </c>
      <c r="F350" s="20" t="s">
        <v>772</v>
      </c>
      <c r="G350" s="20" t="s">
        <v>773</v>
      </c>
      <c r="H350" s="20" t="s">
        <v>774</v>
      </c>
      <c r="I350" s="33">
        <v>35183</v>
      </c>
      <c r="J350" s="33">
        <v>43600</v>
      </c>
      <c r="K350" s="28">
        <f ca="1">SUMIF(Data!$C$6:$V$29146,A350,Data!$V$6:$V$29146)</f>
        <v>6.65</v>
      </c>
      <c r="L350" s="28">
        <f t="shared" ca="1" si="5"/>
        <v>1.6625000000000001</v>
      </c>
      <c r="M350" s="11" t="s">
        <v>408</v>
      </c>
    </row>
    <row r="351" spans="1:13" x14ac:dyDescent="0.2">
      <c r="A351" s="19">
        <v>100084261</v>
      </c>
      <c r="B351" s="20" t="s">
        <v>1303</v>
      </c>
      <c r="C351" s="20" t="s">
        <v>39</v>
      </c>
      <c r="D351" s="20" t="s">
        <v>47</v>
      </c>
      <c r="E351" s="20" t="s">
        <v>1304</v>
      </c>
      <c r="F351" s="20" t="s">
        <v>1353</v>
      </c>
      <c r="G351" s="20" t="s">
        <v>562</v>
      </c>
      <c r="H351" s="20" t="s">
        <v>1354</v>
      </c>
      <c r="I351" s="33">
        <v>38253</v>
      </c>
      <c r="J351" s="33">
        <v>45456</v>
      </c>
      <c r="K351" s="28">
        <f ca="1">SUMIF(Data!$C$6:$V$29146,A351,Data!$V$6:$V$29146)</f>
        <v>0</v>
      </c>
      <c r="L351" s="28">
        <f t="shared" ca="1" si="5"/>
        <v>0</v>
      </c>
      <c r="M351" s="11" t="s">
        <v>408</v>
      </c>
    </row>
    <row r="352" spans="1:13" x14ac:dyDescent="0.2">
      <c r="A352" s="19">
        <v>100082232</v>
      </c>
      <c r="B352" s="20" t="s">
        <v>1209</v>
      </c>
      <c r="C352" s="20" t="s">
        <v>39</v>
      </c>
      <c r="D352" s="20" t="s">
        <v>47</v>
      </c>
      <c r="E352" s="20" t="s">
        <v>1210</v>
      </c>
      <c r="F352" s="20" t="s">
        <v>1246</v>
      </c>
      <c r="G352" s="20" t="s">
        <v>562</v>
      </c>
      <c r="H352" s="20" t="s">
        <v>1247</v>
      </c>
      <c r="I352" s="33">
        <v>36895</v>
      </c>
      <c r="J352" s="33">
        <v>45414</v>
      </c>
      <c r="K352" s="28">
        <f ca="1">SUMIF(Data!$C$6:$V$29146,A352,Data!$V$6:$V$29146)</f>
        <v>0</v>
      </c>
      <c r="L352" s="28">
        <f t="shared" ca="1" si="5"/>
        <v>0</v>
      </c>
      <c r="M352" s="11" t="s">
        <v>408</v>
      </c>
    </row>
    <row r="353" spans="1:13" x14ac:dyDescent="0.2">
      <c r="A353" s="19" t="s">
        <v>2251</v>
      </c>
      <c r="B353" s="20" t="s">
        <v>2252</v>
      </c>
      <c r="C353" s="20" t="s">
        <v>39</v>
      </c>
      <c r="D353" s="20" t="s">
        <v>60</v>
      </c>
      <c r="E353" s="20" t="s">
        <v>2253</v>
      </c>
      <c r="F353" s="20" t="s">
        <v>2254</v>
      </c>
      <c r="G353" s="20" t="s">
        <v>2255</v>
      </c>
      <c r="H353" s="20" t="s">
        <v>2256</v>
      </c>
      <c r="I353" s="33">
        <v>32067</v>
      </c>
      <c r="J353" s="33">
        <v>45785</v>
      </c>
      <c r="K353" s="28">
        <f ca="1">SUMIF(Data!$C$6:$V$29146,A353,Data!$V$6:$V$29146)</f>
        <v>0</v>
      </c>
      <c r="L353" s="28">
        <f t="shared" ca="1" si="5"/>
        <v>0</v>
      </c>
      <c r="M353" s="11" t="s">
        <v>408</v>
      </c>
    </row>
    <row r="354" spans="1:13" x14ac:dyDescent="0.2">
      <c r="A354" s="20">
        <v>100087212</v>
      </c>
      <c r="B354" s="20" t="s">
        <v>1527</v>
      </c>
      <c r="C354" s="20" t="s">
        <v>39</v>
      </c>
      <c r="D354" s="20" t="s">
        <v>60</v>
      </c>
      <c r="E354" s="20" t="s">
        <v>1528</v>
      </c>
      <c r="F354" s="20" t="s">
        <v>1529</v>
      </c>
      <c r="G354" s="20" t="s">
        <v>1530</v>
      </c>
      <c r="H354" s="20" t="s">
        <v>1531</v>
      </c>
      <c r="I354" s="33">
        <v>29407</v>
      </c>
      <c r="J354" s="33">
        <v>45546</v>
      </c>
      <c r="K354" s="28">
        <f ca="1">SUMIF(Data!$C$6:$V$29146,A354,Data!$V$6:$V$29146)</f>
        <v>0</v>
      </c>
      <c r="L354" s="28">
        <f t="shared" ca="1" si="5"/>
        <v>0</v>
      </c>
      <c r="M354" s="11" t="s">
        <v>408</v>
      </c>
    </row>
    <row r="355" spans="1:13" x14ac:dyDescent="0.2">
      <c r="A355" s="20">
        <v>100059515</v>
      </c>
      <c r="B355" s="20" t="s">
        <v>308</v>
      </c>
      <c r="C355" s="20" t="s">
        <v>39</v>
      </c>
      <c r="D355" s="20" t="s">
        <v>27</v>
      </c>
      <c r="E355" s="20" t="s">
        <v>309</v>
      </c>
      <c r="F355" s="20" t="s">
        <v>779</v>
      </c>
      <c r="G355" s="20" t="s">
        <v>520</v>
      </c>
      <c r="H355" s="20" t="s">
        <v>780</v>
      </c>
      <c r="I355" s="33">
        <v>36775</v>
      </c>
      <c r="J355" s="33">
        <v>44735</v>
      </c>
      <c r="K355" s="28">
        <f ca="1">SUMIF(Data!$C$6:$V$29146,A355,Data!$V$6:$V$29146)</f>
        <v>0</v>
      </c>
      <c r="L355" s="28">
        <f t="shared" ca="1" si="5"/>
        <v>0</v>
      </c>
      <c r="M355" s="11" t="s">
        <v>408</v>
      </c>
    </row>
    <row r="356" spans="1:13" x14ac:dyDescent="0.2">
      <c r="A356" s="19">
        <v>100059520</v>
      </c>
      <c r="B356" s="20" t="s">
        <v>310</v>
      </c>
      <c r="C356" s="20" t="s">
        <v>39</v>
      </c>
      <c r="D356" s="20" t="s">
        <v>32</v>
      </c>
      <c r="E356" s="20" t="s">
        <v>311</v>
      </c>
      <c r="F356" s="20" t="s">
        <v>781</v>
      </c>
      <c r="G356" s="20" t="s">
        <v>550</v>
      </c>
      <c r="H356" s="20" t="s">
        <v>782</v>
      </c>
      <c r="I356" s="33">
        <v>33297</v>
      </c>
      <c r="J356" s="33">
        <v>44735</v>
      </c>
      <c r="K356" s="28">
        <f ca="1">SUMIF(Data!$C$6:$V$29146,A356,Data!$V$6:$V$29146)</f>
        <v>5.54</v>
      </c>
      <c r="L356" s="28">
        <f t="shared" ca="1" si="5"/>
        <v>1.385</v>
      </c>
      <c r="M356" s="11" t="s">
        <v>408</v>
      </c>
    </row>
    <row r="357" spans="1:13" x14ac:dyDescent="0.2">
      <c r="A357" s="19">
        <v>100073314</v>
      </c>
      <c r="B357" s="20" t="s">
        <v>882</v>
      </c>
      <c r="C357" s="20" t="s">
        <v>39</v>
      </c>
      <c r="D357" s="20" t="s">
        <v>35</v>
      </c>
      <c r="E357" s="20" t="s">
        <v>883</v>
      </c>
      <c r="F357" s="20" t="s">
        <v>884</v>
      </c>
      <c r="G357" s="20" t="s">
        <v>885</v>
      </c>
      <c r="H357" s="20" t="s">
        <v>886</v>
      </c>
      <c r="I357" s="33">
        <v>21959</v>
      </c>
      <c r="J357" s="33">
        <v>45154</v>
      </c>
      <c r="K357" s="28">
        <f ca="1">SUMIF(Data!$C$6:$V$29146,A357,Data!$V$6:$V$29146)</f>
        <v>0</v>
      </c>
      <c r="L357" s="28">
        <f t="shared" ca="1" si="5"/>
        <v>0</v>
      </c>
      <c r="M357" s="11" t="s">
        <v>408</v>
      </c>
    </row>
    <row r="358" spans="1:13" x14ac:dyDescent="0.2">
      <c r="A358" s="21">
        <v>100019229</v>
      </c>
      <c r="B358" s="20" t="s">
        <v>1067</v>
      </c>
      <c r="C358" s="20" t="s">
        <v>39</v>
      </c>
      <c r="D358" s="20" t="s">
        <v>51</v>
      </c>
      <c r="E358" s="20" t="s">
        <v>52</v>
      </c>
      <c r="F358" s="20" t="s">
        <v>783</v>
      </c>
      <c r="G358" s="20" t="s">
        <v>784</v>
      </c>
      <c r="H358" s="20" t="s">
        <v>785</v>
      </c>
      <c r="I358" s="33">
        <v>20117</v>
      </c>
      <c r="J358" s="33">
        <v>42572</v>
      </c>
      <c r="K358" s="28">
        <f ca="1">SUMIF(Data!$C$6:$V$29146,A358,Data!$V$6:$V$29146)</f>
        <v>0</v>
      </c>
      <c r="L358" s="28">
        <f t="shared" ca="1" si="5"/>
        <v>0</v>
      </c>
      <c r="M358" s="11" t="s">
        <v>408</v>
      </c>
    </row>
    <row r="359" spans="1:13" x14ac:dyDescent="0.2">
      <c r="A359" s="20">
        <v>100029712</v>
      </c>
      <c r="B359" s="20" t="s">
        <v>83</v>
      </c>
      <c r="C359" s="20" t="s">
        <v>39</v>
      </c>
      <c r="D359" s="20" t="s">
        <v>35</v>
      </c>
      <c r="E359" s="20" t="s">
        <v>84</v>
      </c>
      <c r="F359" s="20" t="s">
        <v>786</v>
      </c>
      <c r="G359" s="20" t="s">
        <v>787</v>
      </c>
      <c r="H359" s="20" t="s">
        <v>788</v>
      </c>
      <c r="I359" s="33">
        <v>22890</v>
      </c>
      <c r="J359" s="33">
        <v>43182</v>
      </c>
      <c r="K359" s="28">
        <f ca="1">SUMIF(Data!$C$6:$V$29146,A359,Data!$V$6:$V$29146)</f>
        <v>0</v>
      </c>
      <c r="L359" s="28">
        <f t="shared" ca="1" si="5"/>
        <v>0</v>
      </c>
      <c r="M359" s="11" t="s">
        <v>408</v>
      </c>
    </row>
    <row r="360" spans="1:13" x14ac:dyDescent="0.2">
      <c r="A360" s="19" t="s">
        <v>1629</v>
      </c>
      <c r="B360" s="20" t="s">
        <v>1681</v>
      </c>
      <c r="C360" s="20" t="s">
        <v>39</v>
      </c>
      <c r="D360" s="20" t="s">
        <v>26</v>
      </c>
      <c r="E360" s="20" t="s">
        <v>1733</v>
      </c>
      <c r="F360" s="20" t="s">
        <v>1787</v>
      </c>
      <c r="G360" s="20" t="s">
        <v>679</v>
      </c>
      <c r="H360" s="20" t="s">
        <v>1835</v>
      </c>
      <c r="I360" s="33">
        <v>34381</v>
      </c>
      <c r="J360" s="33">
        <v>45688</v>
      </c>
      <c r="K360" s="28">
        <f ca="1">SUMIF(Data!$C$6:$V$29146,A360,Data!$V$6:$V$29146)</f>
        <v>0</v>
      </c>
      <c r="L360" s="28">
        <f t="shared" ca="1" si="5"/>
        <v>0</v>
      </c>
      <c r="M360" s="11" t="s">
        <v>408</v>
      </c>
    </row>
    <row r="361" spans="1:13" x14ac:dyDescent="0.2">
      <c r="A361" s="19">
        <v>100034140</v>
      </c>
      <c r="B361" s="20" t="s">
        <v>122</v>
      </c>
      <c r="C361" s="20" t="s">
        <v>39</v>
      </c>
      <c r="D361" s="20" t="s">
        <v>32</v>
      </c>
      <c r="E361" s="20" t="s">
        <v>123</v>
      </c>
      <c r="F361" s="20" t="s">
        <v>789</v>
      </c>
      <c r="G361" s="20" t="s">
        <v>442</v>
      </c>
      <c r="H361" s="20" t="s">
        <v>790</v>
      </c>
      <c r="I361" s="33">
        <v>22649</v>
      </c>
      <c r="J361" s="33">
        <v>43301</v>
      </c>
      <c r="K361" s="28">
        <f ca="1">SUMIF(Data!$C$6:$V$29146,A361,Data!$V$6:$V$29146)</f>
        <v>0</v>
      </c>
      <c r="L361" s="28">
        <f t="shared" ca="1" si="5"/>
        <v>0</v>
      </c>
      <c r="M361" s="11" t="s">
        <v>408</v>
      </c>
    </row>
    <row r="362" spans="1:13" x14ac:dyDescent="0.2">
      <c r="A362" s="20">
        <v>100087232</v>
      </c>
      <c r="B362" s="20" t="s">
        <v>1447</v>
      </c>
      <c r="C362" s="20" t="s">
        <v>39</v>
      </c>
      <c r="D362" s="20" t="s">
        <v>1448</v>
      </c>
      <c r="E362" s="20" t="s">
        <v>1449</v>
      </c>
      <c r="F362" s="20" t="s">
        <v>1450</v>
      </c>
      <c r="G362" s="20" t="s">
        <v>468</v>
      </c>
      <c r="H362" s="20" t="s">
        <v>1451</v>
      </c>
      <c r="I362" s="33">
        <v>35854</v>
      </c>
      <c r="J362" s="33">
        <v>45546</v>
      </c>
      <c r="K362" s="28">
        <f ca="1">SUMIF(Data!$C$6:$V$29146,A362,Data!$V$6:$V$29146)</f>
        <v>0</v>
      </c>
      <c r="L362" s="28">
        <f t="shared" ca="1" si="5"/>
        <v>0</v>
      </c>
      <c r="M362" s="11" t="s">
        <v>408</v>
      </c>
    </row>
    <row r="363" spans="1:13" x14ac:dyDescent="0.2">
      <c r="A363" s="20">
        <v>100060738</v>
      </c>
      <c r="B363" s="20" t="s">
        <v>331</v>
      </c>
      <c r="C363" s="20" t="s">
        <v>39</v>
      </c>
      <c r="D363" s="20" t="s">
        <v>26</v>
      </c>
      <c r="E363" s="20" t="s">
        <v>332</v>
      </c>
      <c r="F363" s="20" t="s">
        <v>791</v>
      </c>
      <c r="G363" s="20" t="s">
        <v>792</v>
      </c>
      <c r="H363" s="20" t="s">
        <v>793</v>
      </c>
      <c r="I363" s="33">
        <v>37624</v>
      </c>
      <c r="J363" s="33">
        <v>44769</v>
      </c>
      <c r="K363" s="28">
        <f ca="1">SUMIF(Data!$C$6:$V$29146,A363,Data!$V$6:$V$29146)</f>
        <v>0</v>
      </c>
      <c r="L363" s="28">
        <f t="shared" ca="1" si="5"/>
        <v>0</v>
      </c>
      <c r="M363" s="11" t="s">
        <v>408</v>
      </c>
    </row>
    <row r="364" spans="1:13" x14ac:dyDescent="0.2">
      <c r="A364" s="19" t="s">
        <v>2257</v>
      </c>
      <c r="B364" s="20" t="s">
        <v>2258</v>
      </c>
      <c r="C364" s="20" t="s">
        <v>39</v>
      </c>
      <c r="D364" s="20" t="s">
        <v>135</v>
      </c>
      <c r="E364" s="20" t="s">
        <v>2259</v>
      </c>
      <c r="F364" s="20" t="s">
        <v>2260</v>
      </c>
      <c r="G364" s="20" t="s">
        <v>589</v>
      </c>
      <c r="H364" s="20" t="s">
        <v>2261</v>
      </c>
      <c r="I364" s="33">
        <v>34760</v>
      </c>
      <c r="J364" s="33">
        <v>45785</v>
      </c>
      <c r="K364" s="28">
        <f ca="1">SUMIF(Data!$C$6:$V$29146,A364,Data!$V$6:$V$29146)</f>
        <v>0</v>
      </c>
      <c r="L364" s="28">
        <f t="shared" ca="1" si="5"/>
        <v>0</v>
      </c>
      <c r="M364" s="11" t="s">
        <v>408</v>
      </c>
    </row>
    <row r="365" spans="1:13" x14ac:dyDescent="0.2">
      <c r="A365" s="20">
        <v>100087260</v>
      </c>
      <c r="B365" s="20" t="s">
        <v>1437</v>
      </c>
      <c r="C365" s="20" t="s">
        <v>39</v>
      </c>
      <c r="D365" s="20" t="s">
        <v>26</v>
      </c>
      <c r="E365" s="20" t="s">
        <v>1438</v>
      </c>
      <c r="F365" s="20" t="s">
        <v>1439</v>
      </c>
      <c r="G365" s="20" t="s">
        <v>485</v>
      </c>
      <c r="H365" s="20" t="s">
        <v>1440</v>
      </c>
      <c r="I365" s="33">
        <v>33304</v>
      </c>
      <c r="J365" s="33">
        <v>45546</v>
      </c>
      <c r="K365" s="28">
        <f ca="1">SUMIF(Data!$C$6:$V$29146,A365,Data!$V$6:$V$29146)</f>
        <v>0</v>
      </c>
      <c r="L365" s="28">
        <f t="shared" ca="1" si="5"/>
        <v>0</v>
      </c>
      <c r="M365" s="11" t="s">
        <v>408</v>
      </c>
    </row>
    <row r="366" spans="1:13" x14ac:dyDescent="0.2">
      <c r="A366" s="19">
        <v>100077564</v>
      </c>
      <c r="B366" s="20" t="s">
        <v>1021</v>
      </c>
      <c r="C366" s="20" t="s">
        <v>39</v>
      </c>
      <c r="D366" s="20" t="s">
        <v>47</v>
      </c>
      <c r="E366" s="20" t="s">
        <v>1022</v>
      </c>
      <c r="F366" s="20" t="s">
        <v>1054</v>
      </c>
      <c r="G366" s="20" t="s">
        <v>588</v>
      </c>
      <c r="H366" s="20" t="s">
        <v>1055</v>
      </c>
      <c r="I366" s="33">
        <v>37277</v>
      </c>
      <c r="J366" s="33">
        <v>45322</v>
      </c>
      <c r="K366" s="28">
        <f ca="1">SUMIF(Data!$C$6:$V$29146,A366,Data!$V$6:$V$29146)</f>
        <v>0</v>
      </c>
      <c r="L366" s="28">
        <f t="shared" ca="1" si="5"/>
        <v>0</v>
      </c>
      <c r="M366" s="11" t="s">
        <v>408</v>
      </c>
    </row>
    <row r="367" spans="1:13" x14ac:dyDescent="0.2">
      <c r="A367" s="19" t="s">
        <v>2312</v>
      </c>
      <c r="B367" s="20" t="s">
        <v>2321</v>
      </c>
      <c r="C367" s="20" t="s">
        <v>39</v>
      </c>
      <c r="D367" s="20" t="s">
        <v>47</v>
      </c>
      <c r="E367" s="20" t="s">
        <v>2330</v>
      </c>
      <c r="F367" s="20" t="s">
        <v>2340</v>
      </c>
      <c r="G367" s="20" t="s">
        <v>2341</v>
      </c>
      <c r="H367" s="20" t="s">
        <v>2349</v>
      </c>
      <c r="I367" s="33">
        <v>36782</v>
      </c>
      <c r="J367" s="33">
        <v>45805</v>
      </c>
      <c r="K367" s="28">
        <f ca="1">SUMIF(Data!$C$6:$V$29146,A367,Data!$V$6:$V$29146)</f>
        <v>0</v>
      </c>
      <c r="L367" s="28">
        <f t="shared" ca="1" si="5"/>
        <v>0</v>
      </c>
      <c r="M367" s="11" t="s">
        <v>408</v>
      </c>
    </row>
    <row r="368" spans="1:13" x14ac:dyDescent="0.2">
      <c r="A368" s="19">
        <v>100084237</v>
      </c>
      <c r="B368" s="20" t="s">
        <v>1305</v>
      </c>
      <c r="C368" s="20" t="s">
        <v>39</v>
      </c>
      <c r="D368" s="20" t="s">
        <v>47</v>
      </c>
      <c r="E368" s="20" t="s">
        <v>1306</v>
      </c>
      <c r="F368" s="20" t="s">
        <v>1356</v>
      </c>
      <c r="G368" s="20" t="s">
        <v>413</v>
      </c>
      <c r="H368" s="20" t="s">
        <v>1357</v>
      </c>
      <c r="I368" s="33">
        <v>38278</v>
      </c>
      <c r="J368" s="33">
        <v>45456</v>
      </c>
      <c r="K368" s="28">
        <f ca="1">SUMIF(Data!$C$6:$V$29146,A368,Data!$V$6:$V$29146)</f>
        <v>0</v>
      </c>
      <c r="L368" s="28">
        <f t="shared" ca="1" si="5"/>
        <v>0</v>
      </c>
      <c r="M368" s="11" t="s">
        <v>408</v>
      </c>
    </row>
    <row r="369" spans="1:13" x14ac:dyDescent="0.2">
      <c r="A369" s="19" t="s">
        <v>2262</v>
      </c>
      <c r="B369" s="20" t="s">
        <v>2263</v>
      </c>
      <c r="C369" s="20" t="s">
        <v>39</v>
      </c>
      <c r="D369" s="20" t="s">
        <v>26</v>
      </c>
      <c r="E369" s="20" t="s">
        <v>2264</v>
      </c>
      <c r="F369" s="20" t="s">
        <v>2265</v>
      </c>
      <c r="G369" s="20" t="s">
        <v>413</v>
      </c>
      <c r="H369" s="20" t="s">
        <v>2266</v>
      </c>
      <c r="I369" s="33">
        <v>26844</v>
      </c>
      <c r="J369" s="33">
        <v>45785</v>
      </c>
      <c r="K369" s="28">
        <f ca="1">SUMIF(Data!$C$6:$V$29146,A369,Data!$V$6:$V$29146)</f>
        <v>0</v>
      </c>
      <c r="L369" s="28">
        <f t="shared" ca="1" si="5"/>
        <v>0</v>
      </c>
      <c r="M369" s="11" t="s">
        <v>408</v>
      </c>
    </row>
    <row r="370" spans="1:13" x14ac:dyDescent="0.2">
      <c r="A370" s="19" t="s">
        <v>1630</v>
      </c>
      <c r="B370" s="20" t="s">
        <v>1682</v>
      </c>
      <c r="C370" s="20" t="s">
        <v>39</v>
      </c>
      <c r="D370" s="20" t="s">
        <v>26</v>
      </c>
      <c r="E370" s="20" t="s">
        <v>1734</v>
      </c>
      <c r="F370" s="20" t="s">
        <v>1788</v>
      </c>
      <c r="G370" s="20" t="s">
        <v>434</v>
      </c>
      <c r="H370" s="20" t="s">
        <v>1836</v>
      </c>
      <c r="I370" s="33">
        <v>33649</v>
      </c>
      <c r="J370" s="33">
        <v>45688</v>
      </c>
      <c r="K370" s="28">
        <f ca="1">SUMIF(Data!$C$6:$V$29146,A370,Data!$V$6:$V$29146)</f>
        <v>0</v>
      </c>
      <c r="L370" s="28">
        <f t="shared" ca="1" si="5"/>
        <v>0</v>
      </c>
      <c r="M370" s="11" t="s">
        <v>408</v>
      </c>
    </row>
    <row r="371" spans="1:13" x14ac:dyDescent="0.2">
      <c r="A371" s="20">
        <v>100054918</v>
      </c>
      <c r="B371" s="20" t="s">
        <v>1090</v>
      </c>
      <c r="C371" s="20" t="s">
        <v>39</v>
      </c>
      <c r="D371" s="20" t="s">
        <v>35</v>
      </c>
      <c r="E371" s="20" t="s">
        <v>294</v>
      </c>
      <c r="F371" s="20" t="s">
        <v>794</v>
      </c>
      <c r="G371" s="20" t="s">
        <v>550</v>
      </c>
      <c r="H371" s="20" t="s">
        <v>795</v>
      </c>
      <c r="I371" s="33">
        <v>27774</v>
      </c>
      <c r="J371" s="33">
        <v>44636</v>
      </c>
      <c r="K371" s="28">
        <f ca="1">SUMIF(Data!$C$6:$V$29146,A371,Data!$V$6:$V$29146)</f>
        <v>0</v>
      </c>
      <c r="L371" s="28">
        <f t="shared" ca="1" si="5"/>
        <v>0</v>
      </c>
      <c r="M371" s="11" t="s">
        <v>408</v>
      </c>
    </row>
    <row r="372" spans="1:13" x14ac:dyDescent="0.2">
      <c r="A372" s="19" t="s">
        <v>2267</v>
      </c>
      <c r="B372" s="20" t="s">
        <v>2268</v>
      </c>
      <c r="C372" s="20" t="s">
        <v>39</v>
      </c>
      <c r="D372" s="20" t="s">
        <v>30</v>
      </c>
      <c r="E372" s="20" t="s">
        <v>2269</v>
      </c>
      <c r="F372" s="20" t="s">
        <v>2270</v>
      </c>
      <c r="G372" s="20" t="s">
        <v>490</v>
      </c>
      <c r="H372" s="20" t="s">
        <v>2271</v>
      </c>
      <c r="I372" s="33">
        <v>33473</v>
      </c>
      <c r="J372" s="33">
        <v>45785</v>
      </c>
      <c r="K372" s="28">
        <f ca="1">SUMIF(Data!$C$6:$V$29146,A372,Data!$V$6:$V$29146)</f>
        <v>0</v>
      </c>
      <c r="L372" s="28">
        <f t="shared" ca="1" si="5"/>
        <v>0</v>
      </c>
      <c r="M372" s="11" t="s">
        <v>408</v>
      </c>
    </row>
    <row r="373" spans="1:13" x14ac:dyDescent="0.2">
      <c r="A373" s="20">
        <v>100087205</v>
      </c>
      <c r="B373" s="20" t="s">
        <v>1532</v>
      </c>
      <c r="C373" s="20" t="s">
        <v>39</v>
      </c>
      <c r="D373" s="20" t="s">
        <v>60</v>
      </c>
      <c r="E373" s="20" t="s">
        <v>1533</v>
      </c>
      <c r="F373" s="20" t="s">
        <v>1534</v>
      </c>
      <c r="G373" s="20" t="s">
        <v>777</v>
      </c>
      <c r="H373" s="20" t="s">
        <v>1535</v>
      </c>
      <c r="I373" s="33">
        <v>26794</v>
      </c>
      <c r="J373" s="33">
        <v>45546</v>
      </c>
      <c r="K373" s="28">
        <f ca="1">SUMIF(Data!$C$6:$V$29146,A373,Data!$V$6:$V$29146)</f>
        <v>0</v>
      </c>
      <c r="L373" s="28">
        <f t="shared" ca="1" si="5"/>
        <v>0</v>
      </c>
      <c r="M373" s="11" t="s">
        <v>408</v>
      </c>
    </row>
    <row r="374" spans="1:13" x14ac:dyDescent="0.2">
      <c r="A374" s="19">
        <v>100030153</v>
      </c>
      <c r="B374" s="20" t="s">
        <v>89</v>
      </c>
      <c r="C374" s="20" t="s">
        <v>39</v>
      </c>
      <c r="D374" s="20" t="s">
        <v>34</v>
      </c>
      <c r="E374" s="20" t="s">
        <v>90</v>
      </c>
      <c r="F374" s="20" t="s">
        <v>796</v>
      </c>
      <c r="G374" s="20" t="s">
        <v>544</v>
      </c>
      <c r="H374" s="20" t="s">
        <v>797</v>
      </c>
      <c r="I374" s="33">
        <v>31994</v>
      </c>
      <c r="J374" s="33">
        <v>43188</v>
      </c>
      <c r="K374" s="28">
        <f ca="1">SUMIF(Data!$C$6:$V$29146,A374,Data!$V$6:$V$29146)</f>
        <v>85.82</v>
      </c>
      <c r="L374" s="28">
        <f t="shared" ca="1" si="5"/>
        <v>21.454999999999998</v>
      </c>
      <c r="M374" s="11" t="s">
        <v>408</v>
      </c>
    </row>
    <row r="375" spans="1:13" x14ac:dyDescent="0.2">
      <c r="A375" s="19" t="s">
        <v>2272</v>
      </c>
      <c r="B375" s="20" t="s">
        <v>2273</v>
      </c>
      <c r="C375" s="20" t="s">
        <v>39</v>
      </c>
      <c r="D375" s="20" t="s">
        <v>23</v>
      </c>
      <c r="E375" s="20" t="s">
        <v>2274</v>
      </c>
      <c r="F375" s="20" t="s">
        <v>2275</v>
      </c>
      <c r="G375" s="20" t="s">
        <v>450</v>
      </c>
      <c r="H375" s="20" t="s">
        <v>2276</v>
      </c>
      <c r="I375" s="33">
        <v>37757</v>
      </c>
      <c r="J375" s="33">
        <v>45785</v>
      </c>
      <c r="K375" s="28">
        <f ca="1">SUMIF(Data!$C$6:$V$29146,A375,Data!$V$6:$V$29146)</f>
        <v>0</v>
      </c>
      <c r="L375" s="28">
        <f t="shared" ca="1" si="5"/>
        <v>0</v>
      </c>
      <c r="M375" s="11" t="s">
        <v>408</v>
      </c>
    </row>
    <row r="376" spans="1:13" x14ac:dyDescent="0.2">
      <c r="A376" s="20">
        <v>100087285</v>
      </c>
      <c r="B376" s="20" t="s">
        <v>1372</v>
      </c>
      <c r="C376" s="20" t="s">
        <v>39</v>
      </c>
      <c r="D376" s="20" t="s">
        <v>29</v>
      </c>
      <c r="E376" s="20" t="s">
        <v>1373</v>
      </c>
      <c r="F376" s="20" t="s">
        <v>1374</v>
      </c>
      <c r="G376" s="20" t="s">
        <v>1375</v>
      </c>
      <c r="H376" s="20" t="s">
        <v>1376</v>
      </c>
      <c r="I376" s="33">
        <v>34297</v>
      </c>
      <c r="J376" s="33">
        <v>45546</v>
      </c>
      <c r="K376" s="28">
        <f ca="1">SUMIF(Data!$C$6:$V$29146,A376,Data!$V$6:$V$29146)</f>
        <v>0</v>
      </c>
      <c r="L376" s="28">
        <f t="shared" ca="1" si="5"/>
        <v>0</v>
      </c>
      <c r="M376" s="11" t="s">
        <v>408</v>
      </c>
    </row>
    <row r="377" spans="1:13" x14ac:dyDescent="0.2">
      <c r="A377" s="19">
        <v>100029840</v>
      </c>
      <c r="B377" s="20" t="s">
        <v>85</v>
      </c>
      <c r="C377" s="20" t="s">
        <v>39</v>
      </c>
      <c r="D377" s="20" t="s">
        <v>24</v>
      </c>
      <c r="E377" s="20" t="s">
        <v>86</v>
      </c>
      <c r="F377" s="20" t="s">
        <v>798</v>
      </c>
      <c r="G377" s="20" t="s">
        <v>799</v>
      </c>
      <c r="H377" s="20" t="s">
        <v>800</v>
      </c>
      <c r="I377" s="33">
        <v>25851</v>
      </c>
      <c r="J377" s="33">
        <v>43182</v>
      </c>
      <c r="K377" s="28">
        <f ca="1">SUMIF(Data!$C$6:$V$29146,A377,Data!$V$6:$V$29146)</f>
        <v>0</v>
      </c>
      <c r="L377" s="28">
        <f t="shared" ca="1" si="5"/>
        <v>0</v>
      </c>
      <c r="M377" s="11" t="s">
        <v>408</v>
      </c>
    </row>
    <row r="378" spans="1:13" x14ac:dyDescent="0.2">
      <c r="A378" s="19">
        <v>100052660</v>
      </c>
      <c r="B378" s="20" t="s">
        <v>244</v>
      </c>
      <c r="C378" s="20" t="s">
        <v>39</v>
      </c>
      <c r="D378" s="20" t="s">
        <v>32</v>
      </c>
      <c r="E378" s="20" t="s">
        <v>245</v>
      </c>
      <c r="F378" s="20" t="s">
        <v>801</v>
      </c>
      <c r="G378" s="20" t="s">
        <v>802</v>
      </c>
      <c r="H378" s="20" t="s">
        <v>803</v>
      </c>
      <c r="I378" s="33">
        <v>36563</v>
      </c>
      <c r="J378" s="33">
        <v>44479</v>
      </c>
      <c r="K378" s="28">
        <f ca="1">SUMIF(Data!$C$6:$V$29146,A378,Data!$V$6:$V$29146)</f>
        <v>6.37</v>
      </c>
      <c r="L378" s="28">
        <f t="shared" ca="1" si="5"/>
        <v>1.5925</v>
      </c>
      <c r="M378" s="11" t="s">
        <v>408</v>
      </c>
    </row>
    <row r="379" spans="1:13" x14ac:dyDescent="0.2">
      <c r="A379" s="19" t="s">
        <v>2277</v>
      </c>
      <c r="B379" s="20" t="s">
        <v>2278</v>
      </c>
      <c r="C379" s="20" t="s">
        <v>39</v>
      </c>
      <c r="D379" s="20" t="s">
        <v>47</v>
      </c>
      <c r="E379" s="20" t="s">
        <v>2279</v>
      </c>
      <c r="F379" s="20" t="s">
        <v>2280</v>
      </c>
      <c r="G379" s="20" t="s">
        <v>448</v>
      </c>
      <c r="H379" s="20" t="s">
        <v>2281</v>
      </c>
      <c r="I379" s="33">
        <v>39189</v>
      </c>
      <c r="J379" s="33">
        <v>45785</v>
      </c>
      <c r="K379" s="28">
        <f ca="1">SUMIF(Data!$C$6:$V$29146,A379,Data!$V$6:$V$29146)</f>
        <v>0</v>
      </c>
      <c r="L379" s="28">
        <f t="shared" ca="1" si="5"/>
        <v>0</v>
      </c>
      <c r="M379" s="11" t="s">
        <v>408</v>
      </c>
    </row>
    <row r="380" spans="1:13" x14ac:dyDescent="0.2">
      <c r="A380" s="20">
        <v>100036545</v>
      </c>
      <c r="B380" s="20" t="s">
        <v>154</v>
      </c>
      <c r="C380" s="20" t="s">
        <v>39</v>
      </c>
      <c r="D380" s="20" t="s">
        <v>33</v>
      </c>
      <c r="E380" s="20" t="s">
        <v>155</v>
      </c>
      <c r="F380" s="20" t="s">
        <v>804</v>
      </c>
      <c r="G380" s="20" t="s">
        <v>482</v>
      </c>
      <c r="H380" s="20" t="s">
        <v>805</v>
      </c>
      <c r="I380" s="33">
        <v>31687</v>
      </c>
      <c r="J380" s="33">
        <v>43523</v>
      </c>
      <c r="K380" s="28">
        <f ca="1">SUMIF(Data!$C$6:$V$29146,A380,Data!$V$6:$V$29146)</f>
        <v>35.31</v>
      </c>
      <c r="L380" s="28">
        <f t="shared" ca="1" si="5"/>
        <v>8.8275000000000006</v>
      </c>
      <c r="M380" s="11" t="s">
        <v>408</v>
      </c>
    </row>
    <row r="381" spans="1:13" x14ac:dyDescent="0.2">
      <c r="A381" s="20">
        <v>100041350</v>
      </c>
      <c r="B381" s="20" t="s">
        <v>192</v>
      </c>
      <c r="C381" s="20" t="s">
        <v>39</v>
      </c>
      <c r="D381" s="20" t="s">
        <v>36</v>
      </c>
      <c r="E381" s="20" t="s">
        <v>193</v>
      </c>
      <c r="F381" s="20" t="s">
        <v>806</v>
      </c>
      <c r="G381" s="20" t="s">
        <v>520</v>
      </c>
      <c r="H381" s="20" t="s">
        <v>807</v>
      </c>
      <c r="I381" s="33">
        <v>36774</v>
      </c>
      <c r="J381" s="33">
        <v>43677</v>
      </c>
      <c r="K381" s="28">
        <f ca="1">SUMIF(Data!$C$6:$V$29146,A381,Data!$V$6:$V$29146)</f>
        <v>0</v>
      </c>
      <c r="L381" s="28">
        <f t="shared" ca="1" si="5"/>
        <v>0</v>
      </c>
      <c r="M381" s="11" t="s">
        <v>408</v>
      </c>
    </row>
    <row r="382" spans="1:13" x14ac:dyDescent="0.2">
      <c r="A382" s="19" t="s">
        <v>2282</v>
      </c>
      <c r="B382" s="20" t="s">
        <v>2283</v>
      </c>
      <c r="C382" s="20" t="s">
        <v>39</v>
      </c>
      <c r="D382" s="20" t="s">
        <v>33</v>
      </c>
      <c r="E382" s="20" t="s">
        <v>2284</v>
      </c>
      <c r="F382" s="20" t="s">
        <v>2285</v>
      </c>
      <c r="G382" s="20" t="s">
        <v>412</v>
      </c>
      <c r="H382" s="20" t="s">
        <v>2286</v>
      </c>
      <c r="I382" s="33">
        <v>33712</v>
      </c>
      <c r="J382" s="33">
        <v>45785</v>
      </c>
      <c r="K382" s="28">
        <f ca="1">SUMIF(Data!$C$6:$V$29146,A382,Data!$V$6:$V$29146)</f>
        <v>0</v>
      </c>
      <c r="L382" s="28">
        <f t="shared" ca="1" si="5"/>
        <v>0</v>
      </c>
      <c r="M382" s="11" t="s">
        <v>408</v>
      </c>
    </row>
    <row r="383" spans="1:13" x14ac:dyDescent="0.2">
      <c r="A383" s="19" t="s">
        <v>1631</v>
      </c>
      <c r="B383" s="20" t="s">
        <v>1683</v>
      </c>
      <c r="C383" s="20" t="s">
        <v>39</v>
      </c>
      <c r="D383" s="20" t="s">
        <v>29</v>
      </c>
      <c r="E383" s="20" t="s">
        <v>1735</v>
      </c>
      <c r="F383" s="20" t="s">
        <v>1789</v>
      </c>
      <c r="G383" s="20" t="s">
        <v>1790</v>
      </c>
      <c r="H383" s="20" t="s">
        <v>1837</v>
      </c>
      <c r="I383" s="33">
        <v>36678</v>
      </c>
      <c r="J383" s="33">
        <v>45688</v>
      </c>
      <c r="K383" s="28">
        <f ca="1">SUMIF(Data!$C$6:$V$29146,A383,Data!$V$6:$V$29146)</f>
        <v>0</v>
      </c>
      <c r="L383" s="28">
        <f t="shared" ca="1" si="5"/>
        <v>0</v>
      </c>
      <c r="M383" s="11" t="s">
        <v>408</v>
      </c>
    </row>
    <row r="384" spans="1:13" x14ac:dyDescent="0.2">
      <c r="A384" s="19" t="s">
        <v>1632</v>
      </c>
      <c r="B384" s="20" t="s">
        <v>1684</v>
      </c>
      <c r="C384" s="20" t="s">
        <v>39</v>
      </c>
      <c r="D384" s="20" t="s">
        <v>26</v>
      </c>
      <c r="E384" s="20" t="s">
        <v>1736</v>
      </c>
      <c r="F384" s="20" t="s">
        <v>1791</v>
      </c>
      <c r="G384" s="20" t="s">
        <v>1778</v>
      </c>
      <c r="H384" s="20" t="s">
        <v>1838</v>
      </c>
      <c r="I384" s="33">
        <v>36122</v>
      </c>
      <c r="J384" s="33">
        <v>45688</v>
      </c>
      <c r="K384" s="28">
        <f ca="1">SUMIF(Data!$C$6:$V$29146,A384,Data!$V$6:$V$29146)</f>
        <v>0</v>
      </c>
      <c r="L384" s="28">
        <f t="shared" ca="1" si="5"/>
        <v>0</v>
      </c>
      <c r="M384" s="11" t="s">
        <v>408</v>
      </c>
    </row>
    <row r="385" spans="1:13" x14ac:dyDescent="0.2">
      <c r="A385" s="20">
        <v>100044777</v>
      </c>
      <c r="B385" s="20" t="s">
        <v>1081</v>
      </c>
      <c r="C385" s="20" t="s">
        <v>39</v>
      </c>
      <c r="D385" s="20" t="s">
        <v>32</v>
      </c>
      <c r="E385" s="20" t="s">
        <v>197</v>
      </c>
      <c r="F385" s="20" t="s">
        <v>808</v>
      </c>
      <c r="G385" s="20" t="s">
        <v>652</v>
      </c>
      <c r="H385" s="20" t="s">
        <v>809</v>
      </c>
      <c r="I385" s="33">
        <v>33906</v>
      </c>
      <c r="J385" s="33">
        <v>43886</v>
      </c>
      <c r="K385" s="28">
        <f ca="1">SUMIF(Data!$C$6:$V$29146,A385,Data!$V$6:$V$29146)</f>
        <v>0</v>
      </c>
      <c r="L385" s="28">
        <f t="shared" ca="1" si="5"/>
        <v>0</v>
      </c>
      <c r="M385" s="11" t="s">
        <v>408</v>
      </c>
    </row>
    <row r="386" spans="1:13" x14ac:dyDescent="0.2">
      <c r="A386" s="19">
        <v>100035606</v>
      </c>
      <c r="B386" s="20" t="s">
        <v>128</v>
      </c>
      <c r="C386" s="20" t="s">
        <v>39</v>
      </c>
      <c r="D386" s="20" t="s">
        <v>28</v>
      </c>
      <c r="E386" s="20" t="s">
        <v>129</v>
      </c>
      <c r="F386" s="20" t="s">
        <v>810</v>
      </c>
      <c r="G386" s="20" t="s">
        <v>775</v>
      </c>
      <c r="H386" s="20" t="s">
        <v>811</v>
      </c>
      <c r="I386" s="33">
        <v>25549</v>
      </c>
      <c r="J386" s="33">
        <v>43391</v>
      </c>
      <c r="K386" s="28">
        <f ca="1">SUMIF(Data!$C$6:$V$29146,A386,Data!$V$6:$V$29146)</f>
        <v>87.850000000000009</v>
      </c>
      <c r="L386" s="28">
        <f t="shared" ca="1" si="5"/>
        <v>21.962500000000002</v>
      </c>
      <c r="M386" s="11" t="s">
        <v>408</v>
      </c>
    </row>
    <row r="387" spans="1:13" x14ac:dyDescent="0.2">
      <c r="A387" s="22">
        <v>100064792</v>
      </c>
      <c r="B387" s="20" t="s">
        <v>377</v>
      </c>
      <c r="C387" s="20" t="s">
        <v>39</v>
      </c>
      <c r="D387" s="20" t="s">
        <v>47</v>
      </c>
      <c r="E387" s="20" t="s">
        <v>378</v>
      </c>
      <c r="F387" s="20" t="s">
        <v>812</v>
      </c>
      <c r="G387" s="20" t="s">
        <v>425</v>
      </c>
      <c r="H387" s="20" t="s">
        <v>813</v>
      </c>
      <c r="I387" s="33">
        <v>38246</v>
      </c>
      <c r="J387" s="33">
        <v>44965</v>
      </c>
      <c r="K387" s="28">
        <f ca="1">SUMIF(Data!$C$6:$V$29146,A387,Data!$V$6:$V$29146)</f>
        <v>0</v>
      </c>
      <c r="L387" s="28">
        <f t="shared" ca="1" si="5"/>
        <v>0</v>
      </c>
      <c r="M387" s="11" t="s">
        <v>408</v>
      </c>
    </row>
    <row r="388" spans="1:13" x14ac:dyDescent="0.2">
      <c r="A388" s="21">
        <v>100052661</v>
      </c>
      <c r="B388" s="20" t="s">
        <v>1088</v>
      </c>
      <c r="C388" s="20" t="s">
        <v>39</v>
      </c>
      <c r="D388" s="20" t="s">
        <v>27</v>
      </c>
      <c r="E388" s="20" t="s">
        <v>246</v>
      </c>
      <c r="F388" s="20" t="s">
        <v>814</v>
      </c>
      <c r="G388" s="20" t="s">
        <v>662</v>
      </c>
      <c r="H388" s="20" t="s">
        <v>815</v>
      </c>
      <c r="I388" s="33">
        <v>33063</v>
      </c>
      <c r="J388" s="33">
        <v>44479</v>
      </c>
      <c r="K388" s="28">
        <f ca="1">SUMIF(Data!$C$6:$V$29146,A388,Data!$V$6:$V$29146)</f>
        <v>0</v>
      </c>
      <c r="L388" s="28">
        <f t="shared" ca="1" si="5"/>
        <v>0</v>
      </c>
      <c r="M388" s="11" t="s">
        <v>408</v>
      </c>
    </row>
    <row r="389" spans="1:13" x14ac:dyDescent="0.2">
      <c r="A389" s="19">
        <v>100082228</v>
      </c>
      <c r="B389" s="20" t="s">
        <v>1211</v>
      </c>
      <c r="C389" s="20" t="s">
        <v>39</v>
      </c>
      <c r="D389" s="20" t="s">
        <v>47</v>
      </c>
      <c r="E389" s="20" t="s">
        <v>1212</v>
      </c>
      <c r="F389" s="20" t="s">
        <v>1248</v>
      </c>
      <c r="G389" s="20" t="s">
        <v>1039</v>
      </c>
      <c r="H389" s="20" t="s">
        <v>1249</v>
      </c>
      <c r="I389" s="33">
        <v>38686</v>
      </c>
      <c r="J389" s="33">
        <v>45414</v>
      </c>
      <c r="K389" s="28">
        <f ca="1">SUMIF(Data!$C$6:$V$29146,A389,Data!$V$6:$V$29146)</f>
        <v>0</v>
      </c>
      <c r="L389" s="28">
        <f t="shared" ref="L389:L431" ca="1" si="6">IFERROR(K389*0.25,"")</f>
        <v>0</v>
      </c>
      <c r="M389" s="11" t="s">
        <v>408</v>
      </c>
    </row>
    <row r="390" spans="1:13" x14ac:dyDescent="0.2">
      <c r="A390" s="19">
        <v>100041219</v>
      </c>
      <c r="B390" s="20" t="s">
        <v>1080</v>
      </c>
      <c r="C390" s="20" t="s">
        <v>39</v>
      </c>
      <c r="D390" s="20" t="s">
        <v>26</v>
      </c>
      <c r="E390" s="20" t="s">
        <v>194</v>
      </c>
      <c r="F390" s="20" t="s">
        <v>816</v>
      </c>
      <c r="G390" s="20" t="s">
        <v>425</v>
      </c>
      <c r="H390" s="20" t="s">
        <v>817</v>
      </c>
      <c r="I390" s="33">
        <v>26066</v>
      </c>
      <c r="J390" s="33">
        <v>43677</v>
      </c>
      <c r="K390" s="28">
        <f ca="1">SUMIF(Data!$C$6:$V$29146,A390,Data!$V$6:$V$29146)</f>
        <v>6.55</v>
      </c>
      <c r="L390" s="28">
        <f t="shared" ca="1" si="6"/>
        <v>1.6375</v>
      </c>
      <c r="M390" s="11" t="s">
        <v>408</v>
      </c>
    </row>
    <row r="391" spans="1:13" x14ac:dyDescent="0.2">
      <c r="A391" s="19" t="s">
        <v>2287</v>
      </c>
      <c r="B391" s="20" t="s">
        <v>2288</v>
      </c>
      <c r="C391" s="20" t="s">
        <v>39</v>
      </c>
      <c r="D391" s="20" t="s">
        <v>47</v>
      </c>
      <c r="E391" s="20" t="s">
        <v>2289</v>
      </c>
      <c r="F391" s="20" t="s">
        <v>2290</v>
      </c>
      <c r="G391" s="20" t="s">
        <v>473</v>
      </c>
      <c r="H391" s="20" t="s">
        <v>2291</v>
      </c>
      <c r="I391" s="33">
        <v>35707</v>
      </c>
      <c r="J391" s="33">
        <v>45785</v>
      </c>
      <c r="K391" s="28">
        <f ca="1">SUMIF(Data!$C$6:$V$29146,A391,Data!$V$6:$V$29146)</f>
        <v>0</v>
      </c>
      <c r="L391" s="28">
        <f t="shared" ca="1" si="6"/>
        <v>0</v>
      </c>
      <c r="M391" s="11" t="s">
        <v>408</v>
      </c>
    </row>
    <row r="392" spans="1:13" x14ac:dyDescent="0.2">
      <c r="A392" s="25">
        <v>100067166</v>
      </c>
      <c r="B392" s="20" t="s">
        <v>1105</v>
      </c>
      <c r="C392" s="20" t="s">
        <v>39</v>
      </c>
      <c r="D392" s="20" t="s">
        <v>34</v>
      </c>
      <c r="E392" s="20" t="s">
        <v>401</v>
      </c>
      <c r="F392" s="20" t="s">
        <v>818</v>
      </c>
      <c r="G392" s="20" t="s">
        <v>562</v>
      </c>
      <c r="H392" s="20">
        <v>0</v>
      </c>
      <c r="I392" s="33">
        <v>35802</v>
      </c>
      <c r="J392" s="33">
        <v>45028</v>
      </c>
      <c r="K392" s="28">
        <f ca="1">SUMIF(Data!$C$6:$V$29146,A392,Data!$V$6:$V$29146)</f>
        <v>0</v>
      </c>
      <c r="L392" s="28">
        <f t="shared" ca="1" si="6"/>
        <v>0</v>
      </c>
      <c r="M392" s="11" t="s">
        <v>408</v>
      </c>
    </row>
    <row r="393" spans="1:13" x14ac:dyDescent="0.2">
      <c r="A393" s="22">
        <v>100064586</v>
      </c>
      <c r="B393" s="20" t="s">
        <v>359</v>
      </c>
      <c r="C393" s="20" t="s">
        <v>39</v>
      </c>
      <c r="D393" s="20" t="s">
        <v>26</v>
      </c>
      <c r="E393" s="20" t="s">
        <v>360</v>
      </c>
      <c r="F393" s="20" t="s">
        <v>819</v>
      </c>
      <c r="G393" s="20" t="s">
        <v>413</v>
      </c>
      <c r="H393" s="20" t="s">
        <v>820</v>
      </c>
      <c r="I393" s="33">
        <v>36098</v>
      </c>
      <c r="J393" s="33">
        <v>44958</v>
      </c>
      <c r="K393" s="28">
        <f ca="1">SUMIF(Data!$C$6:$V$29146,A393,Data!$V$6:$V$29146)</f>
        <v>0</v>
      </c>
      <c r="L393" s="28">
        <f t="shared" ca="1" si="6"/>
        <v>0</v>
      </c>
      <c r="M393" s="11" t="s">
        <v>408</v>
      </c>
    </row>
    <row r="394" spans="1:13" x14ac:dyDescent="0.2">
      <c r="A394" s="19" t="s">
        <v>1633</v>
      </c>
      <c r="B394" s="20" t="s">
        <v>1685</v>
      </c>
      <c r="C394" s="20" t="s">
        <v>39</v>
      </c>
      <c r="D394" s="20" t="s">
        <v>30</v>
      </c>
      <c r="E394" s="20" t="s">
        <v>1737</v>
      </c>
      <c r="F394" s="20" t="s">
        <v>1792</v>
      </c>
      <c r="G394" s="20" t="s">
        <v>1220</v>
      </c>
      <c r="H394" s="20" t="s">
        <v>1839</v>
      </c>
      <c r="I394" s="33">
        <v>28163</v>
      </c>
      <c r="J394" s="33">
        <v>45688</v>
      </c>
      <c r="K394" s="28">
        <f ca="1">SUMIF(Data!$C$6:$V$29146,A394,Data!$V$6:$V$29146)</f>
        <v>0</v>
      </c>
      <c r="L394" s="28">
        <f t="shared" ca="1" si="6"/>
        <v>0</v>
      </c>
      <c r="M394" s="11" t="s">
        <v>408</v>
      </c>
    </row>
    <row r="395" spans="1:13" x14ac:dyDescent="0.2">
      <c r="A395" s="19" t="s">
        <v>2292</v>
      </c>
      <c r="B395" s="20" t="s">
        <v>2293</v>
      </c>
      <c r="C395" s="20" t="s">
        <v>39</v>
      </c>
      <c r="D395" s="20" t="s">
        <v>30</v>
      </c>
      <c r="E395" s="20" t="s">
        <v>2294</v>
      </c>
      <c r="F395" s="20" t="s">
        <v>2295</v>
      </c>
      <c r="G395" s="20" t="s">
        <v>434</v>
      </c>
      <c r="H395" s="20" t="s">
        <v>2296</v>
      </c>
      <c r="I395" s="33">
        <v>34379</v>
      </c>
      <c r="J395" s="33">
        <v>45785</v>
      </c>
      <c r="K395" s="28">
        <f ca="1">SUMIF(Data!$C$6:$V$29146,A395,Data!$V$6:$V$29146)</f>
        <v>0</v>
      </c>
      <c r="L395" s="28">
        <f t="shared" ca="1" si="6"/>
        <v>0</v>
      </c>
      <c r="M395" s="11" t="s">
        <v>408</v>
      </c>
    </row>
    <row r="396" spans="1:13" x14ac:dyDescent="0.2">
      <c r="A396" s="25">
        <v>100067132</v>
      </c>
      <c r="B396" s="20" t="s">
        <v>402</v>
      </c>
      <c r="C396" s="20" t="s">
        <v>39</v>
      </c>
      <c r="D396" s="20" t="s">
        <v>35</v>
      </c>
      <c r="E396" s="20" t="s">
        <v>403</v>
      </c>
      <c r="F396" s="20" t="s">
        <v>821</v>
      </c>
      <c r="G396" s="20" t="s">
        <v>649</v>
      </c>
      <c r="H396" s="20" t="s">
        <v>822</v>
      </c>
      <c r="I396" s="33">
        <v>31944</v>
      </c>
      <c r="J396" s="33">
        <v>45028</v>
      </c>
      <c r="K396" s="28">
        <f ca="1">SUMIF(Data!$C$6:$V$29146,A396,Data!$V$6:$V$29146)</f>
        <v>0</v>
      </c>
      <c r="L396" s="28">
        <f t="shared" ca="1" si="6"/>
        <v>0</v>
      </c>
      <c r="M396" s="11" t="s">
        <v>408</v>
      </c>
    </row>
    <row r="397" spans="1:13" x14ac:dyDescent="0.2">
      <c r="A397" s="19" t="s">
        <v>1634</v>
      </c>
      <c r="B397" s="20" t="s">
        <v>1686</v>
      </c>
      <c r="C397" s="20" t="s">
        <v>39</v>
      </c>
      <c r="D397" s="20" t="s">
        <v>60</v>
      </c>
      <c r="E397" s="20" t="s">
        <v>1738</v>
      </c>
      <c r="F397" s="20" t="s">
        <v>1793</v>
      </c>
      <c r="G397" s="20" t="s">
        <v>565</v>
      </c>
      <c r="H397" s="20" t="s">
        <v>1840</v>
      </c>
      <c r="I397" s="33">
        <v>29911</v>
      </c>
      <c r="J397" s="33">
        <v>45688</v>
      </c>
      <c r="K397" s="28">
        <f ca="1">SUMIF(Data!$C$6:$V$29146,A397,Data!$V$6:$V$29146)</f>
        <v>0</v>
      </c>
      <c r="L397" s="28">
        <f t="shared" ca="1" si="6"/>
        <v>0</v>
      </c>
      <c r="M397" s="11" t="s">
        <v>408</v>
      </c>
    </row>
    <row r="398" spans="1:13" x14ac:dyDescent="0.2">
      <c r="A398" s="19">
        <v>100084243</v>
      </c>
      <c r="B398" s="20" t="s">
        <v>1311</v>
      </c>
      <c r="C398" s="20" t="s">
        <v>39</v>
      </c>
      <c r="D398" s="20" t="s">
        <v>29</v>
      </c>
      <c r="E398" s="20" t="s">
        <v>1312</v>
      </c>
      <c r="F398" s="20" t="s">
        <v>1358</v>
      </c>
      <c r="G398" s="20" t="s">
        <v>1355</v>
      </c>
      <c r="H398" s="20">
        <v>0</v>
      </c>
      <c r="I398" s="33">
        <v>34354</v>
      </c>
      <c r="J398" s="33">
        <v>45456</v>
      </c>
      <c r="K398" s="28">
        <f ca="1">SUMIF(Data!$C$6:$V$29146,A398,Data!$V$6:$V$29146)</f>
        <v>7.14</v>
      </c>
      <c r="L398" s="28">
        <f t="shared" ca="1" si="6"/>
        <v>1.7849999999999999</v>
      </c>
      <c r="M398" s="11" t="s">
        <v>408</v>
      </c>
    </row>
    <row r="399" spans="1:13" x14ac:dyDescent="0.2">
      <c r="A399" s="19" t="s">
        <v>2313</v>
      </c>
      <c r="B399" s="20" t="s">
        <v>2322</v>
      </c>
      <c r="C399" s="20" t="s">
        <v>39</v>
      </c>
      <c r="D399" s="20" t="s">
        <v>27</v>
      </c>
      <c r="E399" s="20" t="s">
        <v>2331</v>
      </c>
      <c r="F399" s="20" t="s">
        <v>2342</v>
      </c>
      <c r="G399" s="20" t="s">
        <v>412</v>
      </c>
      <c r="H399" s="20" t="s">
        <v>2350</v>
      </c>
      <c r="I399" s="33">
        <v>30814</v>
      </c>
      <c r="J399" s="33">
        <v>45805</v>
      </c>
      <c r="K399" s="28">
        <f ca="1">SUMIF(Data!$C$6:$V$29146,A399,Data!$V$6:$V$29146)</f>
        <v>0</v>
      </c>
      <c r="L399" s="28">
        <f t="shared" ca="1" si="6"/>
        <v>0</v>
      </c>
      <c r="M399" s="11" t="s">
        <v>408</v>
      </c>
    </row>
    <row r="400" spans="1:13" x14ac:dyDescent="0.2">
      <c r="A400" s="19">
        <v>100029706</v>
      </c>
      <c r="B400" s="20" t="s">
        <v>55</v>
      </c>
      <c r="C400" s="20" t="s">
        <v>39</v>
      </c>
      <c r="D400" s="20" t="s">
        <v>31</v>
      </c>
      <c r="E400" s="20" t="s">
        <v>56</v>
      </c>
      <c r="F400" s="20" t="s">
        <v>823</v>
      </c>
      <c r="G400" s="20" t="s">
        <v>413</v>
      </c>
      <c r="H400" s="20" t="s">
        <v>824</v>
      </c>
      <c r="I400" s="33">
        <v>28729</v>
      </c>
      <c r="J400" s="33">
        <v>43181</v>
      </c>
      <c r="K400" s="28">
        <f ca="1">SUMIF(Data!$C$6:$V$29146,A400,Data!$V$6:$V$29146)</f>
        <v>7.53</v>
      </c>
      <c r="L400" s="28">
        <f t="shared" ca="1" si="6"/>
        <v>1.8825000000000001</v>
      </c>
      <c r="M400" s="11" t="s">
        <v>408</v>
      </c>
    </row>
    <row r="401" spans="1:13" x14ac:dyDescent="0.2">
      <c r="A401" s="19">
        <v>100077547</v>
      </c>
      <c r="B401" s="20" t="s">
        <v>1025</v>
      </c>
      <c r="C401" s="20" t="s">
        <v>39</v>
      </c>
      <c r="D401" s="20" t="s">
        <v>47</v>
      </c>
      <c r="E401" s="20" t="s">
        <v>1026</v>
      </c>
      <c r="F401" s="20" t="s">
        <v>1056</v>
      </c>
      <c r="G401" s="20" t="s">
        <v>752</v>
      </c>
      <c r="H401" s="20">
        <v>0</v>
      </c>
      <c r="I401" s="33">
        <v>36697</v>
      </c>
      <c r="J401" s="33">
        <v>45322</v>
      </c>
      <c r="K401" s="28">
        <f ca="1">SUMIF(Data!$C$6:$V$29146,A401,Data!$V$6:$V$29146)</f>
        <v>0</v>
      </c>
      <c r="L401" s="28">
        <f t="shared" ca="1" si="6"/>
        <v>0</v>
      </c>
      <c r="M401" s="11" t="s">
        <v>408</v>
      </c>
    </row>
    <row r="402" spans="1:13" x14ac:dyDescent="0.2">
      <c r="A402" s="19">
        <v>100039903</v>
      </c>
      <c r="B402" s="20" t="s">
        <v>178</v>
      </c>
      <c r="C402" s="20" t="s">
        <v>39</v>
      </c>
      <c r="D402" s="20" t="s">
        <v>27</v>
      </c>
      <c r="E402" s="20" t="s">
        <v>179</v>
      </c>
      <c r="F402" s="20" t="s">
        <v>825</v>
      </c>
      <c r="G402" s="20" t="s">
        <v>773</v>
      </c>
      <c r="H402" s="20" t="s">
        <v>826</v>
      </c>
      <c r="I402" s="33">
        <v>37003</v>
      </c>
      <c r="J402" s="33">
        <v>43621</v>
      </c>
      <c r="K402" s="28">
        <f ca="1">SUMIF(Data!$C$6:$V$29146,A402,Data!$V$6:$V$29146)</f>
        <v>0</v>
      </c>
      <c r="L402" s="28">
        <f t="shared" ca="1" si="6"/>
        <v>0</v>
      </c>
      <c r="M402" s="11" t="s">
        <v>408</v>
      </c>
    </row>
    <row r="403" spans="1:13" x14ac:dyDescent="0.2">
      <c r="A403" s="20">
        <v>100087230</v>
      </c>
      <c r="B403" s="20" t="s">
        <v>1501</v>
      </c>
      <c r="C403" s="20" t="s">
        <v>39</v>
      </c>
      <c r="D403" s="20" t="s">
        <v>30</v>
      </c>
      <c r="E403" s="20" t="s">
        <v>1502</v>
      </c>
      <c r="F403" s="20" t="s">
        <v>1503</v>
      </c>
      <c r="G403" s="20" t="s">
        <v>562</v>
      </c>
      <c r="H403" s="20" t="s">
        <v>1504</v>
      </c>
      <c r="I403" s="33">
        <v>36947</v>
      </c>
      <c r="J403" s="33">
        <v>45546</v>
      </c>
      <c r="K403" s="28">
        <f ca="1">SUMIF(Data!$C$6:$V$29146,A403,Data!$V$6:$V$29146)</f>
        <v>0</v>
      </c>
      <c r="L403" s="28">
        <f t="shared" ca="1" si="6"/>
        <v>0</v>
      </c>
      <c r="M403" s="11" t="s">
        <v>408</v>
      </c>
    </row>
    <row r="404" spans="1:13" x14ac:dyDescent="0.2">
      <c r="A404" s="19">
        <v>100090874</v>
      </c>
      <c r="B404" s="20" t="s">
        <v>1860</v>
      </c>
      <c r="C404" s="20" t="s">
        <v>39</v>
      </c>
      <c r="D404" s="20" t="s">
        <v>60</v>
      </c>
      <c r="E404" s="20" t="s">
        <v>1877</v>
      </c>
      <c r="F404" s="20" t="s">
        <v>1896</v>
      </c>
      <c r="G404" s="20" t="s">
        <v>1897</v>
      </c>
      <c r="H404" s="20" t="s">
        <v>1910</v>
      </c>
      <c r="I404" s="33">
        <v>32940</v>
      </c>
      <c r="J404" s="33">
        <v>45736</v>
      </c>
      <c r="K404" s="28">
        <f ca="1">SUMIF(Data!$C$6:$V$29146,A404,Data!$V$6:$V$29146)</f>
        <v>26.619999999999997</v>
      </c>
      <c r="L404" s="28">
        <f t="shared" ca="1" si="6"/>
        <v>6.6549999999999994</v>
      </c>
      <c r="M404" s="11" t="s">
        <v>408</v>
      </c>
    </row>
    <row r="405" spans="1:13" x14ac:dyDescent="0.2">
      <c r="A405" s="19">
        <v>100033952</v>
      </c>
      <c r="B405" s="20" t="s">
        <v>120</v>
      </c>
      <c r="C405" s="20" t="s">
        <v>39</v>
      </c>
      <c r="D405" s="20" t="s">
        <v>28</v>
      </c>
      <c r="E405" s="20" t="s">
        <v>121</v>
      </c>
      <c r="F405" s="20" t="s">
        <v>827</v>
      </c>
      <c r="G405" s="20" t="s">
        <v>425</v>
      </c>
      <c r="H405" s="20" t="s">
        <v>828</v>
      </c>
      <c r="I405" s="33">
        <v>29167</v>
      </c>
      <c r="J405" s="33">
        <v>43293</v>
      </c>
      <c r="K405" s="28">
        <f ca="1">SUMIF(Data!$C$6:$V$29146,A405,Data!$V$6:$V$29146)</f>
        <v>96.76</v>
      </c>
      <c r="L405" s="28">
        <f t="shared" ca="1" si="6"/>
        <v>24.19</v>
      </c>
      <c r="M405" s="11" t="s">
        <v>408</v>
      </c>
    </row>
    <row r="406" spans="1:13" x14ac:dyDescent="0.2">
      <c r="A406" s="19">
        <v>100036396</v>
      </c>
      <c r="B406" s="20" t="s">
        <v>145</v>
      </c>
      <c r="C406" s="20" t="s">
        <v>39</v>
      </c>
      <c r="D406" s="20" t="s">
        <v>36</v>
      </c>
      <c r="E406" s="20" t="s">
        <v>146</v>
      </c>
      <c r="F406" s="20" t="s">
        <v>829</v>
      </c>
      <c r="G406" s="20" t="s">
        <v>830</v>
      </c>
      <c r="H406" s="20" t="s">
        <v>831</v>
      </c>
      <c r="I406" s="33">
        <v>30441</v>
      </c>
      <c r="J406" s="33">
        <v>43516</v>
      </c>
      <c r="K406" s="28">
        <f ca="1">SUMIF(Data!$C$6:$V$29146,A406,Data!$V$6:$V$29146)</f>
        <v>0</v>
      </c>
      <c r="L406" s="28">
        <f t="shared" ca="1" si="6"/>
        <v>0</v>
      </c>
      <c r="M406" s="11" t="s">
        <v>408</v>
      </c>
    </row>
    <row r="407" spans="1:13" x14ac:dyDescent="0.2">
      <c r="A407" s="19">
        <v>100084271</v>
      </c>
      <c r="B407" s="20" t="s">
        <v>1313</v>
      </c>
      <c r="C407" s="20" t="s">
        <v>39</v>
      </c>
      <c r="D407" s="20" t="s">
        <v>30</v>
      </c>
      <c r="E407" s="20" t="s">
        <v>1314</v>
      </c>
      <c r="F407" s="20" t="s">
        <v>1359</v>
      </c>
      <c r="G407" s="20" t="s">
        <v>412</v>
      </c>
      <c r="H407" s="20" t="s">
        <v>1360</v>
      </c>
      <c r="I407" s="33">
        <v>28149</v>
      </c>
      <c r="J407" s="33">
        <v>45456</v>
      </c>
      <c r="K407" s="28">
        <f ca="1">SUMIF(Data!$C$6:$V$29146,A407,Data!$V$6:$V$29146)</f>
        <v>0</v>
      </c>
      <c r="L407" s="28">
        <f t="shared" ca="1" si="6"/>
        <v>0</v>
      </c>
      <c r="M407" s="11" t="s">
        <v>408</v>
      </c>
    </row>
    <row r="408" spans="1:13" x14ac:dyDescent="0.2">
      <c r="A408" s="19" t="s">
        <v>1635</v>
      </c>
      <c r="B408" s="20" t="s">
        <v>1687</v>
      </c>
      <c r="C408" s="20" t="s">
        <v>39</v>
      </c>
      <c r="D408" s="20" t="s">
        <v>135</v>
      </c>
      <c r="E408" s="20" t="s">
        <v>1739</v>
      </c>
      <c r="F408" s="20" t="s">
        <v>1794</v>
      </c>
      <c r="G408" s="20" t="s">
        <v>514</v>
      </c>
      <c r="H408" s="20" t="s">
        <v>1841</v>
      </c>
      <c r="I408" s="33">
        <v>27010</v>
      </c>
      <c r="J408" s="33">
        <v>45688</v>
      </c>
      <c r="K408" s="28">
        <f ca="1">SUMIF(Data!$C$6:$V$29146,A408,Data!$V$6:$V$29146)</f>
        <v>0</v>
      </c>
      <c r="L408" s="28">
        <f t="shared" ca="1" si="6"/>
        <v>0</v>
      </c>
      <c r="M408" s="11" t="s">
        <v>408</v>
      </c>
    </row>
    <row r="409" spans="1:13" x14ac:dyDescent="0.2">
      <c r="A409" s="19" t="s">
        <v>2314</v>
      </c>
      <c r="B409" s="20" t="s">
        <v>2323</v>
      </c>
      <c r="C409" s="20" t="s">
        <v>39</v>
      </c>
      <c r="D409" s="20" t="s">
        <v>47</v>
      </c>
      <c r="E409" s="20" t="s">
        <v>2332</v>
      </c>
      <c r="F409" s="20" t="s">
        <v>2343</v>
      </c>
      <c r="G409" s="20" t="s">
        <v>1127</v>
      </c>
      <c r="H409" s="20" t="s">
        <v>2351</v>
      </c>
      <c r="I409" s="33">
        <v>31943</v>
      </c>
      <c r="J409" s="33">
        <v>45805</v>
      </c>
      <c r="K409" s="28">
        <f ca="1">SUMIF(Data!$C$6:$V$29146,A409,Data!$V$6:$V$29146)</f>
        <v>0</v>
      </c>
      <c r="L409" s="28">
        <f t="shared" ca="1" si="6"/>
        <v>0</v>
      </c>
      <c r="M409" s="11" t="s">
        <v>408</v>
      </c>
    </row>
    <row r="410" spans="1:13" x14ac:dyDescent="0.2">
      <c r="A410" s="19">
        <v>100077551</v>
      </c>
      <c r="B410" s="20" t="s">
        <v>1029</v>
      </c>
      <c r="C410" s="20" t="s">
        <v>39</v>
      </c>
      <c r="D410" s="20" t="s">
        <v>27</v>
      </c>
      <c r="E410" s="20" t="s">
        <v>1030</v>
      </c>
      <c r="F410" s="20" t="s">
        <v>1057</v>
      </c>
      <c r="G410" s="20" t="s">
        <v>544</v>
      </c>
      <c r="H410" s="20" t="s">
        <v>1324</v>
      </c>
      <c r="I410" s="33">
        <v>36617</v>
      </c>
      <c r="J410" s="33">
        <v>45322</v>
      </c>
      <c r="K410" s="28">
        <f ca="1">SUMIF(Data!$C$6:$V$29146,A410,Data!$V$6:$V$29146)</f>
        <v>0</v>
      </c>
      <c r="L410" s="28">
        <f t="shared" ca="1" si="6"/>
        <v>0</v>
      </c>
      <c r="M410" s="11" t="s">
        <v>408</v>
      </c>
    </row>
    <row r="411" spans="1:13" x14ac:dyDescent="0.2">
      <c r="A411" s="19" t="s">
        <v>1636</v>
      </c>
      <c r="B411" s="20" t="s">
        <v>1688</v>
      </c>
      <c r="C411" s="20" t="s">
        <v>39</v>
      </c>
      <c r="D411" s="20" t="s">
        <v>135</v>
      </c>
      <c r="E411" s="20" t="s">
        <v>1740</v>
      </c>
      <c r="F411" s="20" t="s">
        <v>1795</v>
      </c>
      <c r="G411" s="20" t="s">
        <v>1409</v>
      </c>
      <c r="H411" s="20" t="s">
        <v>1842</v>
      </c>
      <c r="I411" s="33">
        <v>24968</v>
      </c>
      <c r="J411" s="33">
        <v>45688</v>
      </c>
      <c r="K411" s="28">
        <f ca="1">SUMIF(Data!$C$6:$V$29146,A411,Data!$V$6:$V$29146)</f>
        <v>0</v>
      </c>
      <c r="L411" s="28">
        <f t="shared" ca="1" si="6"/>
        <v>0</v>
      </c>
      <c r="M411" s="11" t="s">
        <v>408</v>
      </c>
    </row>
    <row r="412" spans="1:13" x14ac:dyDescent="0.2">
      <c r="A412" s="19" t="s">
        <v>1637</v>
      </c>
      <c r="B412" s="20" t="s">
        <v>1689</v>
      </c>
      <c r="C412" s="20" t="s">
        <v>39</v>
      </c>
      <c r="D412" s="20" t="s">
        <v>30</v>
      </c>
      <c r="E412" s="20" t="s">
        <v>1741</v>
      </c>
      <c r="F412" s="20" t="s">
        <v>1796</v>
      </c>
      <c r="G412" s="20" t="s">
        <v>1797</v>
      </c>
      <c r="H412" s="20" t="s">
        <v>1843</v>
      </c>
      <c r="I412" s="33">
        <v>34955</v>
      </c>
      <c r="J412" s="33">
        <v>45688</v>
      </c>
      <c r="K412" s="28">
        <f ca="1">SUMIF(Data!$C$6:$V$29146,A412,Data!$V$6:$V$29146)</f>
        <v>0</v>
      </c>
      <c r="L412" s="28">
        <f t="shared" ca="1" si="6"/>
        <v>0</v>
      </c>
      <c r="M412" s="11" t="s">
        <v>408</v>
      </c>
    </row>
    <row r="413" spans="1:13" x14ac:dyDescent="0.2">
      <c r="A413" s="19">
        <v>100064589</v>
      </c>
      <c r="B413" s="20" t="s">
        <v>361</v>
      </c>
      <c r="C413" s="20" t="s">
        <v>39</v>
      </c>
      <c r="D413" s="20" t="s">
        <v>47</v>
      </c>
      <c r="E413" s="20" t="s">
        <v>362</v>
      </c>
      <c r="F413" s="20" t="s">
        <v>832</v>
      </c>
      <c r="G413" s="20" t="s">
        <v>490</v>
      </c>
      <c r="H413" s="20" t="s">
        <v>833</v>
      </c>
      <c r="I413" s="33">
        <v>37390</v>
      </c>
      <c r="J413" s="33">
        <v>44958</v>
      </c>
      <c r="K413" s="28">
        <f ca="1">SUMIF(Data!$C$6:$V$29146,A413,Data!$V$6:$V$29146)</f>
        <v>0</v>
      </c>
      <c r="L413" s="28">
        <f t="shared" ca="1" si="6"/>
        <v>0</v>
      </c>
      <c r="M413" s="11" t="s">
        <v>408</v>
      </c>
    </row>
    <row r="414" spans="1:13" x14ac:dyDescent="0.2">
      <c r="A414" s="19" t="s">
        <v>2315</v>
      </c>
      <c r="B414" s="20" t="s">
        <v>2324</v>
      </c>
      <c r="C414" s="20" t="s">
        <v>39</v>
      </c>
      <c r="D414" s="20" t="s">
        <v>47</v>
      </c>
      <c r="E414" s="20" t="s">
        <v>2333</v>
      </c>
      <c r="F414" s="20" t="s">
        <v>2344</v>
      </c>
      <c r="G414" s="20" t="s">
        <v>1350</v>
      </c>
      <c r="H414" s="20" t="s">
        <v>2352</v>
      </c>
      <c r="I414" s="33">
        <v>32724</v>
      </c>
      <c r="J414" s="33">
        <v>45805</v>
      </c>
      <c r="K414" s="28">
        <f ca="1">SUMIF(Data!$C$6:$V$29146,A414,Data!$V$6:$V$29146)</f>
        <v>0</v>
      </c>
      <c r="L414" s="28">
        <f t="shared" ca="1" si="6"/>
        <v>0</v>
      </c>
      <c r="M414" s="11" t="s">
        <v>408</v>
      </c>
    </row>
    <row r="415" spans="1:13" x14ac:dyDescent="0.2">
      <c r="A415" s="19">
        <v>100074376</v>
      </c>
      <c r="B415" s="20" t="s">
        <v>941</v>
      </c>
      <c r="C415" s="20" t="s">
        <v>39</v>
      </c>
      <c r="D415" s="20" t="s">
        <v>27</v>
      </c>
      <c r="E415" s="20" t="s">
        <v>942</v>
      </c>
      <c r="F415" s="20" t="s">
        <v>943</v>
      </c>
      <c r="G415" s="20" t="s">
        <v>413</v>
      </c>
      <c r="H415" s="20" t="s">
        <v>944</v>
      </c>
      <c r="I415" s="33">
        <v>27461</v>
      </c>
      <c r="J415" s="33">
        <v>45189</v>
      </c>
      <c r="K415" s="28">
        <f ca="1">SUMIF(Data!$C$6:$V$29146,A415,Data!$V$6:$V$29146)</f>
        <v>0</v>
      </c>
      <c r="L415" s="28">
        <f t="shared" ca="1" si="6"/>
        <v>0</v>
      </c>
      <c r="M415" s="11" t="s">
        <v>408</v>
      </c>
    </row>
    <row r="416" spans="1:13" x14ac:dyDescent="0.2">
      <c r="A416" s="20">
        <v>100059519</v>
      </c>
      <c r="B416" s="20" t="s">
        <v>312</v>
      </c>
      <c r="C416" s="20" t="s">
        <v>39</v>
      </c>
      <c r="D416" s="20" t="s">
        <v>32</v>
      </c>
      <c r="E416" s="20" t="s">
        <v>313</v>
      </c>
      <c r="F416" s="20" t="s">
        <v>834</v>
      </c>
      <c r="G416" s="20" t="s">
        <v>835</v>
      </c>
      <c r="H416" s="20" t="s">
        <v>836</v>
      </c>
      <c r="I416" s="33">
        <v>29246</v>
      </c>
      <c r="J416" s="33">
        <v>44735</v>
      </c>
      <c r="K416" s="28">
        <f ca="1">SUMIF(Data!$C$6:$V$29146,A416,Data!$V$6:$V$29146)</f>
        <v>0</v>
      </c>
      <c r="L416" s="28">
        <f t="shared" ca="1" si="6"/>
        <v>0</v>
      </c>
      <c r="M416" s="11" t="s">
        <v>408</v>
      </c>
    </row>
    <row r="417" spans="1:13" x14ac:dyDescent="0.2">
      <c r="A417" s="19" t="s">
        <v>2353</v>
      </c>
      <c r="B417" s="19" t="s">
        <v>2354</v>
      </c>
      <c r="C417" s="36" t="s">
        <v>39</v>
      </c>
      <c r="D417" s="38" t="s">
        <v>30</v>
      </c>
      <c r="E417" s="37" t="s">
        <v>2365</v>
      </c>
      <c r="F417" s="19" t="s">
        <v>2369</v>
      </c>
      <c r="G417" s="19" t="s">
        <v>484</v>
      </c>
      <c r="H417" s="35" t="s">
        <v>2370</v>
      </c>
      <c r="I417" s="35">
        <v>19007</v>
      </c>
      <c r="J417" s="35">
        <v>45028</v>
      </c>
      <c r="K417" s="28">
        <f ca="1">SUMIF(Data!$C$6:$V$29146,A417,Data!$V$6:$V$29146)</f>
        <v>0</v>
      </c>
      <c r="L417" s="28">
        <f t="shared" ca="1" si="6"/>
        <v>0</v>
      </c>
    </row>
    <row r="418" spans="1:13" x14ac:dyDescent="0.2">
      <c r="A418" s="19" t="s">
        <v>2355</v>
      </c>
      <c r="B418" s="19" t="s">
        <v>2356</v>
      </c>
      <c r="C418" s="36" t="s">
        <v>39</v>
      </c>
      <c r="D418" s="38" t="s">
        <v>30</v>
      </c>
      <c r="E418" s="37" t="s">
        <v>2366</v>
      </c>
      <c r="F418" s="19" t="s">
        <v>2371</v>
      </c>
      <c r="G418" s="19" t="s">
        <v>633</v>
      </c>
      <c r="H418" s="35" t="s">
        <v>2372</v>
      </c>
      <c r="I418" s="35">
        <v>30777</v>
      </c>
      <c r="J418" s="35">
        <v>45784</v>
      </c>
      <c r="K418" s="28">
        <f ca="1">SUMIF(Data!$C$6:$V$29146,A418,Data!$V$6:$V$29146)</f>
        <v>0</v>
      </c>
      <c r="L418" s="28">
        <f t="shared" ca="1" si="6"/>
        <v>0</v>
      </c>
    </row>
    <row r="419" spans="1:13" x14ac:dyDescent="0.2">
      <c r="A419" s="19" t="s">
        <v>2357</v>
      </c>
      <c r="B419" s="19" t="s">
        <v>2358</v>
      </c>
      <c r="C419" s="36" t="s">
        <v>39</v>
      </c>
      <c r="D419" s="38" t="s">
        <v>31</v>
      </c>
      <c r="E419" s="37" t="s">
        <v>2367</v>
      </c>
      <c r="F419" s="19" t="s">
        <v>2373</v>
      </c>
      <c r="G419" s="19" t="s">
        <v>502</v>
      </c>
      <c r="H419" s="35" t="s">
        <v>2374</v>
      </c>
      <c r="I419" s="35">
        <v>25022</v>
      </c>
      <c r="J419" s="35">
        <v>45785</v>
      </c>
      <c r="K419" s="28">
        <f ca="1">SUMIF(Data!$C$6:$V$29146,A419,Data!$V$6:$V$29146)</f>
        <v>0</v>
      </c>
      <c r="L419" s="28">
        <f t="shared" ca="1" si="6"/>
        <v>0</v>
      </c>
    </row>
    <row r="420" spans="1:13" x14ac:dyDescent="0.2">
      <c r="A420" s="19" t="s">
        <v>2359</v>
      </c>
      <c r="B420" s="19" t="s">
        <v>2360</v>
      </c>
      <c r="C420" s="36" t="s">
        <v>39</v>
      </c>
      <c r="D420" s="38" t="s">
        <v>30</v>
      </c>
      <c r="E420" s="37" t="s">
        <v>2368</v>
      </c>
      <c r="F420" s="19" t="s">
        <v>2375</v>
      </c>
      <c r="G420" s="19" t="s">
        <v>940</v>
      </c>
      <c r="H420" s="35" t="s">
        <v>2376</v>
      </c>
      <c r="I420" s="35">
        <v>16506</v>
      </c>
      <c r="J420" s="35">
        <v>45322</v>
      </c>
      <c r="K420" s="28">
        <f ca="1">SUMIF(Data!$C$6:$V$29146,A420,Data!$V$6:$V$29146)</f>
        <v>0</v>
      </c>
      <c r="L420" s="28">
        <f t="shared" ca="1" si="6"/>
        <v>0</v>
      </c>
    </row>
    <row r="421" spans="1:13" x14ac:dyDescent="0.2">
      <c r="A421" s="19" t="s">
        <v>2361</v>
      </c>
      <c r="B421" s="19" t="s">
        <v>143</v>
      </c>
      <c r="C421" s="36" t="s">
        <v>39</v>
      </c>
      <c r="D421" s="38" t="s">
        <v>31</v>
      </c>
      <c r="E421" s="37" t="s">
        <v>144</v>
      </c>
      <c r="F421" s="19" t="s">
        <v>2377</v>
      </c>
      <c r="G421" s="19" t="s">
        <v>423</v>
      </c>
      <c r="H421" s="35" t="s">
        <v>2378</v>
      </c>
      <c r="I421" s="35">
        <v>25115</v>
      </c>
      <c r="J421" s="35">
        <v>43516</v>
      </c>
      <c r="K421" s="28">
        <f ca="1">SUMIF(Data!$C$6:$V$29146,A421,Data!$V$6:$V$29146)</f>
        <v>0</v>
      </c>
      <c r="L421" s="28">
        <f t="shared" ca="1" si="6"/>
        <v>0</v>
      </c>
    </row>
    <row r="422" spans="1:13" x14ac:dyDescent="0.2">
      <c r="A422" s="19" t="s">
        <v>2362</v>
      </c>
      <c r="B422" s="19" t="s">
        <v>2363</v>
      </c>
      <c r="C422" s="36" t="s">
        <v>39</v>
      </c>
      <c r="D422" s="39" t="s">
        <v>32</v>
      </c>
      <c r="E422" s="38" t="s">
        <v>2364</v>
      </c>
      <c r="F422" s="19" t="s">
        <v>2379</v>
      </c>
      <c r="G422" s="19" t="s">
        <v>1355</v>
      </c>
      <c r="H422" s="35" t="s">
        <v>2380</v>
      </c>
      <c r="I422" s="35">
        <v>33267</v>
      </c>
      <c r="J422" s="35">
        <v>43525</v>
      </c>
      <c r="K422" s="28">
        <f ca="1">SUMIF(Data!$C$6:$V$29146,A422,Data!$V$6:$V$29146)</f>
        <v>15.04</v>
      </c>
      <c r="L422" s="28">
        <f t="shared" ca="1" si="6"/>
        <v>3.76</v>
      </c>
    </row>
    <row r="423" spans="1:13" x14ac:dyDescent="0.2">
      <c r="A423" s="19">
        <v>100077504</v>
      </c>
      <c r="B423" s="20" t="s">
        <v>1031</v>
      </c>
      <c r="C423" s="20" t="s">
        <v>39</v>
      </c>
      <c r="D423" s="20" t="s">
        <v>60</v>
      </c>
      <c r="E423" s="20" t="s">
        <v>1032</v>
      </c>
      <c r="F423" s="20" t="s">
        <v>1058</v>
      </c>
      <c r="G423" s="20" t="s">
        <v>1059</v>
      </c>
      <c r="H423" s="20" t="s">
        <v>1060</v>
      </c>
      <c r="I423" s="33">
        <v>19511</v>
      </c>
      <c r="J423" s="33">
        <v>45322</v>
      </c>
      <c r="K423" s="28">
        <f ca="1">SUMIF(Data!$C$6:$V$29146,A423,Data!$V$6:$V$29146)</f>
        <v>94.1</v>
      </c>
      <c r="L423" s="28">
        <f t="shared" ca="1" si="6"/>
        <v>23.524999999999999</v>
      </c>
      <c r="M423" s="11" t="s">
        <v>408</v>
      </c>
    </row>
    <row r="424" spans="1:13" x14ac:dyDescent="0.2">
      <c r="A424" s="19" t="s">
        <v>2297</v>
      </c>
      <c r="B424" s="20" t="s">
        <v>2298</v>
      </c>
      <c r="C424" s="20" t="s">
        <v>39</v>
      </c>
      <c r="D424" s="20" t="s">
        <v>34</v>
      </c>
      <c r="E424" s="20" t="s">
        <v>2299</v>
      </c>
      <c r="F424" s="20" t="s">
        <v>2300</v>
      </c>
      <c r="G424" s="20" t="s">
        <v>413</v>
      </c>
      <c r="H424" s="20" t="s">
        <v>2301</v>
      </c>
      <c r="I424" s="33">
        <v>38380</v>
      </c>
      <c r="J424" s="33">
        <v>45785</v>
      </c>
      <c r="K424" s="28">
        <f ca="1">SUMIF(Data!$C$6:$V$29146,A424,Data!$V$6:$V$29146)</f>
        <v>12.07</v>
      </c>
      <c r="L424" s="28">
        <f t="shared" ca="1" si="6"/>
        <v>3.0175000000000001</v>
      </c>
      <c r="M424" s="11" t="s">
        <v>408</v>
      </c>
    </row>
    <row r="425" spans="1:13" x14ac:dyDescent="0.2">
      <c r="A425" s="19" t="s">
        <v>2302</v>
      </c>
      <c r="B425" s="20" t="s">
        <v>2303</v>
      </c>
      <c r="C425" s="20" t="s">
        <v>39</v>
      </c>
      <c r="D425" s="20" t="s">
        <v>30</v>
      </c>
      <c r="E425" s="20" t="s">
        <v>2304</v>
      </c>
      <c r="F425" s="20" t="s">
        <v>2305</v>
      </c>
      <c r="G425" s="20" t="s">
        <v>704</v>
      </c>
      <c r="H425" s="20" t="s">
        <v>2306</v>
      </c>
      <c r="I425" s="33">
        <v>27089</v>
      </c>
      <c r="J425" s="33">
        <v>45785</v>
      </c>
      <c r="K425" s="28">
        <f ca="1">SUMIF(Data!$C$6:$V$29146,A425,Data!$V$6:$V$29146)</f>
        <v>0</v>
      </c>
      <c r="L425" s="28">
        <f t="shared" ca="1" si="6"/>
        <v>0</v>
      </c>
      <c r="M425" s="11" t="s">
        <v>408</v>
      </c>
    </row>
    <row r="426" spans="1:13" x14ac:dyDescent="0.2">
      <c r="A426" s="19">
        <v>100039076</v>
      </c>
      <c r="B426" s="20" t="s">
        <v>176</v>
      </c>
      <c r="C426" s="20" t="s">
        <v>39</v>
      </c>
      <c r="D426" s="20" t="s">
        <v>35</v>
      </c>
      <c r="E426" s="20" t="s">
        <v>177</v>
      </c>
      <c r="F426" s="20" t="s">
        <v>837</v>
      </c>
      <c r="G426" s="20" t="s">
        <v>838</v>
      </c>
      <c r="H426" s="20" t="s">
        <v>839</v>
      </c>
      <c r="I426" s="33">
        <v>20286</v>
      </c>
      <c r="J426" s="33">
        <v>43600</v>
      </c>
      <c r="K426" s="28">
        <f ca="1">SUMIF(Data!$C$6:$V$29146,A426,Data!$V$6:$V$29146)</f>
        <v>6.52</v>
      </c>
      <c r="L426" s="28">
        <f t="shared" ca="1" si="6"/>
        <v>1.63</v>
      </c>
      <c r="M426" s="11" t="s">
        <v>408</v>
      </c>
    </row>
    <row r="427" spans="1:13" x14ac:dyDescent="0.2">
      <c r="A427" s="20">
        <v>100087222</v>
      </c>
      <c r="B427" s="20" t="s">
        <v>1422</v>
      </c>
      <c r="C427" s="20" t="s">
        <v>39</v>
      </c>
      <c r="D427" s="20" t="s">
        <v>47</v>
      </c>
      <c r="E427" s="20" t="s">
        <v>1423</v>
      </c>
      <c r="F427" s="20" t="s">
        <v>1424</v>
      </c>
      <c r="G427" s="20" t="s">
        <v>412</v>
      </c>
      <c r="H427" s="20" t="s">
        <v>1425</v>
      </c>
      <c r="I427" s="33">
        <v>38743</v>
      </c>
      <c r="J427" s="33">
        <v>45546</v>
      </c>
      <c r="K427" s="28">
        <f ca="1">SUMIF(Data!$C$6:$V$29146,A427,Data!$V$6:$V$29146)</f>
        <v>0</v>
      </c>
      <c r="L427" s="28">
        <f t="shared" ca="1" si="6"/>
        <v>0</v>
      </c>
      <c r="M427" s="11" t="s">
        <v>408</v>
      </c>
    </row>
    <row r="428" spans="1:13" x14ac:dyDescent="0.2">
      <c r="A428" s="19">
        <v>100082262</v>
      </c>
      <c r="B428" s="20" t="s">
        <v>1215</v>
      </c>
      <c r="C428" s="20" t="s">
        <v>39</v>
      </c>
      <c r="D428" s="20" t="s">
        <v>47</v>
      </c>
      <c r="E428" s="20" t="s">
        <v>1216</v>
      </c>
      <c r="F428" s="20" t="s">
        <v>1250</v>
      </c>
      <c r="G428" s="20" t="s">
        <v>412</v>
      </c>
      <c r="H428" s="20" t="s">
        <v>1251</v>
      </c>
      <c r="I428" s="33">
        <v>38139</v>
      </c>
      <c r="J428" s="33">
        <v>45414</v>
      </c>
      <c r="K428" s="28">
        <f ca="1">SUMIF(Data!$C$6:$V$29146,A428,Data!$V$6:$V$29146)</f>
        <v>0</v>
      </c>
      <c r="L428" s="28">
        <f t="shared" ca="1" si="6"/>
        <v>0</v>
      </c>
      <c r="M428" s="11" t="s">
        <v>408</v>
      </c>
    </row>
    <row r="429" spans="1:13" x14ac:dyDescent="0.2">
      <c r="A429" s="19">
        <v>100053193</v>
      </c>
      <c r="B429" s="20" t="s">
        <v>1089</v>
      </c>
      <c r="C429" s="20" t="s">
        <v>39</v>
      </c>
      <c r="D429" s="20" t="s">
        <v>27</v>
      </c>
      <c r="E429" s="20" t="s">
        <v>253</v>
      </c>
      <c r="F429" s="20" t="s">
        <v>840</v>
      </c>
      <c r="G429" s="20" t="s">
        <v>841</v>
      </c>
      <c r="H429" s="20" t="s">
        <v>842</v>
      </c>
      <c r="I429" s="33">
        <v>33327</v>
      </c>
      <c r="J429" s="33">
        <v>44506</v>
      </c>
      <c r="K429" s="28">
        <f ca="1">SUMIF(Data!$C$6:$V$29146,A429,Data!$V$6:$V$29146)</f>
        <v>0</v>
      </c>
      <c r="L429" s="28">
        <f t="shared" ca="1" si="6"/>
        <v>0</v>
      </c>
      <c r="M429" s="11" t="s">
        <v>408</v>
      </c>
    </row>
    <row r="430" spans="1:13" x14ac:dyDescent="0.2">
      <c r="A430" s="19" t="s">
        <v>1638</v>
      </c>
      <c r="B430" s="20" t="s">
        <v>1690</v>
      </c>
      <c r="C430" s="20" t="s">
        <v>39</v>
      </c>
      <c r="D430" s="20" t="s">
        <v>26</v>
      </c>
      <c r="E430" s="20" t="s">
        <v>1742</v>
      </c>
      <c r="F430" s="20" t="s">
        <v>1798</v>
      </c>
      <c r="G430" s="20" t="s">
        <v>766</v>
      </c>
      <c r="H430" s="20" t="s">
        <v>1844</v>
      </c>
      <c r="I430" s="33">
        <v>36115</v>
      </c>
      <c r="J430" s="33">
        <v>45688</v>
      </c>
      <c r="K430" s="28">
        <f ca="1">SUMIF(Data!$C$6:$V$29146,A430,Data!$V$6:$V$29146)</f>
        <v>0</v>
      </c>
      <c r="L430" s="28">
        <f t="shared" ca="1" si="6"/>
        <v>0</v>
      </c>
      <c r="M430" s="11" t="s">
        <v>408</v>
      </c>
    </row>
    <row r="431" spans="1:13" x14ac:dyDescent="0.2">
      <c r="A431" s="20">
        <v>100063862</v>
      </c>
      <c r="B431" s="20" t="s">
        <v>1098</v>
      </c>
      <c r="C431" s="20" t="s">
        <v>39</v>
      </c>
      <c r="D431" s="20" t="s">
        <v>33</v>
      </c>
      <c r="E431" s="20" t="s">
        <v>341</v>
      </c>
      <c r="F431" s="20" t="s">
        <v>843</v>
      </c>
      <c r="G431" s="20" t="s">
        <v>844</v>
      </c>
      <c r="H431" s="20" t="s">
        <v>480</v>
      </c>
      <c r="I431" s="33">
        <v>38287</v>
      </c>
      <c r="J431" s="33">
        <v>44895</v>
      </c>
      <c r="K431" s="28">
        <f ca="1">SUMIF(Data!$C$6:$V$29146,A431,Data!$V$6:$V$29146)</f>
        <v>27.71</v>
      </c>
      <c r="L431" s="28">
        <f t="shared" ca="1" si="6"/>
        <v>6.9275000000000002</v>
      </c>
      <c r="M431" s="11" t="s">
        <v>408</v>
      </c>
    </row>
    <row r="432" spans="1:13" x14ac:dyDescent="0.2">
      <c r="K432" s="26">
        <f ca="1">SUM(K4:K431)</f>
        <v>2224.0299999999997</v>
      </c>
      <c r="L432" s="26">
        <f ca="1">SUM(L4:L431)</f>
        <v>556.00749999999994</v>
      </c>
    </row>
  </sheetData>
  <autoFilter ref="B3:M432" xr:uid="{00000000-0001-0000-0100-000000000000}"/>
  <sortState xmlns:xlrd2="http://schemas.microsoft.com/office/spreadsheetml/2017/richdata2" ref="A433:B843">
    <sortCondition sortBy="cellColor" ref="B433:B843" dxfId="2"/>
  </sortState>
  <mergeCells count="2">
    <mergeCell ref="K1:L1"/>
    <mergeCell ref="K2:L2"/>
  </mergeCells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ignoredErrors>
    <ignoredError sqref="A423:A424 A7:A10 A96:A100 A301:A304 A309:A313 A232:A235 A101 A105:A112 A429:A431 A426:A428 A425 A11:A15 A16 A17:A20 A21:A24 A25:A35 A353:A357 A173:A174 A175:A177 A178:A180 A181:A194 A202 A203:A209 A415:A416 A412:A414 A410:A411 A408:A409 A399:A407 A388:A398 A381:A387 A378:A380 A377 A373:A376 A372 A361:A371 A358:A360 A343:A352 A341:A342 A340 A336:A339 A335 A328:A334 A327 A322:A326 A296:A299 A300 A305:A308 A314:A321 A275 A276:A295 A266:A274 A263:A265 A260:A262 A259 A250:A258 A249 A221:A228 A229:A231 A219:A220 A236:A238 A239:A241 A242:A248 A36:A41 A42:A46 A47:A49 A50:A52 A53:A59 A60:A64 A65 A66:A80 A81:A90 A94:A95 A102:A104 A113:A114 A115:A123 A124:A127 A128:A132 A133:A134 A135:A139 A140:A151 A152:A154 A155 A156:A157 A158:A172 A210:A218 A195:A201 A91:A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7FAC-7FA1-4B5A-B154-2A5A143F9C7D}">
  <dimension ref="A1:BJ1048521"/>
  <sheetViews>
    <sheetView zoomScale="99" zoomScaleNormal="99" workbookViewId="0">
      <selection sqref="A1:XFD1048508"/>
    </sheetView>
  </sheetViews>
  <sheetFormatPr defaultRowHeight="12.75" x14ac:dyDescent="0.2"/>
  <cols>
    <col min="14" max="14" width="10.7109375" bestFit="1" customWidth="1"/>
  </cols>
  <sheetData>
    <row r="1" spans="1:62" x14ac:dyDescent="0.2">
      <c r="A1" t="s">
        <v>2683</v>
      </c>
    </row>
    <row r="2" spans="1:62" x14ac:dyDescent="0.2">
      <c r="A2" t="s">
        <v>2750</v>
      </c>
    </row>
    <row r="3" spans="1:62" x14ac:dyDescent="0.2">
      <c r="A3" t="s">
        <v>2684</v>
      </c>
    </row>
    <row r="5" spans="1:62" x14ac:dyDescent="0.2">
      <c r="A5" t="s">
        <v>2381</v>
      </c>
      <c r="B5" t="s">
        <v>2382</v>
      </c>
      <c r="C5" t="s">
        <v>2685</v>
      </c>
      <c r="D5" t="s">
        <v>2383</v>
      </c>
      <c r="E5" t="s">
        <v>2384</v>
      </c>
      <c r="F5" t="s">
        <v>2385</v>
      </c>
      <c r="G5" t="s">
        <v>2386</v>
      </c>
      <c r="H5" t="s">
        <v>2387</v>
      </c>
      <c r="I5" t="s">
        <v>2388</v>
      </c>
      <c r="J5" t="s">
        <v>22</v>
      </c>
      <c r="K5" t="s">
        <v>2389</v>
      </c>
      <c r="L5" t="s">
        <v>2390</v>
      </c>
      <c r="M5" t="s">
        <v>12</v>
      </c>
      <c r="N5" t="s">
        <v>2391</v>
      </c>
      <c r="O5" t="s">
        <v>2392</v>
      </c>
      <c r="P5" t="s">
        <v>2393</v>
      </c>
      <c r="Q5" t="s">
        <v>2394</v>
      </c>
      <c r="R5" t="s">
        <v>2395</v>
      </c>
      <c r="S5" t="s">
        <v>2396</v>
      </c>
      <c r="T5" t="s">
        <v>2397</v>
      </c>
      <c r="U5" t="s">
        <v>2398</v>
      </c>
      <c r="V5" t="s">
        <v>2399</v>
      </c>
      <c r="W5" t="s">
        <v>2400</v>
      </c>
      <c r="X5" t="s">
        <v>2401</v>
      </c>
      <c r="Y5" t="s">
        <v>2402</v>
      </c>
      <c r="Z5" t="s">
        <v>2403</v>
      </c>
      <c r="AA5" t="s">
        <v>2404</v>
      </c>
      <c r="AB5" t="s">
        <v>2405</v>
      </c>
      <c r="AC5" t="s">
        <v>2406</v>
      </c>
      <c r="AD5" t="s">
        <v>2407</v>
      </c>
      <c r="AE5" t="s">
        <v>2408</v>
      </c>
      <c r="AF5" t="s">
        <v>2409</v>
      </c>
      <c r="AG5" t="s">
        <v>2410</v>
      </c>
      <c r="AH5" t="s">
        <v>2411</v>
      </c>
      <c r="AI5" t="s">
        <v>2412</v>
      </c>
      <c r="AJ5" t="s">
        <v>2413</v>
      </c>
      <c r="AK5" t="s">
        <v>2414</v>
      </c>
      <c r="AL5" t="s">
        <v>2415</v>
      </c>
      <c r="AM5" t="s">
        <v>2416</v>
      </c>
      <c r="AN5" t="s">
        <v>2417</v>
      </c>
      <c r="AO5" t="s">
        <v>2418</v>
      </c>
      <c r="AP5" t="s">
        <v>2419</v>
      </c>
      <c r="AQ5" t="s">
        <v>2420</v>
      </c>
      <c r="AR5" t="s">
        <v>2421</v>
      </c>
      <c r="AS5" t="s">
        <v>2422</v>
      </c>
      <c r="AT5" t="s">
        <v>2423</v>
      </c>
      <c r="AU5" t="s">
        <v>2424</v>
      </c>
      <c r="AV5" t="s">
        <v>2425</v>
      </c>
      <c r="AW5" t="s">
        <v>2426</v>
      </c>
      <c r="AX5" t="s">
        <v>2427</v>
      </c>
      <c r="AY5" t="s">
        <v>2428</v>
      </c>
      <c r="AZ5" t="s">
        <v>2429</v>
      </c>
      <c r="BA5" t="s">
        <v>2430</v>
      </c>
      <c r="BB5" t="s">
        <v>2431</v>
      </c>
      <c r="BC5" t="s">
        <v>2686</v>
      </c>
      <c r="BD5" t="s">
        <v>2687</v>
      </c>
      <c r="BE5" t="s">
        <v>2432</v>
      </c>
      <c r="BF5" t="s">
        <v>2433</v>
      </c>
      <c r="BG5" t="s">
        <v>2434</v>
      </c>
      <c r="BH5" t="s">
        <v>2435</v>
      </c>
      <c r="BI5" t="s">
        <v>2436</v>
      </c>
      <c r="BJ5" t="s">
        <v>2437</v>
      </c>
    </row>
    <row r="6" spans="1:62" x14ac:dyDescent="0.2">
      <c r="A6" t="s">
        <v>2438</v>
      </c>
      <c r="B6" t="s">
        <v>2438</v>
      </c>
      <c r="C6">
        <v>100019803</v>
      </c>
      <c r="D6" t="s">
        <v>2447</v>
      </c>
      <c r="E6" t="s">
        <v>2439</v>
      </c>
      <c r="F6" t="s">
        <v>2452</v>
      </c>
      <c r="G6" t="s">
        <v>2453</v>
      </c>
      <c r="H6" s="23">
        <v>0.33333333333333331</v>
      </c>
      <c r="I6" t="s">
        <v>2688</v>
      </c>
      <c r="J6" t="s">
        <v>2448</v>
      </c>
      <c r="K6" t="s">
        <v>2454</v>
      </c>
      <c r="L6" t="s">
        <v>2438</v>
      </c>
      <c r="M6" t="s">
        <v>2440</v>
      </c>
      <c r="N6" s="6">
        <v>45993</v>
      </c>
      <c r="O6" t="s">
        <v>2457</v>
      </c>
      <c r="P6" t="s">
        <v>2445</v>
      </c>
      <c r="Q6" s="23">
        <v>0.26974537037037039</v>
      </c>
      <c r="R6" s="23">
        <v>0.62910879629629635</v>
      </c>
      <c r="S6">
        <v>25.75</v>
      </c>
      <c r="T6" t="s">
        <v>2443</v>
      </c>
      <c r="U6" t="s">
        <v>2450</v>
      </c>
      <c r="V6">
        <v>8.1199999999999992</v>
      </c>
      <c r="W6">
        <v>8</v>
      </c>
      <c r="X6">
        <v>0.12</v>
      </c>
      <c r="Y6" t="s">
        <v>2689</v>
      </c>
      <c r="Z6" t="s">
        <v>2689</v>
      </c>
      <c r="AA6" t="s">
        <v>2689</v>
      </c>
      <c r="AC6" t="s">
        <v>2689</v>
      </c>
      <c r="AD6" t="s">
        <v>2689</v>
      </c>
      <c r="AE6" t="s">
        <v>2689</v>
      </c>
      <c r="AF6" t="s">
        <v>2689</v>
      </c>
      <c r="AH6">
        <v>206</v>
      </c>
      <c r="AI6">
        <v>4.6399999999999997</v>
      </c>
      <c r="AJ6" t="s">
        <v>2690</v>
      </c>
      <c r="AK6" t="s">
        <v>2690</v>
      </c>
      <c r="AL6" t="s">
        <v>2690</v>
      </c>
      <c r="AP6">
        <v>210.64</v>
      </c>
      <c r="AR6" s="23">
        <v>0.26974537037037039</v>
      </c>
      <c r="AS6" s="23">
        <v>0.62910879629629635</v>
      </c>
      <c r="AT6" s="23">
        <v>0.26974537037037039</v>
      </c>
      <c r="AU6" t="s">
        <v>2689</v>
      </c>
      <c r="AV6" t="s">
        <v>2444</v>
      </c>
      <c r="AY6">
        <v>0.5</v>
      </c>
      <c r="AZ6" t="s">
        <v>2751</v>
      </c>
      <c r="BA6" t="s">
        <v>2752</v>
      </c>
      <c r="BD6" t="s">
        <v>2451</v>
      </c>
      <c r="BE6" t="s">
        <v>2448</v>
      </c>
      <c r="BF6" t="s">
        <v>2446</v>
      </c>
      <c r="BG6">
        <v>0</v>
      </c>
      <c r="BH6">
        <v>0</v>
      </c>
      <c r="BJ6">
        <v>0</v>
      </c>
    </row>
    <row r="7" spans="1:62" x14ac:dyDescent="0.2">
      <c r="A7" t="s">
        <v>2438</v>
      </c>
      <c r="B7" t="s">
        <v>2438</v>
      </c>
      <c r="C7">
        <v>100019803</v>
      </c>
      <c r="D7" t="s">
        <v>2447</v>
      </c>
      <c r="E7" t="s">
        <v>2439</v>
      </c>
      <c r="F7" t="s">
        <v>2452</v>
      </c>
      <c r="G7" t="s">
        <v>2453</v>
      </c>
      <c r="H7" s="23">
        <v>0.33333333333333331</v>
      </c>
      <c r="I7" t="s">
        <v>2688</v>
      </c>
      <c r="J7" t="s">
        <v>2448</v>
      </c>
      <c r="K7" t="s">
        <v>2454</v>
      </c>
      <c r="L7" t="s">
        <v>2438</v>
      </c>
      <c r="M7" t="s">
        <v>2440</v>
      </c>
      <c r="N7" s="6">
        <v>45994</v>
      </c>
      <c r="O7" t="s">
        <v>2458</v>
      </c>
      <c r="P7" t="s">
        <v>2445</v>
      </c>
      <c r="Q7" s="23">
        <v>0.25965277777777779</v>
      </c>
      <c r="R7" s="23">
        <v>0.60532407407407407</v>
      </c>
      <c r="S7">
        <v>25.75</v>
      </c>
      <c r="T7" t="s">
        <v>2443</v>
      </c>
      <c r="U7" t="s">
        <v>2450</v>
      </c>
      <c r="V7">
        <v>7.8</v>
      </c>
      <c r="W7">
        <v>7.8</v>
      </c>
      <c r="X7" t="s">
        <v>2689</v>
      </c>
      <c r="Y7" t="s">
        <v>2689</v>
      </c>
      <c r="Z7" t="s">
        <v>2689</v>
      </c>
      <c r="AA7" t="s">
        <v>2689</v>
      </c>
      <c r="AC7" t="s">
        <v>2689</v>
      </c>
      <c r="AD7" t="s">
        <v>2689</v>
      </c>
      <c r="AE7" t="s">
        <v>2689</v>
      </c>
      <c r="AF7" t="s">
        <v>2689</v>
      </c>
      <c r="AH7">
        <v>200.85</v>
      </c>
      <c r="AI7" t="s">
        <v>2690</v>
      </c>
      <c r="AJ7" t="s">
        <v>2690</v>
      </c>
      <c r="AK7" t="s">
        <v>2690</v>
      </c>
      <c r="AL7" t="s">
        <v>2690</v>
      </c>
      <c r="AP7">
        <v>200.85</v>
      </c>
      <c r="AR7" s="23">
        <v>0.25965277777777779</v>
      </c>
      <c r="AS7" s="23">
        <v>0.60532407407407407</v>
      </c>
      <c r="AT7" s="23">
        <v>0.25965277777777779</v>
      </c>
      <c r="AU7" t="s">
        <v>2689</v>
      </c>
      <c r="AV7" t="s">
        <v>2444</v>
      </c>
      <c r="AY7">
        <v>0.5</v>
      </c>
      <c r="AZ7" t="s">
        <v>2753</v>
      </c>
      <c r="BA7" t="s">
        <v>2754</v>
      </c>
      <c r="BD7" t="s">
        <v>2451</v>
      </c>
      <c r="BE7" t="s">
        <v>2448</v>
      </c>
      <c r="BG7">
        <v>0</v>
      </c>
      <c r="BH7">
        <v>0</v>
      </c>
      <c r="BJ7">
        <v>0</v>
      </c>
    </row>
    <row r="8" spans="1:62" x14ac:dyDescent="0.2">
      <c r="A8" t="s">
        <v>2438</v>
      </c>
      <c r="B8" t="s">
        <v>2438</v>
      </c>
      <c r="C8">
        <v>100019803</v>
      </c>
      <c r="D8" t="s">
        <v>2447</v>
      </c>
      <c r="E8" t="s">
        <v>2439</v>
      </c>
      <c r="F8" t="s">
        <v>2452</v>
      </c>
      <c r="G8" t="s">
        <v>2453</v>
      </c>
      <c r="H8" s="23">
        <v>0.33333333333333331</v>
      </c>
      <c r="I8" t="s">
        <v>2688</v>
      </c>
      <c r="J8" t="s">
        <v>2448</v>
      </c>
      <c r="K8" t="s">
        <v>2454</v>
      </c>
      <c r="L8" t="s">
        <v>2438</v>
      </c>
      <c r="M8" t="s">
        <v>2440</v>
      </c>
      <c r="N8" s="6">
        <v>45995</v>
      </c>
      <c r="O8" t="s">
        <v>2459</v>
      </c>
      <c r="P8" t="s">
        <v>2445</v>
      </c>
      <c r="Q8" s="23">
        <v>0.26013888888888886</v>
      </c>
      <c r="R8" s="23">
        <v>0.59525462962962961</v>
      </c>
      <c r="S8">
        <v>25.75</v>
      </c>
      <c r="T8" t="s">
        <v>2443</v>
      </c>
      <c r="U8" t="s">
        <v>2450</v>
      </c>
      <c r="V8">
        <v>7.31</v>
      </c>
      <c r="W8">
        <v>7.31</v>
      </c>
      <c r="X8" t="s">
        <v>2689</v>
      </c>
      <c r="Y8" t="s">
        <v>2689</v>
      </c>
      <c r="Z8" t="s">
        <v>2689</v>
      </c>
      <c r="AA8" t="s">
        <v>2689</v>
      </c>
      <c r="AC8" t="s">
        <v>2689</v>
      </c>
      <c r="AD8" t="s">
        <v>2689</v>
      </c>
      <c r="AE8" t="s">
        <v>2689</v>
      </c>
      <c r="AF8" t="s">
        <v>2689</v>
      </c>
      <c r="AH8">
        <v>188.23</v>
      </c>
      <c r="AI8" t="s">
        <v>2690</v>
      </c>
      <c r="AJ8" t="s">
        <v>2690</v>
      </c>
      <c r="AK8" t="s">
        <v>2690</v>
      </c>
      <c r="AL8" t="s">
        <v>2690</v>
      </c>
      <c r="AP8">
        <v>188.23</v>
      </c>
      <c r="AR8" s="23">
        <v>0.26013888888888886</v>
      </c>
      <c r="AS8" s="23">
        <v>0.59525462962962961</v>
      </c>
      <c r="AT8" s="23">
        <v>0.26013888888888886</v>
      </c>
      <c r="AU8" t="s">
        <v>2689</v>
      </c>
      <c r="AV8" t="s">
        <v>2444</v>
      </c>
      <c r="AY8">
        <v>0.73</v>
      </c>
      <c r="AZ8" t="s">
        <v>2755</v>
      </c>
      <c r="BA8" t="s">
        <v>2754</v>
      </c>
      <c r="BD8" t="s">
        <v>2451</v>
      </c>
      <c r="BE8" t="s">
        <v>2448</v>
      </c>
      <c r="BG8">
        <v>0</v>
      </c>
      <c r="BH8">
        <v>0</v>
      </c>
      <c r="BJ8">
        <v>0</v>
      </c>
    </row>
    <row r="9" spans="1:62" x14ac:dyDescent="0.2">
      <c r="A9" t="s">
        <v>2438</v>
      </c>
      <c r="B9" t="s">
        <v>2438</v>
      </c>
      <c r="C9">
        <v>100019803</v>
      </c>
      <c r="D9" t="s">
        <v>2447</v>
      </c>
      <c r="E9" t="s">
        <v>2439</v>
      </c>
      <c r="F9" t="s">
        <v>2452</v>
      </c>
      <c r="G9" t="s">
        <v>2453</v>
      </c>
      <c r="H9" s="23">
        <v>0.33333333333333331</v>
      </c>
      <c r="I9" t="s">
        <v>2688</v>
      </c>
      <c r="J9" t="s">
        <v>2448</v>
      </c>
      <c r="K9" t="s">
        <v>2454</v>
      </c>
      <c r="L9" t="s">
        <v>2438</v>
      </c>
      <c r="M9" t="s">
        <v>2440</v>
      </c>
      <c r="N9" s="6">
        <v>46000</v>
      </c>
      <c r="O9" t="s">
        <v>2457</v>
      </c>
      <c r="P9" t="s">
        <v>2445</v>
      </c>
      <c r="Q9" s="23">
        <v>0.28402777777777777</v>
      </c>
      <c r="R9" s="23">
        <v>0.6313657407407407</v>
      </c>
      <c r="S9">
        <v>25.75</v>
      </c>
      <c r="T9" t="s">
        <v>2443</v>
      </c>
      <c r="U9" t="s">
        <v>2450</v>
      </c>
      <c r="V9">
        <v>7.84</v>
      </c>
      <c r="W9">
        <v>7.84</v>
      </c>
      <c r="X9" t="s">
        <v>2689</v>
      </c>
      <c r="Y9" t="s">
        <v>2689</v>
      </c>
      <c r="Z9" t="s">
        <v>2689</v>
      </c>
      <c r="AA9" t="s">
        <v>2689</v>
      </c>
      <c r="AC9" t="s">
        <v>2689</v>
      </c>
      <c r="AD9" t="s">
        <v>2689</v>
      </c>
      <c r="AE9" t="s">
        <v>2689</v>
      </c>
      <c r="AF9" t="s">
        <v>2689</v>
      </c>
      <c r="AH9">
        <v>201.88</v>
      </c>
      <c r="AI9" t="s">
        <v>2690</v>
      </c>
      <c r="AJ9" t="s">
        <v>2690</v>
      </c>
      <c r="AK9" t="s">
        <v>2690</v>
      </c>
      <c r="AL9" t="s">
        <v>2690</v>
      </c>
      <c r="AP9">
        <v>201.88</v>
      </c>
      <c r="AR9" s="23">
        <v>0.28402777777777777</v>
      </c>
      <c r="AS9" s="23">
        <v>0.6313657407407407</v>
      </c>
      <c r="AT9" s="23">
        <v>0.28402777777777777</v>
      </c>
      <c r="AU9" t="s">
        <v>2689</v>
      </c>
      <c r="AV9" t="s">
        <v>2444</v>
      </c>
      <c r="AY9">
        <v>0.5</v>
      </c>
      <c r="AZ9" t="s">
        <v>2756</v>
      </c>
      <c r="BA9" t="s">
        <v>2757</v>
      </c>
      <c r="BD9" t="s">
        <v>2451</v>
      </c>
      <c r="BE9" t="s">
        <v>2448</v>
      </c>
      <c r="BG9">
        <v>0</v>
      </c>
      <c r="BH9">
        <v>0</v>
      </c>
      <c r="BJ9">
        <v>0</v>
      </c>
    </row>
    <row r="10" spans="1:62" x14ac:dyDescent="0.2">
      <c r="A10" t="s">
        <v>2438</v>
      </c>
      <c r="B10" t="s">
        <v>2438</v>
      </c>
      <c r="C10">
        <v>100019803</v>
      </c>
      <c r="D10" t="s">
        <v>2447</v>
      </c>
      <c r="E10" t="s">
        <v>2439</v>
      </c>
      <c r="F10" t="s">
        <v>2452</v>
      </c>
      <c r="G10" t="s">
        <v>2453</v>
      </c>
      <c r="H10" s="23">
        <v>0.33333333333333331</v>
      </c>
      <c r="I10" t="s">
        <v>2688</v>
      </c>
      <c r="J10" t="s">
        <v>2448</v>
      </c>
      <c r="K10" t="s">
        <v>2454</v>
      </c>
      <c r="L10" t="s">
        <v>2438</v>
      </c>
      <c r="M10" t="s">
        <v>2440</v>
      </c>
      <c r="N10" s="6">
        <v>46001</v>
      </c>
      <c r="O10" t="s">
        <v>2458</v>
      </c>
      <c r="P10" t="s">
        <v>2445</v>
      </c>
      <c r="Q10" s="23">
        <v>0.26954861111111111</v>
      </c>
      <c r="R10" s="23">
        <v>0.65673611111111108</v>
      </c>
      <c r="S10">
        <v>25.75</v>
      </c>
      <c r="T10" t="s">
        <v>2443</v>
      </c>
      <c r="U10" t="s">
        <v>2450</v>
      </c>
      <c r="V10">
        <v>8.66</v>
      </c>
      <c r="W10">
        <v>8</v>
      </c>
      <c r="X10">
        <v>0.66</v>
      </c>
      <c r="Y10" t="s">
        <v>2689</v>
      </c>
      <c r="Z10" t="s">
        <v>2689</v>
      </c>
      <c r="AA10" t="s">
        <v>2689</v>
      </c>
      <c r="AC10" t="s">
        <v>2689</v>
      </c>
      <c r="AD10" t="s">
        <v>2689</v>
      </c>
      <c r="AE10" t="s">
        <v>2689</v>
      </c>
      <c r="AF10" t="s">
        <v>2689</v>
      </c>
      <c r="AH10">
        <v>206</v>
      </c>
      <c r="AI10">
        <v>25.49</v>
      </c>
      <c r="AJ10" t="s">
        <v>2690</v>
      </c>
      <c r="AK10" t="s">
        <v>2690</v>
      </c>
      <c r="AL10" t="s">
        <v>2690</v>
      </c>
      <c r="AP10">
        <v>231.49</v>
      </c>
      <c r="AR10" s="23">
        <v>0.26954861111111111</v>
      </c>
      <c r="AS10" s="23">
        <v>0.65673611111111108</v>
      </c>
      <c r="AT10" s="23">
        <v>0.26954861111111111</v>
      </c>
      <c r="AU10" t="s">
        <v>2689</v>
      </c>
      <c r="AV10" t="s">
        <v>2444</v>
      </c>
      <c r="AY10">
        <v>0.63</v>
      </c>
      <c r="AZ10" t="s">
        <v>2758</v>
      </c>
      <c r="BA10" t="s">
        <v>2759</v>
      </c>
      <c r="BD10" t="s">
        <v>2451</v>
      </c>
      <c r="BE10" t="s">
        <v>2448</v>
      </c>
      <c r="BG10">
        <v>0</v>
      </c>
      <c r="BH10">
        <v>0</v>
      </c>
      <c r="BJ10">
        <v>0</v>
      </c>
    </row>
    <row r="11" spans="1:62" x14ac:dyDescent="0.2">
      <c r="A11" t="s">
        <v>2438</v>
      </c>
      <c r="B11" t="s">
        <v>2438</v>
      </c>
      <c r="C11">
        <v>100019803</v>
      </c>
      <c r="D11" t="s">
        <v>2447</v>
      </c>
      <c r="E11" t="s">
        <v>2439</v>
      </c>
      <c r="F11" t="s">
        <v>2452</v>
      </c>
      <c r="G11" t="s">
        <v>2453</v>
      </c>
      <c r="H11" s="23">
        <v>0.33333333333333331</v>
      </c>
      <c r="I11" t="s">
        <v>2688</v>
      </c>
      <c r="J11" t="s">
        <v>2448</v>
      </c>
      <c r="K11" t="s">
        <v>2454</v>
      </c>
      <c r="L11" t="s">
        <v>2438</v>
      </c>
      <c r="M11" t="s">
        <v>2440</v>
      </c>
      <c r="N11" s="6">
        <v>46002</v>
      </c>
      <c r="O11" t="s">
        <v>2459</v>
      </c>
      <c r="P11" t="s">
        <v>2445</v>
      </c>
      <c r="Q11" s="23">
        <v>0.625</v>
      </c>
      <c r="R11" s="23">
        <v>0.99032407407407408</v>
      </c>
      <c r="S11">
        <v>25.75</v>
      </c>
      <c r="T11" t="s">
        <v>2443</v>
      </c>
      <c r="U11" t="s">
        <v>2450</v>
      </c>
      <c r="V11">
        <v>8.27</v>
      </c>
      <c r="W11">
        <v>8</v>
      </c>
      <c r="X11">
        <v>0.27</v>
      </c>
      <c r="Y11" t="s">
        <v>2689</v>
      </c>
      <c r="Z11" t="s">
        <v>2689</v>
      </c>
      <c r="AA11" t="s">
        <v>2689</v>
      </c>
      <c r="AC11" t="s">
        <v>2689</v>
      </c>
      <c r="AD11" t="s">
        <v>2689</v>
      </c>
      <c r="AE11" t="s">
        <v>2689</v>
      </c>
      <c r="AF11" t="s">
        <v>2689</v>
      </c>
      <c r="AH11">
        <v>206</v>
      </c>
      <c r="AI11">
        <v>10.43</v>
      </c>
      <c r="AJ11" t="s">
        <v>2690</v>
      </c>
      <c r="AK11" t="s">
        <v>2690</v>
      </c>
      <c r="AL11" t="s">
        <v>2690</v>
      </c>
      <c r="AP11">
        <v>216.43</v>
      </c>
      <c r="AR11" s="23">
        <v>0.63314814814814813</v>
      </c>
      <c r="AS11" s="23">
        <v>0.99032407407407408</v>
      </c>
      <c r="AT11" s="23">
        <v>0.63314814814814813</v>
      </c>
      <c r="AU11" t="s">
        <v>2689</v>
      </c>
      <c r="AV11" t="s">
        <v>2444</v>
      </c>
      <c r="AY11">
        <v>0.5</v>
      </c>
      <c r="BA11" t="s">
        <v>2759</v>
      </c>
      <c r="BD11" t="s">
        <v>2451</v>
      </c>
      <c r="BE11" t="s">
        <v>2448</v>
      </c>
      <c r="BF11" t="s">
        <v>2760</v>
      </c>
      <c r="BG11">
        <v>0</v>
      </c>
      <c r="BH11">
        <v>0</v>
      </c>
      <c r="BJ11">
        <v>0</v>
      </c>
    </row>
    <row r="12" spans="1:62" x14ac:dyDescent="0.2">
      <c r="A12" t="s">
        <v>2438</v>
      </c>
      <c r="B12" t="s">
        <v>2438</v>
      </c>
      <c r="C12">
        <v>100019803</v>
      </c>
      <c r="D12" t="s">
        <v>2447</v>
      </c>
      <c r="E12" t="s">
        <v>2439</v>
      </c>
      <c r="F12" t="s">
        <v>2452</v>
      </c>
      <c r="G12" t="s">
        <v>2453</v>
      </c>
      <c r="H12" s="23">
        <v>0.33333333333333331</v>
      </c>
      <c r="I12" t="s">
        <v>2688</v>
      </c>
      <c r="J12" t="s">
        <v>2448</v>
      </c>
      <c r="K12" t="s">
        <v>2454</v>
      </c>
      <c r="L12" t="s">
        <v>2438</v>
      </c>
      <c r="M12" t="s">
        <v>2440</v>
      </c>
      <c r="N12" s="6">
        <v>46003</v>
      </c>
      <c r="O12" t="s">
        <v>2449</v>
      </c>
      <c r="P12" t="s">
        <v>2445</v>
      </c>
      <c r="Q12" s="23">
        <v>0.33333333333333331</v>
      </c>
      <c r="R12" s="23">
        <v>0.375</v>
      </c>
      <c r="S12">
        <v>25.75</v>
      </c>
      <c r="T12" t="s">
        <v>2443</v>
      </c>
      <c r="U12" t="s">
        <v>2450</v>
      </c>
      <c r="V12">
        <v>1</v>
      </c>
      <c r="W12">
        <v>1</v>
      </c>
      <c r="X12" t="s">
        <v>2689</v>
      </c>
      <c r="Y12" t="s">
        <v>2689</v>
      </c>
      <c r="Z12" t="s">
        <v>2689</v>
      </c>
      <c r="AA12" t="s">
        <v>2689</v>
      </c>
      <c r="AC12" t="s">
        <v>2689</v>
      </c>
      <c r="AD12" t="s">
        <v>2689</v>
      </c>
      <c r="AE12" t="s">
        <v>2689</v>
      </c>
      <c r="AF12" t="s">
        <v>2689</v>
      </c>
      <c r="AH12">
        <v>25.75</v>
      </c>
      <c r="AI12" t="s">
        <v>2690</v>
      </c>
      <c r="AJ12" t="s">
        <v>2690</v>
      </c>
      <c r="AK12" t="s">
        <v>2690</v>
      </c>
      <c r="AL12" t="s">
        <v>2690</v>
      </c>
      <c r="AP12">
        <v>25.75</v>
      </c>
      <c r="AU12" t="s">
        <v>2689</v>
      </c>
      <c r="AV12" t="s">
        <v>2444</v>
      </c>
      <c r="BA12" t="s">
        <v>2761</v>
      </c>
      <c r="BD12" t="s">
        <v>2451</v>
      </c>
      <c r="BE12" t="s">
        <v>2448</v>
      </c>
      <c r="BF12" t="s">
        <v>2762</v>
      </c>
      <c r="BG12">
        <v>0</v>
      </c>
      <c r="BH12">
        <v>0</v>
      </c>
      <c r="BJ12">
        <v>0</v>
      </c>
    </row>
    <row r="13" spans="1:62" x14ac:dyDescent="0.2">
      <c r="A13" t="s">
        <v>2438</v>
      </c>
      <c r="B13" t="s">
        <v>2438</v>
      </c>
      <c r="C13">
        <v>100019803</v>
      </c>
      <c r="D13" t="s">
        <v>2447</v>
      </c>
      <c r="E13" t="s">
        <v>2439</v>
      </c>
      <c r="F13" t="s">
        <v>2452</v>
      </c>
      <c r="G13" t="s">
        <v>2453</v>
      </c>
      <c r="H13" s="23">
        <v>0.33333333333333331</v>
      </c>
      <c r="I13" t="s">
        <v>2688</v>
      </c>
      <c r="J13" t="s">
        <v>2448</v>
      </c>
      <c r="K13" t="s">
        <v>2454</v>
      </c>
      <c r="L13" t="s">
        <v>2438</v>
      </c>
      <c r="M13" t="s">
        <v>2440</v>
      </c>
      <c r="N13" s="6">
        <v>46007</v>
      </c>
      <c r="O13" t="s">
        <v>2457</v>
      </c>
      <c r="P13" t="s">
        <v>2445</v>
      </c>
      <c r="Q13" s="23">
        <v>0.32627314814814817</v>
      </c>
      <c r="R13" s="23">
        <v>0.66900462962962959</v>
      </c>
      <c r="S13">
        <v>25.75</v>
      </c>
      <c r="T13" t="s">
        <v>2443</v>
      </c>
      <c r="U13" t="s">
        <v>2450</v>
      </c>
      <c r="V13">
        <v>7.73</v>
      </c>
      <c r="W13">
        <v>7.73</v>
      </c>
      <c r="X13" t="s">
        <v>2689</v>
      </c>
      <c r="Y13" t="s">
        <v>2689</v>
      </c>
      <c r="Z13" t="s">
        <v>2689</v>
      </c>
      <c r="AA13" t="s">
        <v>2689</v>
      </c>
      <c r="AC13" t="s">
        <v>2689</v>
      </c>
      <c r="AD13" t="s">
        <v>2689</v>
      </c>
      <c r="AE13" t="s">
        <v>2689</v>
      </c>
      <c r="AF13" t="s">
        <v>2689</v>
      </c>
      <c r="AH13">
        <v>199.05</v>
      </c>
      <c r="AI13" t="s">
        <v>2690</v>
      </c>
      <c r="AJ13" t="s">
        <v>2690</v>
      </c>
      <c r="AK13" t="s">
        <v>2690</v>
      </c>
      <c r="AL13" t="s">
        <v>2690</v>
      </c>
      <c r="AP13">
        <v>199.05</v>
      </c>
      <c r="AR13" s="23">
        <v>0.32627314814814817</v>
      </c>
      <c r="AS13" s="23">
        <v>0.66900462962962959</v>
      </c>
      <c r="AT13" s="23">
        <v>0.32627314814814817</v>
      </c>
      <c r="AU13" t="s">
        <v>2689</v>
      </c>
      <c r="AV13" t="s">
        <v>2444</v>
      </c>
      <c r="AY13">
        <v>0.5</v>
      </c>
      <c r="AZ13" t="s">
        <v>2763</v>
      </c>
      <c r="BA13" t="s">
        <v>2761</v>
      </c>
      <c r="BD13" t="s">
        <v>2451</v>
      </c>
      <c r="BE13" t="s">
        <v>2448</v>
      </c>
      <c r="BF13" t="s">
        <v>2446</v>
      </c>
      <c r="BG13">
        <v>0</v>
      </c>
      <c r="BH13">
        <v>0</v>
      </c>
      <c r="BJ13">
        <v>0</v>
      </c>
    </row>
    <row r="14" spans="1:62" x14ac:dyDescent="0.2">
      <c r="A14" t="s">
        <v>2438</v>
      </c>
      <c r="B14" t="s">
        <v>2438</v>
      </c>
      <c r="C14">
        <v>100019803</v>
      </c>
      <c r="D14" t="s">
        <v>2447</v>
      </c>
      <c r="E14" t="s">
        <v>2439</v>
      </c>
      <c r="F14" t="s">
        <v>2452</v>
      </c>
      <c r="G14" t="s">
        <v>2453</v>
      </c>
      <c r="H14" s="23">
        <v>0.33333333333333331</v>
      </c>
      <c r="I14" t="s">
        <v>2688</v>
      </c>
      <c r="J14" t="s">
        <v>2448</v>
      </c>
      <c r="K14" t="s">
        <v>2454</v>
      </c>
      <c r="L14" t="s">
        <v>2438</v>
      </c>
      <c r="M14" t="s">
        <v>2440</v>
      </c>
      <c r="N14" s="6">
        <v>46008</v>
      </c>
      <c r="O14" t="s">
        <v>2458</v>
      </c>
      <c r="P14" t="s">
        <v>2445</v>
      </c>
      <c r="Q14" s="23">
        <v>0.30666666666666664</v>
      </c>
      <c r="R14" s="23">
        <v>0.67686342592592597</v>
      </c>
      <c r="S14">
        <v>25.75</v>
      </c>
      <c r="T14" t="s">
        <v>2443</v>
      </c>
      <c r="U14" t="s">
        <v>2450</v>
      </c>
      <c r="V14">
        <v>8.3800000000000008</v>
      </c>
      <c r="W14">
        <v>8</v>
      </c>
      <c r="X14">
        <v>0.38</v>
      </c>
      <c r="Y14" t="s">
        <v>2689</v>
      </c>
      <c r="Z14" t="s">
        <v>2689</v>
      </c>
      <c r="AA14" t="s">
        <v>2689</v>
      </c>
      <c r="AC14" t="s">
        <v>2689</v>
      </c>
      <c r="AD14" t="s">
        <v>2689</v>
      </c>
      <c r="AE14" t="s">
        <v>2689</v>
      </c>
      <c r="AF14" t="s">
        <v>2689</v>
      </c>
      <c r="AH14">
        <v>206</v>
      </c>
      <c r="AI14">
        <v>14.68</v>
      </c>
      <c r="AJ14" t="s">
        <v>2690</v>
      </c>
      <c r="AK14" t="s">
        <v>2690</v>
      </c>
      <c r="AL14" t="s">
        <v>2690</v>
      </c>
      <c r="AP14">
        <v>220.68</v>
      </c>
      <c r="AR14" s="23">
        <v>0.30666666666666664</v>
      </c>
      <c r="AS14" s="23">
        <v>0.67686342592592597</v>
      </c>
      <c r="AT14" s="23">
        <v>0.30666666666666664</v>
      </c>
      <c r="AU14" t="s">
        <v>2689</v>
      </c>
      <c r="AV14" t="s">
        <v>2444</v>
      </c>
      <c r="AY14">
        <v>0.5</v>
      </c>
      <c r="AZ14" t="s">
        <v>2764</v>
      </c>
      <c r="BA14" t="s">
        <v>2765</v>
      </c>
      <c r="BD14" t="s">
        <v>2451</v>
      </c>
      <c r="BE14" t="s">
        <v>2448</v>
      </c>
      <c r="BG14">
        <v>0</v>
      </c>
      <c r="BH14">
        <v>0</v>
      </c>
      <c r="BJ14">
        <v>0</v>
      </c>
    </row>
    <row r="15" spans="1:62" x14ac:dyDescent="0.2">
      <c r="A15" t="s">
        <v>2438</v>
      </c>
      <c r="B15" t="s">
        <v>2438</v>
      </c>
      <c r="C15">
        <v>100019803</v>
      </c>
      <c r="D15" t="s">
        <v>2447</v>
      </c>
      <c r="E15" t="s">
        <v>2439</v>
      </c>
      <c r="F15" t="s">
        <v>2452</v>
      </c>
      <c r="G15" t="s">
        <v>2453</v>
      </c>
      <c r="H15" s="23">
        <v>0.33333333333333331</v>
      </c>
      <c r="I15" t="s">
        <v>2688</v>
      </c>
      <c r="J15" t="s">
        <v>2448</v>
      </c>
      <c r="K15" t="s">
        <v>2454</v>
      </c>
      <c r="L15" t="s">
        <v>2438</v>
      </c>
      <c r="M15" t="s">
        <v>2440</v>
      </c>
      <c r="N15" s="6">
        <v>46009</v>
      </c>
      <c r="O15" t="s">
        <v>2459</v>
      </c>
      <c r="P15" t="s">
        <v>2445</v>
      </c>
      <c r="Q15" s="23">
        <v>0.29944444444444446</v>
      </c>
      <c r="R15" s="23">
        <v>0.65347222222222223</v>
      </c>
      <c r="S15">
        <v>25.75</v>
      </c>
      <c r="T15" t="s">
        <v>2443</v>
      </c>
      <c r="U15" t="s">
        <v>2450</v>
      </c>
      <c r="V15">
        <v>8</v>
      </c>
      <c r="W15">
        <v>8</v>
      </c>
      <c r="X15" t="s">
        <v>2689</v>
      </c>
      <c r="Y15" t="s">
        <v>2689</v>
      </c>
      <c r="Z15" t="s">
        <v>2689</v>
      </c>
      <c r="AA15" t="s">
        <v>2689</v>
      </c>
      <c r="AC15" t="s">
        <v>2689</v>
      </c>
      <c r="AD15" t="s">
        <v>2689</v>
      </c>
      <c r="AE15" t="s">
        <v>2689</v>
      </c>
      <c r="AF15" t="s">
        <v>2689</v>
      </c>
      <c r="AH15">
        <v>206</v>
      </c>
      <c r="AI15" t="s">
        <v>2690</v>
      </c>
      <c r="AJ15" t="s">
        <v>2690</v>
      </c>
      <c r="AK15" t="s">
        <v>2690</v>
      </c>
      <c r="AL15" t="s">
        <v>2690</v>
      </c>
      <c r="AP15">
        <v>206</v>
      </c>
      <c r="AR15" s="23">
        <v>0.29944444444444446</v>
      </c>
      <c r="AT15" s="23">
        <v>0.29944444444444446</v>
      </c>
      <c r="AU15" t="s">
        <v>2689</v>
      </c>
      <c r="AV15" t="s">
        <v>2444</v>
      </c>
      <c r="AY15">
        <v>0.5</v>
      </c>
      <c r="AZ15" t="s">
        <v>2766</v>
      </c>
      <c r="BA15" t="s">
        <v>2765</v>
      </c>
      <c r="BD15" t="s">
        <v>2451</v>
      </c>
      <c r="BE15" t="s">
        <v>2448</v>
      </c>
      <c r="BF15" t="s">
        <v>2460</v>
      </c>
      <c r="BG15">
        <v>0</v>
      </c>
      <c r="BH15">
        <v>0</v>
      </c>
      <c r="BJ15">
        <v>0</v>
      </c>
    </row>
    <row r="16" spans="1:62" x14ac:dyDescent="0.2">
      <c r="A16" t="s">
        <v>2469</v>
      </c>
      <c r="B16" t="s">
        <v>2469</v>
      </c>
      <c r="C16">
        <v>100029715</v>
      </c>
      <c r="D16" t="s">
        <v>2475</v>
      </c>
      <c r="E16" t="s">
        <v>2439</v>
      </c>
      <c r="F16" t="s">
        <v>2452</v>
      </c>
      <c r="G16" t="s">
        <v>2453</v>
      </c>
      <c r="H16" s="23">
        <v>0.33333333333333331</v>
      </c>
      <c r="I16" t="s">
        <v>2688</v>
      </c>
      <c r="J16" t="s">
        <v>2767</v>
      </c>
      <c r="K16" t="s">
        <v>2768</v>
      </c>
      <c r="L16" t="s">
        <v>2469</v>
      </c>
      <c r="M16" t="s">
        <v>2476</v>
      </c>
      <c r="N16" s="6">
        <v>46006</v>
      </c>
      <c r="O16" t="s">
        <v>2455</v>
      </c>
      <c r="P16" t="s">
        <v>2445</v>
      </c>
      <c r="Q16" s="23">
        <v>0.42539351851851853</v>
      </c>
      <c r="R16" s="23">
        <v>0.65424768518518517</v>
      </c>
      <c r="S16">
        <v>17.87</v>
      </c>
      <c r="T16">
        <v>1</v>
      </c>
      <c r="U16" t="s">
        <v>2472</v>
      </c>
      <c r="V16">
        <v>5.49</v>
      </c>
      <c r="W16">
        <v>5.49</v>
      </c>
      <c r="X16" t="s">
        <v>2689</v>
      </c>
      <c r="Y16" t="s">
        <v>2689</v>
      </c>
      <c r="Z16" t="s">
        <v>2689</v>
      </c>
      <c r="AA16" t="s">
        <v>2689</v>
      </c>
      <c r="AC16" t="s">
        <v>2689</v>
      </c>
      <c r="AD16" t="s">
        <v>2689</v>
      </c>
      <c r="AE16" t="s">
        <v>2689</v>
      </c>
      <c r="AF16" t="s">
        <v>2689</v>
      </c>
      <c r="AH16">
        <v>98.11</v>
      </c>
      <c r="AI16" t="s">
        <v>2690</v>
      </c>
      <c r="AJ16" t="s">
        <v>2690</v>
      </c>
      <c r="AK16" t="s">
        <v>2690</v>
      </c>
      <c r="AL16" t="s">
        <v>2690</v>
      </c>
      <c r="AP16">
        <v>98.11</v>
      </c>
      <c r="AQ16" t="s">
        <v>2442</v>
      </c>
      <c r="AR16" s="23">
        <v>0.42539351851851853</v>
      </c>
      <c r="AS16" s="23">
        <v>0.65424768518518517</v>
      </c>
      <c r="AT16" s="23">
        <v>0.41666666666666669</v>
      </c>
      <c r="AU16" s="23">
        <v>0.625</v>
      </c>
      <c r="AV16" t="s">
        <v>2654</v>
      </c>
      <c r="BA16" t="s">
        <v>2769</v>
      </c>
      <c r="BD16" t="s">
        <v>2473</v>
      </c>
      <c r="BE16" t="s">
        <v>2474</v>
      </c>
      <c r="BG16">
        <v>0</v>
      </c>
      <c r="BH16">
        <v>0</v>
      </c>
      <c r="BJ16">
        <v>0</v>
      </c>
    </row>
    <row r="17" spans="1:62" x14ac:dyDescent="0.2">
      <c r="A17" t="s">
        <v>2469</v>
      </c>
      <c r="B17" t="s">
        <v>2469</v>
      </c>
      <c r="C17">
        <v>100029715</v>
      </c>
      <c r="D17" t="s">
        <v>2475</v>
      </c>
      <c r="E17" t="s">
        <v>2439</v>
      </c>
      <c r="F17" t="s">
        <v>2452</v>
      </c>
      <c r="G17" t="s">
        <v>2453</v>
      </c>
      <c r="H17" s="23">
        <v>0.33333333333333331</v>
      </c>
      <c r="I17" t="s">
        <v>2688</v>
      </c>
      <c r="J17" t="s">
        <v>2767</v>
      </c>
      <c r="K17" t="s">
        <v>2770</v>
      </c>
      <c r="L17" t="s">
        <v>2469</v>
      </c>
      <c r="M17" t="s">
        <v>2476</v>
      </c>
      <c r="N17" s="6">
        <v>46008</v>
      </c>
      <c r="O17" t="s">
        <v>2458</v>
      </c>
      <c r="P17" t="s">
        <v>2445</v>
      </c>
      <c r="Q17" s="23">
        <v>0.42304398148148148</v>
      </c>
      <c r="R17" s="23">
        <v>0.65652777777777782</v>
      </c>
      <c r="S17">
        <v>17.87</v>
      </c>
      <c r="T17">
        <v>1</v>
      </c>
      <c r="U17" t="s">
        <v>2472</v>
      </c>
      <c r="V17">
        <v>5.6</v>
      </c>
      <c r="W17">
        <v>5.6</v>
      </c>
      <c r="X17" t="s">
        <v>2689</v>
      </c>
      <c r="Y17" t="s">
        <v>2689</v>
      </c>
      <c r="Z17" t="s">
        <v>2689</v>
      </c>
      <c r="AA17" t="s">
        <v>2689</v>
      </c>
      <c r="AC17" t="s">
        <v>2689</v>
      </c>
      <c r="AD17" t="s">
        <v>2689</v>
      </c>
      <c r="AE17" t="s">
        <v>2689</v>
      </c>
      <c r="AF17" t="s">
        <v>2689</v>
      </c>
      <c r="AH17">
        <v>100.07</v>
      </c>
      <c r="AI17" t="s">
        <v>2690</v>
      </c>
      <c r="AJ17" t="s">
        <v>2690</v>
      </c>
      <c r="AK17" t="s">
        <v>2690</v>
      </c>
      <c r="AL17" t="s">
        <v>2690</v>
      </c>
      <c r="AP17">
        <v>100.07</v>
      </c>
      <c r="AR17" s="23">
        <v>0.42304398148148148</v>
      </c>
      <c r="AS17" s="23">
        <v>0.65652777777777782</v>
      </c>
      <c r="AT17" s="23">
        <v>0.41666666666666669</v>
      </c>
      <c r="AU17" s="23">
        <v>0.58333333333333337</v>
      </c>
      <c r="AV17" t="s">
        <v>2654</v>
      </c>
      <c r="BA17" t="s">
        <v>2771</v>
      </c>
      <c r="BD17" t="s">
        <v>2473</v>
      </c>
      <c r="BE17" t="s">
        <v>2474</v>
      </c>
      <c r="BG17">
        <v>0</v>
      </c>
      <c r="BH17">
        <v>0</v>
      </c>
      <c r="BJ17">
        <v>0</v>
      </c>
    </row>
    <row r="18" spans="1:62" x14ac:dyDescent="0.2">
      <c r="A18" t="s">
        <v>2469</v>
      </c>
      <c r="B18" t="s">
        <v>2469</v>
      </c>
      <c r="C18">
        <v>100036211</v>
      </c>
      <c r="D18" t="s">
        <v>2708</v>
      </c>
      <c r="E18" t="s">
        <v>2439</v>
      </c>
      <c r="F18" t="s">
        <v>2452</v>
      </c>
      <c r="G18" t="s">
        <v>2453</v>
      </c>
      <c r="H18" s="23">
        <v>0.33333333333333331</v>
      </c>
      <c r="I18" t="s">
        <v>2688</v>
      </c>
      <c r="J18" t="s">
        <v>2772</v>
      </c>
      <c r="K18" t="s">
        <v>2773</v>
      </c>
      <c r="L18" t="s">
        <v>2469</v>
      </c>
      <c r="M18" t="s">
        <v>2774</v>
      </c>
      <c r="N18" s="6">
        <v>46000</v>
      </c>
      <c r="O18" t="s">
        <v>2457</v>
      </c>
      <c r="P18" t="s">
        <v>2445</v>
      </c>
      <c r="Q18" s="23">
        <v>0.38695601851851852</v>
      </c>
      <c r="R18" s="23">
        <v>0.5745717592592593</v>
      </c>
      <c r="S18">
        <v>18.25</v>
      </c>
      <c r="T18">
        <v>1</v>
      </c>
      <c r="U18" t="s">
        <v>2470</v>
      </c>
      <c r="V18">
        <v>4</v>
      </c>
      <c r="W18">
        <v>4</v>
      </c>
      <c r="X18" t="s">
        <v>2689</v>
      </c>
      <c r="Y18" t="s">
        <v>2689</v>
      </c>
      <c r="Z18" t="s">
        <v>2689</v>
      </c>
      <c r="AA18" t="s">
        <v>2689</v>
      </c>
      <c r="AC18" t="s">
        <v>2689</v>
      </c>
      <c r="AD18" t="s">
        <v>2689</v>
      </c>
      <c r="AE18" t="s">
        <v>2689</v>
      </c>
      <c r="AF18" t="s">
        <v>2689</v>
      </c>
      <c r="AH18">
        <v>73</v>
      </c>
      <c r="AI18" t="s">
        <v>2690</v>
      </c>
      <c r="AJ18" t="s">
        <v>2690</v>
      </c>
      <c r="AK18" t="s">
        <v>2690</v>
      </c>
      <c r="AL18" t="s">
        <v>2690</v>
      </c>
      <c r="AP18">
        <v>73</v>
      </c>
      <c r="AQ18" t="s">
        <v>2442</v>
      </c>
      <c r="AR18" s="23">
        <v>0.38695601851851852</v>
      </c>
      <c r="AS18" s="23">
        <v>0.5697106481481482</v>
      </c>
      <c r="AT18" s="23">
        <v>0.375</v>
      </c>
      <c r="AU18" s="23">
        <v>0.58333333333333337</v>
      </c>
      <c r="AV18" t="s">
        <v>2654</v>
      </c>
      <c r="AY18">
        <v>0.5</v>
      </c>
      <c r="AZ18" t="s">
        <v>2775</v>
      </c>
      <c r="BA18" t="s">
        <v>2757</v>
      </c>
      <c r="BD18" t="s">
        <v>2473</v>
      </c>
      <c r="BE18" t="s">
        <v>2474</v>
      </c>
      <c r="BG18">
        <v>0</v>
      </c>
      <c r="BH18">
        <v>0</v>
      </c>
      <c r="BJ18">
        <v>0</v>
      </c>
    </row>
    <row r="19" spans="1:62" x14ac:dyDescent="0.2">
      <c r="A19" t="s">
        <v>2469</v>
      </c>
      <c r="B19" t="s">
        <v>2469</v>
      </c>
      <c r="C19">
        <v>100036211</v>
      </c>
      <c r="D19" t="s">
        <v>2708</v>
      </c>
      <c r="E19" t="s">
        <v>2439</v>
      </c>
      <c r="F19" t="s">
        <v>2452</v>
      </c>
      <c r="G19" t="s">
        <v>2453</v>
      </c>
      <c r="H19" s="23">
        <v>0.33333333333333331</v>
      </c>
      <c r="I19" t="s">
        <v>2688</v>
      </c>
      <c r="J19" t="s">
        <v>2767</v>
      </c>
      <c r="K19" t="s">
        <v>2776</v>
      </c>
      <c r="L19" t="s">
        <v>2469</v>
      </c>
      <c r="M19" t="s">
        <v>2476</v>
      </c>
      <c r="N19" s="6">
        <v>46006</v>
      </c>
      <c r="O19" t="s">
        <v>2455</v>
      </c>
      <c r="P19" t="s">
        <v>2445</v>
      </c>
      <c r="Q19" s="23">
        <v>0.41969907407407409</v>
      </c>
      <c r="R19" s="23">
        <v>0.65401620370370372</v>
      </c>
      <c r="S19">
        <v>18.25</v>
      </c>
      <c r="T19">
        <v>1</v>
      </c>
      <c r="U19" t="s">
        <v>2470</v>
      </c>
      <c r="V19">
        <v>5.62</v>
      </c>
      <c r="W19">
        <v>5.62</v>
      </c>
      <c r="X19" t="s">
        <v>2689</v>
      </c>
      <c r="Y19" t="s">
        <v>2689</v>
      </c>
      <c r="Z19" t="s">
        <v>2689</v>
      </c>
      <c r="AA19" t="s">
        <v>2689</v>
      </c>
      <c r="AC19" t="s">
        <v>2689</v>
      </c>
      <c r="AD19" t="s">
        <v>2689</v>
      </c>
      <c r="AE19" t="s">
        <v>2689</v>
      </c>
      <c r="AF19" t="s">
        <v>2689</v>
      </c>
      <c r="AH19">
        <v>102.57</v>
      </c>
      <c r="AI19" t="s">
        <v>2690</v>
      </c>
      <c r="AJ19" t="s">
        <v>2690</v>
      </c>
      <c r="AK19" t="s">
        <v>2690</v>
      </c>
      <c r="AL19" t="s">
        <v>2690</v>
      </c>
      <c r="AP19">
        <v>102.57</v>
      </c>
      <c r="AR19" s="23">
        <v>0.41969907407407409</v>
      </c>
      <c r="AS19" s="23">
        <v>0.65401620370370372</v>
      </c>
      <c r="AT19" s="23">
        <v>0.41666666666666669</v>
      </c>
      <c r="AU19" s="23">
        <v>0.625</v>
      </c>
      <c r="AV19" t="s">
        <v>2654</v>
      </c>
      <c r="BA19" t="s">
        <v>2769</v>
      </c>
      <c r="BD19" t="s">
        <v>2473</v>
      </c>
      <c r="BE19" t="s">
        <v>2474</v>
      </c>
      <c r="BG19">
        <v>0</v>
      </c>
      <c r="BH19">
        <v>0</v>
      </c>
      <c r="BJ19">
        <v>0</v>
      </c>
    </row>
    <row r="20" spans="1:62" x14ac:dyDescent="0.2">
      <c r="A20" t="s">
        <v>2469</v>
      </c>
      <c r="B20" t="s">
        <v>2469</v>
      </c>
      <c r="C20">
        <v>100036211</v>
      </c>
      <c r="D20" t="s">
        <v>2708</v>
      </c>
      <c r="E20" t="s">
        <v>2439</v>
      </c>
      <c r="F20" t="s">
        <v>2452</v>
      </c>
      <c r="G20" t="s">
        <v>2453</v>
      </c>
      <c r="H20" s="23">
        <v>0.33333333333333331</v>
      </c>
      <c r="I20" t="s">
        <v>2688</v>
      </c>
      <c r="J20" t="s">
        <v>2767</v>
      </c>
      <c r="K20" t="s">
        <v>2777</v>
      </c>
      <c r="L20" t="s">
        <v>2469</v>
      </c>
      <c r="M20" t="s">
        <v>2476</v>
      </c>
      <c r="N20" s="6">
        <v>46007</v>
      </c>
      <c r="O20" t="s">
        <v>2457</v>
      </c>
      <c r="P20" t="s">
        <v>2445</v>
      </c>
      <c r="Q20" s="23">
        <v>0.42508101851851854</v>
      </c>
      <c r="R20" s="23">
        <v>0.63437500000000002</v>
      </c>
      <c r="S20">
        <v>18.25</v>
      </c>
      <c r="T20">
        <v>1</v>
      </c>
      <c r="U20" t="s">
        <v>2470</v>
      </c>
      <c r="V20">
        <v>5.0199999999999996</v>
      </c>
      <c r="W20">
        <v>5.0199999999999996</v>
      </c>
      <c r="X20" t="s">
        <v>2689</v>
      </c>
      <c r="Y20" t="s">
        <v>2689</v>
      </c>
      <c r="Z20" t="s">
        <v>2689</v>
      </c>
      <c r="AA20" t="s">
        <v>2689</v>
      </c>
      <c r="AC20" t="s">
        <v>2689</v>
      </c>
      <c r="AD20" t="s">
        <v>2689</v>
      </c>
      <c r="AE20" t="s">
        <v>2689</v>
      </c>
      <c r="AF20" t="s">
        <v>2689</v>
      </c>
      <c r="AH20">
        <v>91.62</v>
      </c>
      <c r="AI20" t="s">
        <v>2690</v>
      </c>
      <c r="AJ20" t="s">
        <v>2690</v>
      </c>
      <c r="AK20" t="s">
        <v>2690</v>
      </c>
      <c r="AL20" t="s">
        <v>2690</v>
      </c>
      <c r="AP20">
        <v>91.62</v>
      </c>
      <c r="AQ20" t="s">
        <v>2442</v>
      </c>
      <c r="AR20" s="23">
        <v>0.42508101851851854</v>
      </c>
      <c r="AS20" s="23">
        <v>0.63437500000000002</v>
      </c>
      <c r="AT20" s="23">
        <v>0.41666666666666669</v>
      </c>
      <c r="AU20" s="23">
        <v>0.625</v>
      </c>
      <c r="AV20" t="s">
        <v>2654</v>
      </c>
      <c r="BA20" t="s">
        <v>2761</v>
      </c>
      <c r="BD20" t="s">
        <v>2473</v>
      </c>
      <c r="BE20" t="s">
        <v>2474</v>
      </c>
      <c r="BG20">
        <v>0</v>
      </c>
      <c r="BH20">
        <v>0</v>
      </c>
      <c r="BJ20">
        <v>0</v>
      </c>
    </row>
    <row r="21" spans="1:62" x14ac:dyDescent="0.2">
      <c r="A21" t="s">
        <v>2469</v>
      </c>
      <c r="B21" t="s">
        <v>2469</v>
      </c>
      <c r="C21">
        <v>100036211</v>
      </c>
      <c r="D21" t="s">
        <v>2708</v>
      </c>
      <c r="E21" t="s">
        <v>2439</v>
      </c>
      <c r="F21" t="s">
        <v>2452</v>
      </c>
      <c r="G21" t="s">
        <v>2453</v>
      </c>
      <c r="H21" s="23">
        <v>0.33333333333333331</v>
      </c>
      <c r="I21" t="s">
        <v>2688</v>
      </c>
      <c r="J21" t="s">
        <v>2767</v>
      </c>
      <c r="K21" t="s">
        <v>2777</v>
      </c>
      <c r="L21" t="s">
        <v>2469</v>
      </c>
      <c r="M21" t="s">
        <v>2476</v>
      </c>
      <c r="N21" s="6">
        <v>46008</v>
      </c>
      <c r="O21" t="s">
        <v>2458</v>
      </c>
      <c r="P21" t="s">
        <v>2445</v>
      </c>
      <c r="Q21" s="23">
        <v>0.44888888888888889</v>
      </c>
      <c r="R21" s="23">
        <v>0.65820601851851857</v>
      </c>
      <c r="S21">
        <v>18.25</v>
      </c>
      <c r="T21">
        <v>1</v>
      </c>
      <c r="U21" t="s">
        <v>2470</v>
      </c>
      <c r="V21">
        <v>5.0199999999999996</v>
      </c>
      <c r="W21">
        <v>5.0199999999999996</v>
      </c>
      <c r="X21" t="s">
        <v>2689</v>
      </c>
      <c r="Y21" t="s">
        <v>2689</v>
      </c>
      <c r="Z21" t="s">
        <v>2689</v>
      </c>
      <c r="AA21" t="s">
        <v>2689</v>
      </c>
      <c r="AC21" t="s">
        <v>2689</v>
      </c>
      <c r="AD21" t="s">
        <v>2689</v>
      </c>
      <c r="AE21" t="s">
        <v>2689</v>
      </c>
      <c r="AF21" t="s">
        <v>2689</v>
      </c>
      <c r="AH21">
        <v>91.62</v>
      </c>
      <c r="AI21" t="s">
        <v>2690</v>
      </c>
      <c r="AJ21" t="s">
        <v>2690</v>
      </c>
      <c r="AK21" t="s">
        <v>2690</v>
      </c>
      <c r="AL21" t="s">
        <v>2690</v>
      </c>
      <c r="AP21">
        <v>91.62</v>
      </c>
      <c r="AR21" s="23">
        <v>0.44888888888888889</v>
      </c>
      <c r="AS21" s="23">
        <v>0.65820601851851857</v>
      </c>
      <c r="AT21" s="23">
        <v>0.44444444444444442</v>
      </c>
      <c r="AU21" s="23">
        <v>0.58333333333333337</v>
      </c>
      <c r="AV21" t="s">
        <v>2654</v>
      </c>
      <c r="BA21" t="s">
        <v>2771</v>
      </c>
      <c r="BD21" t="s">
        <v>2473</v>
      </c>
      <c r="BE21" t="s">
        <v>2474</v>
      </c>
      <c r="BG21">
        <v>0</v>
      </c>
      <c r="BH21">
        <v>0</v>
      </c>
      <c r="BJ21">
        <v>0</v>
      </c>
    </row>
    <row r="22" spans="1:62" x14ac:dyDescent="0.2">
      <c r="A22" t="s">
        <v>2469</v>
      </c>
      <c r="B22" t="s">
        <v>2469</v>
      </c>
      <c r="C22">
        <v>100049378</v>
      </c>
      <c r="D22" t="s">
        <v>2697</v>
      </c>
      <c r="E22" t="s">
        <v>2439</v>
      </c>
      <c r="F22" t="s">
        <v>2452</v>
      </c>
      <c r="G22" t="s">
        <v>2453</v>
      </c>
      <c r="H22" s="23">
        <v>0.33333333333333331</v>
      </c>
      <c r="I22" t="s">
        <v>2688</v>
      </c>
      <c r="J22" t="s">
        <v>2767</v>
      </c>
      <c r="K22" t="s">
        <v>2778</v>
      </c>
      <c r="L22" t="s">
        <v>2469</v>
      </c>
      <c r="M22" t="s">
        <v>2476</v>
      </c>
      <c r="N22" s="6">
        <v>46008</v>
      </c>
      <c r="O22" t="s">
        <v>2458</v>
      </c>
      <c r="P22" t="s">
        <v>2445</v>
      </c>
      <c r="Q22" s="23">
        <v>0.42711805555555554</v>
      </c>
      <c r="R22" s="23">
        <v>0.66439814814814813</v>
      </c>
      <c r="S22">
        <v>17.87</v>
      </c>
      <c r="T22">
        <v>1</v>
      </c>
      <c r="U22" t="s">
        <v>2472</v>
      </c>
      <c r="V22">
        <v>5.69</v>
      </c>
      <c r="W22">
        <v>5.69</v>
      </c>
      <c r="X22" t="s">
        <v>2689</v>
      </c>
      <c r="Y22" t="s">
        <v>2689</v>
      </c>
      <c r="Z22" t="s">
        <v>2689</v>
      </c>
      <c r="AA22" t="s">
        <v>2689</v>
      </c>
      <c r="AC22" t="s">
        <v>2689</v>
      </c>
      <c r="AD22" t="s">
        <v>2689</v>
      </c>
      <c r="AE22" t="s">
        <v>2689</v>
      </c>
      <c r="AF22" t="s">
        <v>2689</v>
      </c>
      <c r="AH22">
        <v>101.68</v>
      </c>
      <c r="AI22" t="s">
        <v>2690</v>
      </c>
      <c r="AJ22" t="s">
        <v>2690</v>
      </c>
      <c r="AK22" t="s">
        <v>2690</v>
      </c>
      <c r="AL22" t="s">
        <v>2690</v>
      </c>
      <c r="AP22">
        <v>101.68</v>
      </c>
      <c r="AQ22" t="s">
        <v>2442</v>
      </c>
      <c r="AR22" s="23">
        <v>0.42711805555555554</v>
      </c>
      <c r="AS22" s="23">
        <v>0.66439814814814813</v>
      </c>
      <c r="AT22" s="23">
        <v>0.41666666666666669</v>
      </c>
      <c r="AU22" s="23">
        <v>0.58333333333333337</v>
      </c>
      <c r="AV22" t="s">
        <v>2654</v>
      </c>
      <c r="BA22" t="s">
        <v>2771</v>
      </c>
      <c r="BD22" t="s">
        <v>2473</v>
      </c>
      <c r="BE22" t="s">
        <v>2474</v>
      </c>
      <c r="BG22">
        <v>0</v>
      </c>
      <c r="BH22">
        <v>0</v>
      </c>
      <c r="BJ22">
        <v>0</v>
      </c>
    </row>
    <row r="23" spans="1:62" x14ac:dyDescent="0.2">
      <c r="A23" t="s">
        <v>2469</v>
      </c>
      <c r="B23" t="s">
        <v>2469</v>
      </c>
      <c r="C23">
        <v>100064556</v>
      </c>
      <c r="D23" t="s">
        <v>2713</v>
      </c>
      <c r="E23" t="s">
        <v>2439</v>
      </c>
      <c r="F23" t="s">
        <v>2452</v>
      </c>
      <c r="G23" t="s">
        <v>2453</v>
      </c>
      <c r="H23" s="23">
        <v>0.33333333333333331</v>
      </c>
      <c r="I23" t="s">
        <v>2688</v>
      </c>
      <c r="J23" t="s">
        <v>2486</v>
      </c>
      <c r="K23" t="s">
        <v>2487</v>
      </c>
      <c r="L23" t="s">
        <v>2469</v>
      </c>
      <c r="M23" t="s">
        <v>2488</v>
      </c>
      <c r="N23" s="6">
        <v>46007</v>
      </c>
      <c r="O23" t="s">
        <v>2457</v>
      </c>
      <c r="P23" t="s">
        <v>2445</v>
      </c>
      <c r="Q23" s="23">
        <v>0.43375000000000002</v>
      </c>
      <c r="R23" s="23">
        <v>0.63072916666666667</v>
      </c>
      <c r="S23">
        <v>20</v>
      </c>
      <c r="T23" t="s">
        <v>2443</v>
      </c>
      <c r="U23" t="s">
        <v>2496</v>
      </c>
      <c r="V23">
        <v>4.7300000000000004</v>
      </c>
      <c r="W23">
        <v>4.7300000000000004</v>
      </c>
      <c r="X23" t="s">
        <v>2689</v>
      </c>
      <c r="Y23" t="s">
        <v>2689</v>
      </c>
      <c r="Z23" t="s">
        <v>2689</v>
      </c>
      <c r="AA23" t="s">
        <v>2689</v>
      </c>
      <c r="AC23" t="s">
        <v>2689</v>
      </c>
      <c r="AD23" t="s">
        <v>2689</v>
      </c>
      <c r="AE23" t="s">
        <v>2689</v>
      </c>
      <c r="AF23" t="s">
        <v>2689</v>
      </c>
      <c r="AH23">
        <v>94.6</v>
      </c>
      <c r="AI23" t="s">
        <v>2690</v>
      </c>
      <c r="AJ23" t="s">
        <v>2690</v>
      </c>
      <c r="AK23" t="s">
        <v>2690</v>
      </c>
      <c r="AL23" t="s">
        <v>2690</v>
      </c>
      <c r="AP23">
        <v>94.6</v>
      </c>
      <c r="AQ23" t="s">
        <v>2442</v>
      </c>
      <c r="AR23" s="23">
        <v>0.43375000000000002</v>
      </c>
      <c r="AS23" s="23">
        <v>0.63072916666666667</v>
      </c>
      <c r="AT23" s="23">
        <v>0.41666666666666669</v>
      </c>
      <c r="AU23" s="23">
        <v>0.625</v>
      </c>
      <c r="AV23" t="s">
        <v>2654</v>
      </c>
      <c r="BA23" t="s">
        <v>2761</v>
      </c>
      <c r="BD23" t="s">
        <v>2484</v>
      </c>
      <c r="BE23" t="s">
        <v>2485</v>
      </c>
      <c r="BG23">
        <v>0</v>
      </c>
      <c r="BH23">
        <v>0</v>
      </c>
      <c r="BJ23">
        <v>0</v>
      </c>
    </row>
    <row r="24" spans="1:62" x14ac:dyDescent="0.2">
      <c r="A24" t="s">
        <v>2469</v>
      </c>
      <c r="B24" t="s">
        <v>2469</v>
      </c>
      <c r="C24">
        <v>100084246</v>
      </c>
      <c r="D24" t="s">
        <v>2700</v>
      </c>
      <c r="E24" t="s">
        <v>2439</v>
      </c>
      <c r="F24" t="s">
        <v>2452</v>
      </c>
      <c r="G24" t="s">
        <v>2453</v>
      </c>
      <c r="H24" s="23">
        <v>0.33333333333333331</v>
      </c>
      <c r="I24" t="s">
        <v>2688</v>
      </c>
      <c r="J24" t="s">
        <v>2486</v>
      </c>
      <c r="K24" t="s">
        <v>2495</v>
      </c>
      <c r="L24" t="s">
        <v>2469</v>
      </c>
      <c r="M24" t="s">
        <v>2488</v>
      </c>
      <c r="N24" s="6">
        <v>46006</v>
      </c>
      <c r="O24" t="s">
        <v>2455</v>
      </c>
      <c r="P24" t="s">
        <v>2445</v>
      </c>
      <c r="Q24" s="23">
        <v>0.46107638888888891</v>
      </c>
      <c r="R24" s="23">
        <v>0.58068287037037036</v>
      </c>
      <c r="S24">
        <v>20</v>
      </c>
      <c r="T24" t="s">
        <v>2443</v>
      </c>
      <c r="U24" t="s">
        <v>2496</v>
      </c>
      <c r="V24">
        <v>2.87</v>
      </c>
      <c r="W24">
        <v>2.87</v>
      </c>
      <c r="X24" t="s">
        <v>2689</v>
      </c>
      <c r="Y24" t="s">
        <v>2689</v>
      </c>
      <c r="Z24" t="s">
        <v>2689</v>
      </c>
      <c r="AA24" t="s">
        <v>2689</v>
      </c>
      <c r="AC24" t="s">
        <v>2689</v>
      </c>
      <c r="AD24" t="s">
        <v>2689</v>
      </c>
      <c r="AE24" t="s">
        <v>2689</v>
      </c>
      <c r="AF24" t="s">
        <v>2689</v>
      </c>
      <c r="AH24">
        <v>57.4</v>
      </c>
      <c r="AI24" t="s">
        <v>2690</v>
      </c>
      <c r="AJ24" t="s">
        <v>2690</v>
      </c>
      <c r="AK24" t="s">
        <v>2690</v>
      </c>
      <c r="AL24" t="s">
        <v>2690</v>
      </c>
      <c r="AP24">
        <v>57.4</v>
      </c>
      <c r="AR24" s="23">
        <v>0.46107638888888891</v>
      </c>
      <c r="AS24" s="23">
        <v>0.58068287037037036</v>
      </c>
      <c r="AT24" s="23">
        <v>0.45833333333333331</v>
      </c>
      <c r="AU24" s="23">
        <v>0.625</v>
      </c>
      <c r="AV24" t="s">
        <v>2654</v>
      </c>
      <c r="BA24" t="s">
        <v>2769</v>
      </c>
      <c r="BD24" t="s">
        <v>2484</v>
      </c>
      <c r="BE24" t="s">
        <v>2485</v>
      </c>
      <c r="BG24">
        <v>0</v>
      </c>
      <c r="BH24">
        <v>0</v>
      </c>
      <c r="BJ24">
        <v>0</v>
      </c>
    </row>
    <row r="25" spans="1:62" x14ac:dyDescent="0.2">
      <c r="A25" t="s">
        <v>2469</v>
      </c>
      <c r="B25" t="s">
        <v>2469</v>
      </c>
      <c r="C25">
        <v>100084246</v>
      </c>
      <c r="D25" t="s">
        <v>2700</v>
      </c>
      <c r="E25" t="s">
        <v>2439</v>
      </c>
      <c r="F25" t="s">
        <v>2452</v>
      </c>
      <c r="G25" t="s">
        <v>2453</v>
      </c>
      <c r="H25" s="23">
        <v>0.33333333333333331</v>
      </c>
      <c r="I25" t="s">
        <v>2688</v>
      </c>
      <c r="J25" t="s">
        <v>2486</v>
      </c>
      <c r="K25" t="s">
        <v>2500</v>
      </c>
      <c r="L25" t="s">
        <v>2469</v>
      </c>
      <c r="M25" t="s">
        <v>2488</v>
      </c>
      <c r="N25" s="6">
        <v>46007</v>
      </c>
      <c r="O25" t="s">
        <v>2457</v>
      </c>
      <c r="P25" t="s">
        <v>2445</v>
      </c>
      <c r="Q25" s="23">
        <v>0.43056712962962962</v>
      </c>
      <c r="R25" s="23">
        <v>0.63087962962962962</v>
      </c>
      <c r="S25">
        <v>20</v>
      </c>
      <c r="T25" t="s">
        <v>2443</v>
      </c>
      <c r="U25" t="s">
        <v>2496</v>
      </c>
      <c r="V25">
        <v>4.8099999999999996</v>
      </c>
      <c r="W25">
        <v>4.8099999999999996</v>
      </c>
      <c r="X25" t="s">
        <v>2689</v>
      </c>
      <c r="Y25" t="s">
        <v>2689</v>
      </c>
      <c r="Z25" t="s">
        <v>2689</v>
      </c>
      <c r="AA25" t="s">
        <v>2689</v>
      </c>
      <c r="AC25" t="s">
        <v>2689</v>
      </c>
      <c r="AD25" t="s">
        <v>2689</v>
      </c>
      <c r="AE25" t="s">
        <v>2689</v>
      </c>
      <c r="AF25" t="s">
        <v>2689</v>
      </c>
      <c r="AH25">
        <v>96.2</v>
      </c>
      <c r="AI25" t="s">
        <v>2690</v>
      </c>
      <c r="AJ25" t="s">
        <v>2690</v>
      </c>
      <c r="AK25" t="s">
        <v>2690</v>
      </c>
      <c r="AL25" t="s">
        <v>2690</v>
      </c>
      <c r="AP25">
        <v>96.2</v>
      </c>
      <c r="AQ25" t="s">
        <v>2442</v>
      </c>
      <c r="AR25" s="23">
        <v>0.43056712962962962</v>
      </c>
      <c r="AS25" s="23">
        <v>0.63087962962962962</v>
      </c>
      <c r="AT25" s="23">
        <v>0.41666666666666669</v>
      </c>
      <c r="AU25" s="23">
        <v>0.625</v>
      </c>
      <c r="AV25" t="s">
        <v>2654</v>
      </c>
      <c r="BA25" t="s">
        <v>2761</v>
      </c>
      <c r="BD25" t="s">
        <v>2484</v>
      </c>
      <c r="BE25" t="s">
        <v>2485</v>
      </c>
      <c r="BG25">
        <v>0</v>
      </c>
      <c r="BH25">
        <v>0</v>
      </c>
      <c r="BJ25">
        <v>0</v>
      </c>
    </row>
    <row r="26" spans="1:62" x14ac:dyDescent="0.2">
      <c r="A26" t="s">
        <v>2469</v>
      </c>
      <c r="B26" t="s">
        <v>2469</v>
      </c>
      <c r="C26">
        <v>100087211</v>
      </c>
      <c r="D26" t="s">
        <v>2501</v>
      </c>
      <c r="E26" t="s">
        <v>2439</v>
      </c>
      <c r="F26" t="s">
        <v>2452</v>
      </c>
      <c r="G26" t="s">
        <v>2453</v>
      </c>
      <c r="H26" s="23">
        <v>0.33333333333333331</v>
      </c>
      <c r="I26" t="s">
        <v>2688</v>
      </c>
      <c r="J26" t="s">
        <v>2779</v>
      </c>
      <c r="K26" t="s">
        <v>2780</v>
      </c>
      <c r="L26" t="s">
        <v>2469</v>
      </c>
      <c r="M26" t="s">
        <v>2774</v>
      </c>
      <c r="N26" s="6">
        <v>46000</v>
      </c>
      <c r="O26" t="s">
        <v>2457</v>
      </c>
      <c r="P26" t="s">
        <v>2445</v>
      </c>
      <c r="Q26" s="23">
        <v>0.37774305555555554</v>
      </c>
      <c r="R26" s="23">
        <v>0.569849537037037</v>
      </c>
      <c r="S26">
        <v>17.87</v>
      </c>
      <c r="T26">
        <v>1</v>
      </c>
      <c r="U26" t="s">
        <v>2490</v>
      </c>
      <c r="V26">
        <v>4.6100000000000003</v>
      </c>
      <c r="W26">
        <v>4.6100000000000003</v>
      </c>
      <c r="X26" t="s">
        <v>2689</v>
      </c>
      <c r="Y26" t="s">
        <v>2689</v>
      </c>
      <c r="Z26" t="s">
        <v>2689</v>
      </c>
      <c r="AA26" t="s">
        <v>2689</v>
      </c>
      <c r="AC26" t="s">
        <v>2689</v>
      </c>
      <c r="AD26" t="s">
        <v>2689</v>
      </c>
      <c r="AE26" t="s">
        <v>2689</v>
      </c>
      <c r="AF26" t="s">
        <v>2689</v>
      </c>
      <c r="AH26">
        <v>82.38</v>
      </c>
      <c r="AI26" t="s">
        <v>2690</v>
      </c>
      <c r="AJ26" t="s">
        <v>2690</v>
      </c>
      <c r="AK26" t="s">
        <v>2690</v>
      </c>
      <c r="AL26" t="s">
        <v>2690</v>
      </c>
      <c r="AP26">
        <v>82.38</v>
      </c>
      <c r="AR26" s="23">
        <v>0.37774305555555554</v>
      </c>
      <c r="AS26" s="23">
        <v>0.569849537037037</v>
      </c>
      <c r="AT26" s="23">
        <v>0.375</v>
      </c>
      <c r="AU26" s="23">
        <v>0.58333333333333337</v>
      </c>
      <c r="AV26" t="s">
        <v>2654</v>
      </c>
      <c r="BA26" t="s">
        <v>2757</v>
      </c>
      <c r="BD26" t="s">
        <v>2498</v>
      </c>
      <c r="BE26" t="s">
        <v>2499</v>
      </c>
      <c r="BG26">
        <v>0</v>
      </c>
      <c r="BH26">
        <v>0</v>
      </c>
      <c r="BJ26">
        <v>0</v>
      </c>
    </row>
    <row r="27" spans="1:62" x14ac:dyDescent="0.2">
      <c r="A27" t="s">
        <v>2469</v>
      </c>
      <c r="B27" t="s">
        <v>2469</v>
      </c>
      <c r="C27">
        <v>100087211</v>
      </c>
      <c r="D27" t="s">
        <v>2501</v>
      </c>
      <c r="E27" t="s">
        <v>2439</v>
      </c>
      <c r="F27" t="s">
        <v>2452</v>
      </c>
      <c r="G27" t="s">
        <v>2453</v>
      </c>
      <c r="H27" s="23">
        <v>0.33333333333333331</v>
      </c>
      <c r="I27" t="s">
        <v>2688</v>
      </c>
      <c r="J27" t="s">
        <v>2497</v>
      </c>
      <c r="K27" t="s">
        <v>2781</v>
      </c>
      <c r="L27" t="s">
        <v>2469</v>
      </c>
      <c r="M27" t="s">
        <v>2476</v>
      </c>
      <c r="N27" s="6">
        <v>46006</v>
      </c>
      <c r="O27" t="s">
        <v>2455</v>
      </c>
      <c r="P27" t="s">
        <v>2445</v>
      </c>
      <c r="Q27" s="23">
        <v>0.41172453703703704</v>
      </c>
      <c r="R27" s="23">
        <v>0.5853356481481482</v>
      </c>
      <c r="S27">
        <v>17.87</v>
      </c>
      <c r="T27">
        <v>1</v>
      </c>
      <c r="U27" t="s">
        <v>2490</v>
      </c>
      <c r="V27">
        <v>4.17</v>
      </c>
      <c r="W27">
        <v>4.17</v>
      </c>
      <c r="X27" t="s">
        <v>2689</v>
      </c>
      <c r="Y27" t="s">
        <v>2689</v>
      </c>
      <c r="Z27" t="s">
        <v>2689</v>
      </c>
      <c r="AA27" t="s">
        <v>2689</v>
      </c>
      <c r="AC27" t="s">
        <v>2689</v>
      </c>
      <c r="AD27" t="s">
        <v>2689</v>
      </c>
      <c r="AE27" t="s">
        <v>2689</v>
      </c>
      <c r="AF27" t="s">
        <v>2689</v>
      </c>
      <c r="AH27">
        <v>74.52</v>
      </c>
      <c r="AI27" t="s">
        <v>2690</v>
      </c>
      <c r="AJ27" t="s">
        <v>2690</v>
      </c>
      <c r="AK27" t="s">
        <v>2690</v>
      </c>
      <c r="AL27" t="s">
        <v>2690</v>
      </c>
      <c r="AP27">
        <v>74.52</v>
      </c>
      <c r="AR27" s="23">
        <v>0.41172453703703704</v>
      </c>
      <c r="AS27" s="23">
        <v>0.5853356481481482</v>
      </c>
      <c r="AT27" s="23">
        <v>0.41666666666666669</v>
      </c>
      <c r="AU27" s="23">
        <v>0.625</v>
      </c>
      <c r="AV27" t="s">
        <v>2654</v>
      </c>
      <c r="BA27" t="s">
        <v>2769</v>
      </c>
      <c r="BD27" t="s">
        <v>2498</v>
      </c>
      <c r="BE27" t="s">
        <v>2499</v>
      </c>
      <c r="BG27">
        <v>0</v>
      </c>
      <c r="BH27">
        <v>0</v>
      </c>
      <c r="BJ27">
        <v>0</v>
      </c>
    </row>
    <row r="28" spans="1:62" x14ac:dyDescent="0.2">
      <c r="A28" t="s">
        <v>2469</v>
      </c>
      <c r="B28" t="s">
        <v>2469</v>
      </c>
      <c r="C28">
        <v>100087211</v>
      </c>
      <c r="D28" t="s">
        <v>2501</v>
      </c>
      <c r="E28" t="s">
        <v>2439</v>
      </c>
      <c r="F28" t="s">
        <v>2452</v>
      </c>
      <c r="G28" t="s">
        <v>2453</v>
      </c>
      <c r="H28" s="23">
        <v>0.33333333333333331</v>
      </c>
      <c r="I28" t="s">
        <v>2688</v>
      </c>
      <c r="J28" t="s">
        <v>2497</v>
      </c>
      <c r="K28" t="s">
        <v>2781</v>
      </c>
      <c r="L28" t="s">
        <v>2469</v>
      </c>
      <c r="M28" t="s">
        <v>2476</v>
      </c>
      <c r="N28" s="6">
        <v>46007</v>
      </c>
      <c r="O28" t="s">
        <v>2457</v>
      </c>
      <c r="P28" t="s">
        <v>2445</v>
      </c>
      <c r="Q28" s="23">
        <v>0.41186342592592595</v>
      </c>
      <c r="R28" s="23">
        <v>0.63423611111111111</v>
      </c>
      <c r="S28">
        <v>17.87</v>
      </c>
      <c r="T28">
        <v>1</v>
      </c>
      <c r="U28" t="s">
        <v>2490</v>
      </c>
      <c r="V28">
        <v>5.34</v>
      </c>
      <c r="W28">
        <v>5.34</v>
      </c>
      <c r="X28" t="s">
        <v>2689</v>
      </c>
      <c r="Y28" t="s">
        <v>2689</v>
      </c>
      <c r="Z28" t="s">
        <v>2689</v>
      </c>
      <c r="AA28" t="s">
        <v>2689</v>
      </c>
      <c r="AC28" t="s">
        <v>2689</v>
      </c>
      <c r="AD28" t="s">
        <v>2689</v>
      </c>
      <c r="AE28" t="s">
        <v>2689</v>
      </c>
      <c r="AF28" t="s">
        <v>2689</v>
      </c>
      <c r="AH28">
        <v>95.43</v>
      </c>
      <c r="AI28" t="s">
        <v>2690</v>
      </c>
      <c r="AJ28" t="s">
        <v>2690</v>
      </c>
      <c r="AK28" t="s">
        <v>2690</v>
      </c>
      <c r="AL28" t="s">
        <v>2690</v>
      </c>
      <c r="AP28">
        <v>95.43</v>
      </c>
      <c r="AR28" s="23">
        <v>0.41186342592592595</v>
      </c>
      <c r="AS28" s="23">
        <v>0.63423611111111111</v>
      </c>
      <c r="AT28" s="23">
        <v>0.41666666666666669</v>
      </c>
      <c r="AU28" s="23">
        <v>0.625</v>
      </c>
      <c r="AV28" t="s">
        <v>2654</v>
      </c>
      <c r="BA28" t="s">
        <v>2761</v>
      </c>
      <c r="BD28" t="s">
        <v>2498</v>
      </c>
      <c r="BE28" t="s">
        <v>2499</v>
      </c>
      <c r="BG28">
        <v>0</v>
      </c>
      <c r="BH28">
        <v>0</v>
      </c>
      <c r="BJ28">
        <v>0</v>
      </c>
    </row>
    <row r="29" spans="1:62" x14ac:dyDescent="0.2">
      <c r="A29" t="s">
        <v>2469</v>
      </c>
      <c r="B29" t="s">
        <v>2469</v>
      </c>
      <c r="C29">
        <v>100087211</v>
      </c>
      <c r="D29" t="s">
        <v>2501</v>
      </c>
      <c r="E29" t="s">
        <v>2439</v>
      </c>
      <c r="F29" t="s">
        <v>2452</v>
      </c>
      <c r="G29" t="s">
        <v>2453</v>
      </c>
      <c r="H29" s="23">
        <v>0.33333333333333331</v>
      </c>
      <c r="I29" t="s">
        <v>2688</v>
      </c>
      <c r="J29" t="s">
        <v>2497</v>
      </c>
      <c r="K29" t="s">
        <v>2781</v>
      </c>
      <c r="L29" t="s">
        <v>2469</v>
      </c>
      <c r="M29" t="s">
        <v>2476</v>
      </c>
      <c r="N29" s="6">
        <v>46008</v>
      </c>
      <c r="O29" t="s">
        <v>2458</v>
      </c>
      <c r="P29" t="s">
        <v>2445</v>
      </c>
      <c r="Q29" s="23">
        <v>0.4183912037037037</v>
      </c>
      <c r="R29" s="23">
        <v>0.62896990740740744</v>
      </c>
      <c r="S29">
        <v>17.87</v>
      </c>
      <c r="T29">
        <v>1</v>
      </c>
      <c r="U29" t="s">
        <v>2490</v>
      </c>
      <c r="V29">
        <v>5.05</v>
      </c>
      <c r="W29">
        <v>5.05</v>
      </c>
      <c r="X29" t="s">
        <v>2689</v>
      </c>
      <c r="Y29" t="s">
        <v>2689</v>
      </c>
      <c r="Z29" t="s">
        <v>2689</v>
      </c>
      <c r="AA29" t="s">
        <v>2689</v>
      </c>
      <c r="AC29" t="s">
        <v>2689</v>
      </c>
      <c r="AD29" t="s">
        <v>2689</v>
      </c>
      <c r="AE29" t="s">
        <v>2689</v>
      </c>
      <c r="AF29" t="s">
        <v>2689</v>
      </c>
      <c r="AH29">
        <v>90.24</v>
      </c>
      <c r="AI29" t="s">
        <v>2690</v>
      </c>
      <c r="AJ29" t="s">
        <v>2690</v>
      </c>
      <c r="AK29" t="s">
        <v>2690</v>
      </c>
      <c r="AL29" t="s">
        <v>2690</v>
      </c>
      <c r="AP29">
        <v>90.24</v>
      </c>
      <c r="AR29" s="23">
        <v>0.4183912037037037</v>
      </c>
      <c r="AS29" s="23">
        <v>0.62896990740740744</v>
      </c>
      <c r="AT29" s="23">
        <v>0.41666666666666669</v>
      </c>
      <c r="AU29" s="23">
        <v>0.58333333333333337</v>
      </c>
      <c r="AV29" t="s">
        <v>2654</v>
      </c>
      <c r="BA29" t="s">
        <v>2771</v>
      </c>
      <c r="BD29" t="s">
        <v>2498</v>
      </c>
      <c r="BE29" t="s">
        <v>2499</v>
      </c>
      <c r="BG29">
        <v>0</v>
      </c>
      <c r="BH29">
        <v>0</v>
      </c>
      <c r="BJ29">
        <v>0</v>
      </c>
    </row>
    <row r="30" spans="1:62" x14ac:dyDescent="0.2">
      <c r="A30" t="s">
        <v>2477</v>
      </c>
      <c r="B30" t="s">
        <v>2477</v>
      </c>
      <c r="C30">
        <v>100002210</v>
      </c>
      <c r="D30" t="s">
        <v>2705</v>
      </c>
      <c r="E30" t="s">
        <v>2439</v>
      </c>
      <c r="F30" t="s">
        <v>2782</v>
      </c>
      <c r="G30" t="s">
        <v>2783</v>
      </c>
      <c r="H30" s="23">
        <v>0.70833333333333337</v>
      </c>
      <c r="I30" t="s">
        <v>2696</v>
      </c>
      <c r="J30" t="s">
        <v>2504</v>
      </c>
      <c r="K30" t="s">
        <v>2784</v>
      </c>
      <c r="L30" t="s">
        <v>2477</v>
      </c>
      <c r="M30" t="s">
        <v>2480</v>
      </c>
      <c r="N30" s="6">
        <v>45994</v>
      </c>
      <c r="O30" t="s">
        <v>2458</v>
      </c>
      <c r="P30" t="s">
        <v>2445</v>
      </c>
      <c r="Q30" s="23">
        <v>0.57721064814814815</v>
      </c>
      <c r="R30" s="23">
        <v>0.88244212962962965</v>
      </c>
      <c r="S30">
        <v>22</v>
      </c>
      <c r="T30">
        <v>1</v>
      </c>
      <c r="U30" t="s">
        <v>2506</v>
      </c>
      <c r="V30">
        <v>6.83</v>
      </c>
      <c r="W30">
        <v>6.83</v>
      </c>
      <c r="X30" t="s">
        <v>2689</v>
      </c>
      <c r="Y30" t="s">
        <v>2689</v>
      </c>
      <c r="Z30" t="s">
        <v>2689</v>
      </c>
      <c r="AA30" t="s">
        <v>2689</v>
      </c>
      <c r="AC30" t="s">
        <v>2689</v>
      </c>
      <c r="AD30" t="s">
        <v>2689</v>
      </c>
      <c r="AE30" t="s">
        <v>2689</v>
      </c>
      <c r="AF30" t="s">
        <v>2689</v>
      </c>
      <c r="AH30">
        <v>150.26</v>
      </c>
      <c r="AI30" t="s">
        <v>2690</v>
      </c>
      <c r="AJ30" t="s">
        <v>2690</v>
      </c>
      <c r="AK30" t="s">
        <v>2690</v>
      </c>
      <c r="AL30" t="s">
        <v>2690</v>
      </c>
      <c r="AP30">
        <v>150.26</v>
      </c>
      <c r="AR30" s="23">
        <v>0.57721064814814815</v>
      </c>
      <c r="AS30" s="23">
        <v>0.88244212962962965</v>
      </c>
      <c r="AT30" s="23">
        <v>0.58333333333333337</v>
      </c>
      <c r="AU30" s="23">
        <v>0.85416666666666663</v>
      </c>
      <c r="AV30" t="s">
        <v>2507</v>
      </c>
      <c r="AY30">
        <v>0.5</v>
      </c>
      <c r="AZ30" t="s">
        <v>2785</v>
      </c>
      <c r="BA30" t="s">
        <v>2754</v>
      </c>
      <c r="BD30" t="s">
        <v>2508</v>
      </c>
      <c r="BE30" t="s">
        <v>2509</v>
      </c>
      <c r="BG30">
        <v>0</v>
      </c>
      <c r="BH30">
        <v>0</v>
      </c>
      <c r="BJ30">
        <v>0</v>
      </c>
    </row>
    <row r="31" spans="1:62" x14ac:dyDescent="0.2">
      <c r="A31" t="s">
        <v>2477</v>
      </c>
      <c r="B31" t="s">
        <v>2477</v>
      </c>
      <c r="C31">
        <v>100002210</v>
      </c>
      <c r="D31" t="s">
        <v>2705</v>
      </c>
      <c r="E31" t="s">
        <v>2439</v>
      </c>
      <c r="F31" t="s">
        <v>2786</v>
      </c>
      <c r="G31" t="s">
        <v>2787</v>
      </c>
      <c r="H31" s="23">
        <v>0.66666666666666663</v>
      </c>
      <c r="I31" t="s">
        <v>2696</v>
      </c>
      <c r="J31" t="s">
        <v>2504</v>
      </c>
      <c r="K31" t="s">
        <v>2515</v>
      </c>
      <c r="L31" t="s">
        <v>2477</v>
      </c>
      <c r="M31" t="s">
        <v>2480</v>
      </c>
      <c r="N31" s="6">
        <v>45999</v>
      </c>
      <c r="O31" t="s">
        <v>2455</v>
      </c>
      <c r="P31" t="s">
        <v>2445</v>
      </c>
      <c r="Q31" s="23">
        <v>0.49357638888888888</v>
      </c>
      <c r="R31" s="23">
        <v>0.77410879629629625</v>
      </c>
      <c r="S31">
        <v>22</v>
      </c>
      <c r="T31">
        <v>1</v>
      </c>
      <c r="U31" t="s">
        <v>2506</v>
      </c>
      <c r="V31">
        <v>6.23</v>
      </c>
      <c r="W31">
        <v>6.23</v>
      </c>
      <c r="X31" t="s">
        <v>2689</v>
      </c>
      <c r="Y31" t="s">
        <v>2689</v>
      </c>
      <c r="Z31" t="s">
        <v>2689</v>
      </c>
      <c r="AA31" t="s">
        <v>2689</v>
      </c>
      <c r="AC31" t="s">
        <v>2689</v>
      </c>
      <c r="AD31" t="s">
        <v>2689</v>
      </c>
      <c r="AE31" t="s">
        <v>2689</v>
      </c>
      <c r="AF31" t="s">
        <v>2689</v>
      </c>
      <c r="AH31">
        <v>137.06</v>
      </c>
      <c r="AI31" t="s">
        <v>2690</v>
      </c>
      <c r="AJ31" t="s">
        <v>2690</v>
      </c>
      <c r="AK31" t="s">
        <v>2690</v>
      </c>
      <c r="AL31" t="s">
        <v>2690</v>
      </c>
      <c r="AP31">
        <v>137.06</v>
      </c>
      <c r="AR31" s="23">
        <v>0.49357638888888888</v>
      </c>
      <c r="AS31" s="23">
        <v>0.77410879629629625</v>
      </c>
      <c r="AT31" s="23">
        <v>0.5</v>
      </c>
      <c r="AU31" s="23">
        <v>0.85416666666666663</v>
      </c>
      <c r="AV31" t="s">
        <v>2507</v>
      </c>
      <c r="AY31">
        <v>0.5</v>
      </c>
      <c r="AZ31" t="s">
        <v>2788</v>
      </c>
      <c r="BA31" t="s">
        <v>2757</v>
      </c>
      <c r="BD31" t="s">
        <v>2508</v>
      </c>
      <c r="BE31" t="s">
        <v>2509</v>
      </c>
      <c r="BG31">
        <v>0</v>
      </c>
      <c r="BH31">
        <v>0</v>
      </c>
      <c r="BJ31">
        <v>0</v>
      </c>
    </row>
    <row r="32" spans="1:62" x14ac:dyDescent="0.2">
      <c r="A32" t="s">
        <v>2477</v>
      </c>
      <c r="B32" t="s">
        <v>2477</v>
      </c>
      <c r="C32">
        <v>100002210</v>
      </c>
      <c r="D32" t="s">
        <v>2705</v>
      </c>
      <c r="E32" t="s">
        <v>2439</v>
      </c>
      <c r="F32" t="s">
        <v>2789</v>
      </c>
      <c r="G32" t="s">
        <v>2790</v>
      </c>
      <c r="H32" s="23">
        <v>0.375</v>
      </c>
      <c r="I32" t="s">
        <v>2696</v>
      </c>
      <c r="J32" t="s">
        <v>2504</v>
      </c>
      <c r="K32" t="s">
        <v>2505</v>
      </c>
      <c r="L32" t="s">
        <v>2477</v>
      </c>
      <c r="M32" t="s">
        <v>2480</v>
      </c>
      <c r="N32" s="6">
        <v>46000</v>
      </c>
      <c r="O32" t="s">
        <v>2457</v>
      </c>
      <c r="P32" t="s">
        <v>2445</v>
      </c>
      <c r="Q32" s="23">
        <v>0.28822916666666665</v>
      </c>
      <c r="R32" s="23">
        <v>0.69912037037037034</v>
      </c>
      <c r="S32">
        <v>22</v>
      </c>
      <c r="T32">
        <v>1</v>
      </c>
      <c r="U32" t="s">
        <v>2506</v>
      </c>
      <c r="V32">
        <v>9.86</v>
      </c>
      <c r="W32">
        <v>8</v>
      </c>
      <c r="X32">
        <v>1.86</v>
      </c>
      <c r="Y32" t="s">
        <v>2689</v>
      </c>
      <c r="Z32" t="s">
        <v>2689</v>
      </c>
      <c r="AA32" t="s">
        <v>2689</v>
      </c>
      <c r="AC32" t="s">
        <v>2689</v>
      </c>
      <c r="AD32" t="s">
        <v>2689</v>
      </c>
      <c r="AE32" t="s">
        <v>2689</v>
      </c>
      <c r="AF32" t="s">
        <v>2689</v>
      </c>
      <c r="AH32">
        <v>176</v>
      </c>
      <c r="AI32">
        <v>61.38</v>
      </c>
      <c r="AJ32" t="s">
        <v>2690</v>
      </c>
      <c r="AK32" t="s">
        <v>2690</v>
      </c>
      <c r="AL32" t="s">
        <v>2690</v>
      </c>
      <c r="AP32">
        <v>237.38</v>
      </c>
      <c r="AR32" s="23">
        <v>0.28822916666666665</v>
      </c>
      <c r="AS32" s="23">
        <v>0.69912037037037034</v>
      </c>
      <c r="AT32" s="23">
        <v>0.29166666666666669</v>
      </c>
      <c r="AU32" s="23">
        <v>0.625</v>
      </c>
      <c r="AV32" t="s">
        <v>2507</v>
      </c>
      <c r="BA32" t="s">
        <v>2757</v>
      </c>
      <c r="BD32" t="s">
        <v>2508</v>
      </c>
      <c r="BE32" t="s">
        <v>2509</v>
      </c>
      <c r="BG32">
        <v>0</v>
      </c>
      <c r="BH32">
        <v>0</v>
      </c>
      <c r="BJ32">
        <v>0</v>
      </c>
    </row>
    <row r="33" spans="1:62" x14ac:dyDescent="0.2">
      <c r="A33" t="s">
        <v>2477</v>
      </c>
      <c r="B33" t="s">
        <v>2477</v>
      </c>
      <c r="C33">
        <v>100002210</v>
      </c>
      <c r="D33" t="s">
        <v>2705</v>
      </c>
      <c r="E33" t="s">
        <v>2439</v>
      </c>
      <c r="F33" t="s">
        <v>2791</v>
      </c>
      <c r="G33" t="s">
        <v>2792</v>
      </c>
      <c r="H33" s="23">
        <v>0.79166666666666663</v>
      </c>
      <c r="I33" t="s">
        <v>2696</v>
      </c>
      <c r="J33" t="s">
        <v>2504</v>
      </c>
      <c r="K33" t="s">
        <v>2793</v>
      </c>
      <c r="L33" t="s">
        <v>2477</v>
      </c>
      <c r="M33" t="s">
        <v>2480</v>
      </c>
      <c r="N33" s="6">
        <v>46002</v>
      </c>
      <c r="O33" t="s">
        <v>2459</v>
      </c>
      <c r="P33" t="s">
        <v>2445</v>
      </c>
      <c r="Q33" s="23">
        <v>0.71040509259259255</v>
      </c>
      <c r="R33" s="23">
        <v>4.0509259259259258E-4</v>
      </c>
      <c r="S33">
        <v>22</v>
      </c>
      <c r="T33">
        <v>1</v>
      </c>
      <c r="U33" t="s">
        <v>2506</v>
      </c>
      <c r="V33">
        <v>7.96</v>
      </c>
      <c r="W33">
        <v>6.96</v>
      </c>
      <c r="X33" t="s">
        <v>2689</v>
      </c>
      <c r="Y33" t="s">
        <v>2689</v>
      </c>
      <c r="Z33" t="s">
        <v>2689</v>
      </c>
      <c r="AA33">
        <v>1</v>
      </c>
      <c r="AC33" t="s">
        <v>2689</v>
      </c>
      <c r="AD33" t="s">
        <v>2689</v>
      </c>
      <c r="AE33" t="s">
        <v>2689</v>
      </c>
      <c r="AF33" t="s">
        <v>2689</v>
      </c>
      <c r="AH33">
        <v>153.12</v>
      </c>
      <c r="AI33" t="s">
        <v>2690</v>
      </c>
      <c r="AJ33" t="s">
        <v>2690</v>
      </c>
      <c r="AK33" t="s">
        <v>2690</v>
      </c>
      <c r="AL33">
        <v>22</v>
      </c>
      <c r="AP33">
        <v>175.12</v>
      </c>
      <c r="AR33" s="23">
        <v>0.71040509259259255</v>
      </c>
      <c r="AS33" s="23">
        <v>4.0509259259259258E-4</v>
      </c>
      <c r="AT33" s="23">
        <v>0.70833333333333337</v>
      </c>
      <c r="AU33" s="24">
        <v>1</v>
      </c>
      <c r="AV33" t="s">
        <v>2507</v>
      </c>
      <c r="BA33" t="s">
        <v>2769</v>
      </c>
      <c r="BD33" t="s">
        <v>2508</v>
      </c>
      <c r="BE33" t="s">
        <v>2509</v>
      </c>
      <c r="BF33" t="s">
        <v>2516</v>
      </c>
      <c r="BG33">
        <v>0</v>
      </c>
      <c r="BH33">
        <v>0</v>
      </c>
      <c r="BJ33">
        <v>0</v>
      </c>
    </row>
    <row r="34" spans="1:62" x14ac:dyDescent="0.2">
      <c r="A34" t="s">
        <v>2477</v>
      </c>
      <c r="B34" t="s">
        <v>2477</v>
      </c>
      <c r="C34">
        <v>100002210</v>
      </c>
      <c r="D34" t="s">
        <v>2705</v>
      </c>
      <c r="E34" t="s">
        <v>2439</v>
      </c>
      <c r="F34" t="s">
        <v>2794</v>
      </c>
      <c r="G34" t="s">
        <v>2795</v>
      </c>
      <c r="H34" s="23">
        <v>0.79166666666666663</v>
      </c>
      <c r="I34" t="s">
        <v>2696</v>
      </c>
      <c r="J34" t="s">
        <v>2504</v>
      </c>
      <c r="K34" t="s">
        <v>2513</v>
      </c>
      <c r="L34" t="s">
        <v>2477</v>
      </c>
      <c r="M34" t="s">
        <v>2480</v>
      </c>
      <c r="N34" s="6">
        <v>46003</v>
      </c>
      <c r="O34" t="s">
        <v>2449</v>
      </c>
      <c r="P34" t="s">
        <v>2445</v>
      </c>
      <c r="Q34" s="23">
        <v>0.68447916666666664</v>
      </c>
      <c r="R34" s="23">
        <v>0.98534722222222226</v>
      </c>
      <c r="S34">
        <v>22</v>
      </c>
      <c r="T34">
        <v>1</v>
      </c>
      <c r="U34" t="s">
        <v>2506</v>
      </c>
      <c r="V34">
        <v>6.72</v>
      </c>
      <c r="W34">
        <v>6.72</v>
      </c>
      <c r="X34" t="s">
        <v>2689</v>
      </c>
      <c r="Y34" t="s">
        <v>2689</v>
      </c>
      <c r="Z34" t="s">
        <v>2689</v>
      </c>
      <c r="AA34" t="s">
        <v>2689</v>
      </c>
      <c r="AC34" t="s">
        <v>2689</v>
      </c>
      <c r="AD34" t="s">
        <v>2689</v>
      </c>
      <c r="AE34" t="s">
        <v>2689</v>
      </c>
      <c r="AF34" t="s">
        <v>2689</v>
      </c>
      <c r="AH34">
        <v>147.84</v>
      </c>
      <c r="AI34" t="s">
        <v>2690</v>
      </c>
      <c r="AJ34" t="s">
        <v>2690</v>
      </c>
      <c r="AK34" t="s">
        <v>2690</v>
      </c>
      <c r="AL34" t="s">
        <v>2690</v>
      </c>
      <c r="AP34">
        <v>147.84</v>
      </c>
      <c r="AR34" s="23">
        <v>0.68447916666666664</v>
      </c>
      <c r="AS34" s="23">
        <v>0.98534722222222226</v>
      </c>
      <c r="AT34" s="23">
        <v>0.6875</v>
      </c>
      <c r="AU34" s="23">
        <v>0.97916666666666663</v>
      </c>
      <c r="AV34" t="s">
        <v>2507</v>
      </c>
      <c r="AY34">
        <v>0.5</v>
      </c>
      <c r="AZ34" t="s">
        <v>2796</v>
      </c>
      <c r="BA34" t="s">
        <v>2769</v>
      </c>
      <c r="BD34" t="s">
        <v>2508</v>
      </c>
      <c r="BE34" t="s">
        <v>2509</v>
      </c>
      <c r="BG34">
        <v>0</v>
      </c>
      <c r="BH34">
        <v>0</v>
      </c>
      <c r="BJ34">
        <v>0</v>
      </c>
    </row>
    <row r="35" spans="1:62" x14ac:dyDescent="0.2">
      <c r="A35" t="s">
        <v>2469</v>
      </c>
      <c r="B35" t="s">
        <v>2477</v>
      </c>
      <c r="C35">
        <v>100029715</v>
      </c>
      <c r="D35" t="s">
        <v>2475</v>
      </c>
      <c r="E35" t="s">
        <v>2439</v>
      </c>
      <c r="F35" t="s">
        <v>2791</v>
      </c>
      <c r="G35" t="s">
        <v>2792</v>
      </c>
      <c r="H35" s="23">
        <v>0.79166666666666663</v>
      </c>
      <c r="I35" t="s">
        <v>2696</v>
      </c>
      <c r="J35" t="s">
        <v>2478</v>
      </c>
      <c r="K35" t="s">
        <v>2718</v>
      </c>
      <c r="L35" t="s">
        <v>2477</v>
      </c>
      <c r="M35" t="s">
        <v>2480</v>
      </c>
      <c r="N35" s="6">
        <v>46002</v>
      </c>
      <c r="O35" t="s">
        <v>2459</v>
      </c>
      <c r="P35" t="s">
        <v>2445</v>
      </c>
      <c r="Q35" s="23">
        <v>0.6831018518518519</v>
      </c>
      <c r="R35" s="23">
        <v>0.99416666666666664</v>
      </c>
      <c r="S35">
        <v>22</v>
      </c>
      <c r="T35">
        <v>1</v>
      </c>
      <c r="U35" t="s">
        <v>2481</v>
      </c>
      <c r="V35">
        <v>6.97</v>
      </c>
      <c r="W35">
        <v>6.97</v>
      </c>
      <c r="X35" t="s">
        <v>2689</v>
      </c>
      <c r="Y35" t="s">
        <v>2689</v>
      </c>
      <c r="Z35" t="s">
        <v>2689</v>
      </c>
      <c r="AA35" t="s">
        <v>2689</v>
      </c>
      <c r="AC35" t="s">
        <v>2689</v>
      </c>
      <c r="AD35" t="s">
        <v>2689</v>
      </c>
      <c r="AE35">
        <v>175</v>
      </c>
      <c r="AF35" t="s">
        <v>2689</v>
      </c>
      <c r="AH35">
        <v>153.34</v>
      </c>
      <c r="AI35" t="s">
        <v>2690</v>
      </c>
      <c r="AJ35" t="s">
        <v>2690</v>
      </c>
      <c r="AK35" t="s">
        <v>2690</v>
      </c>
      <c r="AL35" t="s">
        <v>2690</v>
      </c>
      <c r="AP35">
        <v>328.34</v>
      </c>
      <c r="AR35" s="23">
        <v>0.6831018518518519</v>
      </c>
      <c r="AS35" s="23">
        <v>0.99416666666666664</v>
      </c>
      <c r="AT35" s="23">
        <v>0.6875</v>
      </c>
      <c r="AU35" s="23">
        <v>2.0833333333333332E-2</v>
      </c>
      <c r="AV35" t="s">
        <v>2706</v>
      </c>
      <c r="AY35">
        <v>0.5</v>
      </c>
      <c r="AZ35" t="s">
        <v>2797</v>
      </c>
      <c r="BA35" t="s">
        <v>2798</v>
      </c>
      <c r="BD35" t="s">
        <v>2482</v>
      </c>
      <c r="BE35" t="s">
        <v>2478</v>
      </c>
      <c r="BG35">
        <v>0</v>
      </c>
      <c r="BH35">
        <v>0</v>
      </c>
      <c r="BJ35">
        <v>0</v>
      </c>
    </row>
    <row r="36" spans="1:62" x14ac:dyDescent="0.2">
      <c r="A36" t="s">
        <v>2469</v>
      </c>
      <c r="B36" t="s">
        <v>2477</v>
      </c>
      <c r="C36">
        <v>100029801</v>
      </c>
      <c r="D36" t="s">
        <v>2693</v>
      </c>
      <c r="E36" t="s">
        <v>2439</v>
      </c>
      <c r="F36" t="s">
        <v>2791</v>
      </c>
      <c r="G36" t="s">
        <v>2792</v>
      </c>
      <c r="H36" s="23">
        <v>0.79166666666666663</v>
      </c>
      <c r="I36" t="s">
        <v>2696</v>
      </c>
      <c r="J36" t="s">
        <v>2478</v>
      </c>
      <c r="K36" t="s">
        <v>2799</v>
      </c>
      <c r="L36" t="s">
        <v>2477</v>
      </c>
      <c r="M36" t="s">
        <v>2480</v>
      </c>
      <c r="N36" s="6">
        <v>46002</v>
      </c>
      <c r="O36" t="s">
        <v>2459</v>
      </c>
      <c r="P36" t="s">
        <v>2445</v>
      </c>
      <c r="Q36" s="23">
        <v>0.68284722222222227</v>
      </c>
      <c r="R36" s="23">
        <v>0.98175925925925922</v>
      </c>
      <c r="S36">
        <v>22</v>
      </c>
      <c r="T36">
        <v>1</v>
      </c>
      <c r="U36" t="s">
        <v>2481</v>
      </c>
      <c r="V36">
        <v>6.67</v>
      </c>
      <c r="W36">
        <v>6.67</v>
      </c>
      <c r="X36" t="s">
        <v>2689</v>
      </c>
      <c r="Y36" t="s">
        <v>2689</v>
      </c>
      <c r="Z36" t="s">
        <v>2689</v>
      </c>
      <c r="AA36" t="s">
        <v>2689</v>
      </c>
      <c r="AC36" t="s">
        <v>2689</v>
      </c>
      <c r="AD36" t="s">
        <v>2689</v>
      </c>
      <c r="AE36">
        <v>175</v>
      </c>
      <c r="AF36" t="s">
        <v>2689</v>
      </c>
      <c r="AH36">
        <v>146.74</v>
      </c>
      <c r="AI36" t="s">
        <v>2690</v>
      </c>
      <c r="AJ36" t="s">
        <v>2690</v>
      </c>
      <c r="AK36" t="s">
        <v>2690</v>
      </c>
      <c r="AL36" t="s">
        <v>2690</v>
      </c>
      <c r="AP36">
        <v>321.74</v>
      </c>
      <c r="AR36" s="23">
        <v>0.68284722222222227</v>
      </c>
      <c r="AS36" s="23">
        <v>0.98175925925925922</v>
      </c>
      <c r="AT36" s="23">
        <v>0.6875</v>
      </c>
      <c r="AU36" s="24">
        <v>1</v>
      </c>
      <c r="AV36" t="s">
        <v>2706</v>
      </c>
      <c r="AY36">
        <v>0.5</v>
      </c>
      <c r="BA36" t="s">
        <v>2798</v>
      </c>
      <c r="BD36" t="s">
        <v>2482</v>
      </c>
      <c r="BE36" t="s">
        <v>2478</v>
      </c>
      <c r="BF36" t="s">
        <v>2446</v>
      </c>
      <c r="BG36">
        <v>0</v>
      </c>
      <c r="BH36">
        <v>0</v>
      </c>
      <c r="BJ36">
        <v>0</v>
      </c>
    </row>
    <row r="37" spans="1:62" x14ac:dyDescent="0.2">
      <c r="A37" t="s">
        <v>2477</v>
      </c>
      <c r="B37" t="s">
        <v>2477</v>
      </c>
      <c r="C37">
        <v>100030153</v>
      </c>
      <c r="D37" t="s">
        <v>2510</v>
      </c>
      <c r="E37" t="s">
        <v>2439</v>
      </c>
      <c r="F37" t="s">
        <v>2452</v>
      </c>
      <c r="G37" t="s">
        <v>2453</v>
      </c>
      <c r="H37" s="23">
        <v>0.33333333333333331</v>
      </c>
      <c r="I37" t="s">
        <v>2688</v>
      </c>
      <c r="J37" t="s">
        <v>2504</v>
      </c>
      <c r="K37" t="s">
        <v>2512</v>
      </c>
      <c r="L37" t="s">
        <v>2477</v>
      </c>
      <c r="M37" t="s">
        <v>2480</v>
      </c>
      <c r="N37" s="6">
        <v>45992</v>
      </c>
      <c r="O37" t="s">
        <v>2455</v>
      </c>
      <c r="P37" t="s">
        <v>2445</v>
      </c>
      <c r="Q37" s="23">
        <v>0.41350694444444447</v>
      </c>
      <c r="R37" s="23">
        <v>0.6573148148148148</v>
      </c>
      <c r="S37">
        <v>22</v>
      </c>
      <c r="T37">
        <v>1</v>
      </c>
      <c r="U37" t="s">
        <v>2506</v>
      </c>
      <c r="V37">
        <v>5.85</v>
      </c>
      <c r="W37">
        <v>5.85</v>
      </c>
      <c r="X37" t="s">
        <v>2689</v>
      </c>
      <c r="Y37" t="s">
        <v>2689</v>
      </c>
      <c r="Z37" t="s">
        <v>2689</v>
      </c>
      <c r="AA37" t="s">
        <v>2689</v>
      </c>
      <c r="AC37" t="s">
        <v>2689</v>
      </c>
      <c r="AD37" t="s">
        <v>2689</v>
      </c>
      <c r="AE37" t="s">
        <v>2689</v>
      </c>
      <c r="AF37" t="s">
        <v>2689</v>
      </c>
      <c r="AH37">
        <v>128.69999999999999</v>
      </c>
      <c r="AI37" t="s">
        <v>2690</v>
      </c>
      <c r="AJ37" t="s">
        <v>2690</v>
      </c>
      <c r="AK37" t="s">
        <v>2690</v>
      </c>
      <c r="AL37" t="s">
        <v>2690</v>
      </c>
      <c r="AP37">
        <v>128.69999999999999</v>
      </c>
      <c r="AR37" s="23">
        <v>0.41350694444444447</v>
      </c>
      <c r="AS37" s="23">
        <v>0.6573148148148148</v>
      </c>
      <c r="AT37" s="23">
        <v>0.41666666666666669</v>
      </c>
      <c r="AU37" s="23">
        <v>0.66666666666666663</v>
      </c>
      <c r="AV37" t="s">
        <v>2507</v>
      </c>
      <c r="BA37" t="s">
        <v>2692</v>
      </c>
      <c r="BD37" t="s">
        <v>2508</v>
      </c>
      <c r="BE37" t="s">
        <v>2509</v>
      </c>
      <c r="BG37">
        <v>0</v>
      </c>
      <c r="BH37">
        <v>0</v>
      </c>
      <c r="BJ37">
        <v>0</v>
      </c>
    </row>
    <row r="38" spans="1:62" x14ac:dyDescent="0.2">
      <c r="A38" t="s">
        <v>2477</v>
      </c>
      <c r="B38" t="s">
        <v>2477</v>
      </c>
      <c r="C38">
        <v>100030153</v>
      </c>
      <c r="D38" t="s">
        <v>2510</v>
      </c>
      <c r="E38" t="s">
        <v>2439</v>
      </c>
      <c r="F38" t="s">
        <v>2800</v>
      </c>
      <c r="G38" t="s">
        <v>2801</v>
      </c>
      <c r="H38" s="23">
        <v>0.66666666666666663</v>
      </c>
      <c r="I38" t="s">
        <v>2696</v>
      </c>
      <c r="J38" t="s">
        <v>2504</v>
      </c>
      <c r="K38" t="s">
        <v>2513</v>
      </c>
      <c r="L38" t="s">
        <v>2477</v>
      </c>
      <c r="M38" t="s">
        <v>2480</v>
      </c>
      <c r="N38" s="6">
        <v>45993</v>
      </c>
      <c r="O38" t="s">
        <v>2457</v>
      </c>
      <c r="P38" t="s">
        <v>2445</v>
      </c>
      <c r="Q38" s="23">
        <v>0.28736111111111112</v>
      </c>
      <c r="R38" s="23">
        <v>0.60819444444444448</v>
      </c>
      <c r="S38">
        <v>22</v>
      </c>
      <c r="T38">
        <v>1</v>
      </c>
      <c r="U38" t="s">
        <v>2506</v>
      </c>
      <c r="V38">
        <v>7.11</v>
      </c>
      <c r="W38">
        <v>7.11</v>
      </c>
      <c r="X38" t="s">
        <v>2689</v>
      </c>
      <c r="Y38" t="s">
        <v>2689</v>
      </c>
      <c r="Z38" t="s">
        <v>2689</v>
      </c>
      <c r="AA38" t="s">
        <v>2689</v>
      </c>
      <c r="AC38" t="s">
        <v>2689</v>
      </c>
      <c r="AD38" t="s">
        <v>2689</v>
      </c>
      <c r="AE38" t="s">
        <v>2689</v>
      </c>
      <c r="AF38" t="s">
        <v>2689</v>
      </c>
      <c r="AH38">
        <v>156.41999999999999</v>
      </c>
      <c r="AI38" t="s">
        <v>2690</v>
      </c>
      <c r="AJ38" t="s">
        <v>2690</v>
      </c>
      <c r="AK38" t="s">
        <v>2690</v>
      </c>
      <c r="AL38" t="s">
        <v>2690</v>
      </c>
      <c r="AP38">
        <v>156.41999999999999</v>
      </c>
      <c r="AR38" s="23">
        <v>0.28736111111111112</v>
      </c>
      <c r="AS38" s="23">
        <v>0.60819444444444448</v>
      </c>
      <c r="AT38" s="23">
        <v>0.29166666666666669</v>
      </c>
      <c r="AU38" s="23">
        <v>0.625</v>
      </c>
      <c r="AV38" t="s">
        <v>2507</v>
      </c>
      <c r="AY38">
        <v>0.59</v>
      </c>
      <c r="AZ38" t="s">
        <v>2802</v>
      </c>
      <c r="BA38" t="s">
        <v>2752</v>
      </c>
      <c r="BD38" t="s">
        <v>2508</v>
      </c>
      <c r="BE38" t="s">
        <v>2509</v>
      </c>
      <c r="BG38">
        <v>0</v>
      </c>
      <c r="BH38">
        <v>0</v>
      </c>
      <c r="BJ38">
        <v>0</v>
      </c>
    </row>
    <row r="39" spans="1:62" x14ac:dyDescent="0.2">
      <c r="A39" t="s">
        <v>2477</v>
      </c>
      <c r="B39" t="s">
        <v>2477</v>
      </c>
      <c r="C39">
        <v>100030153</v>
      </c>
      <c r="D39" t="s">
        <v>2510</v>
      </c>
      <c r="E39" t="s">
        <v>2439</v>
      </c>
      <c r="F39" t="s">
        <v>2782</v>
      </c>
      <c r="G39" t="s">
        <v>2783</v>
      </c>
      <c r="H39" s="23">
        <v>0.70833333333333337</v>
      </c>
      <c r="I39" t="s">
        <v>2696</v>
      </c>
      <c r="J39" t="s">
        <v>2504</v>
      </c>
      <c r="K39" t="s">
        <v>2803</v>
      </c>
      <c r="L39" t="s">
        <v>2477</v>
      </c>
      <c r="M39" t="s">
        <v>2480</v>
      </c>
      <c r="N39" s="6">
        <v>45994</v>
      </c>
      <c r="O39" t="s">
        <v>2458</v>
      </c>
      <c r="P39" t="s">
        <v>2445</v>
      </c>
      <c r="Q39" s="23">
        <v>0.57638888888888884</v>
      </c>
      <c r="R39" s="23">
        <v>0.88194444444444442</v>
      </c>
      <c r="S39">
        <v>22</v>
      </c>
      <c r="T39">
        <v>1</v>
      </c>
      <c r="U39" t="s">
        <v>2506</v>
      </c>
      <c r="V39">
        <v>6.83</v>
      </c>
      <c r="W39">
        <v>6.83</v>
      </c>
      <c r="X39" t="s">
        <v>2689</v>
      </c>
      <c r="Y39" t="s">
        <v>2689</v>
      </c>
      <c r="Z39" t="s">
        <v>2689</v>
      </c>
      <c r="AA39" t="s">
        <v>2689</v>
      </c>
      <c r="AC39" t="s">
        <v>2689</v>
      </c>
      <c r="AD39" t="s">
        <v>2689</v>
      </c>
      <c r="AE39" t="s">
        <v>2689</v>
      </c>
      <c r="AF39" t="s">
        <v>2689</v>
      </c>
      <c r="AH39">
        <v>150.26</v>
      </c>
      <c r="AI39" t="s">
        <v>2690</v>
      </c>
      <c r="AJ39" t="s">
        <v>2690</v>
      </c>
      <c r="AK39" t="s">
        <v>2690</v>
      </c>
      <c r="AL39" t="s">
        <v>2690</v>
      </c>
      <c r="AP39">
        <v>150.26</v>
      </c>
      <c r="AT39" s="23">
        <v>0.58333333333333337</v>
      </c>
      <c r="AU39" s="23">
        <v>0.875</v>
      </c>
      <c r="AV39" t="s">
        <v>2507</v>
      </c>
      <c r="AY39">
        <v>0.5</v>
      </c>
      <c r="BA39" t="s">
        <v>2757</v>
      </c>
      <c r="BD39" t="s">
        <v>2508</v>
      </c>
      <c r="BE39" t="s">
        <v>2509</v>
      </c>
      <c r="BF39" t="s">
        <v>2456</v>
      </c>
      <c r="BG39">
        <v>0</v>
      </c>
      <c r="BH39">
        <v>0</v>
      </c>
      <c r="BJ39">
        <v>0</v>
      </c>
    </row>
    <row r="40" spans="1:62" x14ac:dyDescent="0.2">
      <c r="A40" t="s">
        <v>2477</v>
      </c>
      <c r="B40" t="s">
        <v>2477</v>
      </c>
      <c r="C40">
        <v>100030153</v>
      </c>
      <c r="D40" t="s">
        <v>2510</v>
      </c>
      <c r="E40" t="s">
        <v>2439</v>
      </c>
      <c r="F40" t="s">
        <v>2804</v>
      </c>
      <c r="G40" t="s">
        <v>2805</v>
      </c>
      <c r="H40" s="23">
        <v>0.70833333333333337</v>
      </c>
      <c r="I40" t="s">
        <v>2696</v>
      </c>
      <c r="J40" t="s">
        <v>2504</v>
      </c>
      <c r="K40" t="s">
        <v>2505</v>
      </c>
      <c r="L40" t="s">
        <v>2477</v>
      </c>
      <c r="M40" t="s">
        <v>2480</v>
      </c>
      <c r="N40" s="6">
        <v>45995</v>
      </c>
      <c r="O40" t="s">
        <v>2459</v>
      </c>
      <c r="P40" t="s">
        <v>2445</v>
      </c>
      <c r="Q40" s="23">
        <v>0.58825231481481477</v>
      </c>
      <c r="R40" s="23">
        <v>0.84379629629629627</v>
      </c>
      <c r="S40">
        <v>22</v>
      </c>
      <c r="T40">
        <v>1</v>
      </c>
      <c r="U40" t="s">
        <v>2506</v>
      </c>
      <c r="V40">
        <v>5.63</v>
      </c>
      <c r="W40">
        <v>5.63</v>
      </c>
      <c r="X40" t="s">
        <v>2689</v>
      </c>
      <c r="Y40" t="s">
        <v>2689</v>
      </c>
      <c r="Z40" t="s">
        <v>2689</v>
      </c>
      <c r="AA40" t="s">
        <v>2689</v>
      </c>
      <c r="AC40" t="s">
        <v>2689</v>
      </c>
      <c r="AD40" t="s">
        <v>2689</v>
      </c>
      <c r="AE40" t="s">
        <v>2689</v>
      </c>
      <c r="AF40" t="s">
        <v>2689</v>
      </c>
      <c r="AH40">
        <v>123.86</v>
      </c>
      <c r="AI40" t="s">
        <v>2690</v>
      </c>
      <c r="AJ40" t="s">
        <v>2690</v>
      </c>
      <c r="AK40" t="s">
        <v>2690</v>
      </c>
      <c r="AL40" t="s">
        <v>2690</v>
      </c>
      <c r="AP40">
        <v>123.86</v>
      </c>
      <c r="AR40" s="23">
        <v>0.58825231481481477</v>
      </c>
      <c r="AS40" s="23">
        <v>0.84379629629629627</v>
      </c>
      <c r="AT40" s="23">
        <v>0.58333333333333337</v>
      </c>
      <c r="AU40" s="23">
        <v>0.85416666666666663</v>
      </c>
      <c r="AV40" t="s">
        <v>2507</v>
      </c>
      <c r="AY40">
        <v>0.5</v>
      </c>
      <c r="AZ40" t="s">
        <v>2806</v>
      </c>
      <c r="BA40" t="s">
        <v>2754</v>
      </c>
      <c r="BD40" t="s">
        <v>2508</v>
      </c>
      <c r="BE40" t="s">
        <v>2509</v>
      </c>
      <c r="BG40">
        <v>0</v>
      </c>
      <c r="BH40">
        <v>0</v>
      </c>
      <c r="BJ40">
        <v>0</v>
      </c>
    </row>
    <row r="41" spans="1:62" x14ac:dyDescent="0.2">
      <c r="A41" t="s">
        <v>2477</v>
      </c>
      <c r="B41" t="s">
        <v>2477</v>
      </c>
      <c r="C41">
        <v>100030153</v>
      </c>
      <c r="D41" t="s">
        <v>2510</v>
      </c>
      <c r="E41" t="s">
        <v>2439</v>
      </c>
      <c r="F41" t="s">
        <v>2452</v>
      </c>
      <c r="G41" t="s">
        <v>2453</v>
      </c>
      <c r="H41" s="23">
        <v>0.33333333333333331</v>
      </c>
      <c r="I41" t="s">
        <v>2688</v>
      </c>
      <c r="J41" t="s">
        <v>2504</v>
      </c>
      <c r="K41" t="s">
        <v>2512</v>
      </c>
      <c r="L41" t="s">
        <v>2477</v>
      </c>
      <c r="M41" t="s">
        <v>2480</v>
      </c>
      <c r="N41" s="6">
        <v>45998</v>
      </c>
      <c r="O41" t="s">
        <v>2461</v>
      </c>
      <c r="P41" t="s">
        <v>2442</v>
      </c>
      <c r="Q41" s="23">
        <v>0.3721875</v>
      </c>
      <c r="R41" s="23">
        <v>0.6177893518518518</v>
      </c>
      <c r="S41">
        <v>22</v>
      </c>
      <c r="T41">
        <v>1</v>
      </c>
      <c r="U41" t="s">
        <v>2506</v>
      </c>
      <c r="V41">
        <v>5.89</v>
      </c>
      <c r="W41">
        <v>5.89</v>
      </c>
      <c r="X41" t="s">
        <v>2689</v>
      </c>
      <c r="Y41" t="s">
        <v>2689</v>
      </c>
      <c r="Z41" t="s">
        <v>2689</v>
      </c>
      <c r="AA41" t="s">
        <v>2689</v>
      </c>
      <c r="AC41" t="s">
        <v>2689</v>
      </c>
      <c r="AD41" t="s">
        <v>2689</v>
      </c>
      <c r="AE41" t="s">
        <v>2689</v>
      </c>
      <c r="AF41" t="s">
        <v>2689</v>
      </c>
      <c r="AH41">
        <v>129.58000000000001</v>
      </c>
      <c r="AI41" t="s">
        <v>2690</v>
      </c>
      <c r="AJ41" t="s">
        <v>2690</v>
      </c>
      <c r="AK41" t="s">
        <v>2690</v>
      </c>
      <c r="AL41" t="s">
        <v>2690</v>
      </c>
      <c r="AP41">
        <v>129.58000000000001</v>
      </c>
      <c r="AR41" s="23">
        <v>0.3721875</v>
      </c>
      <c r="AS41" s="23">
        <v>0.6177893518518518</v>
      </c>
      <c r="AT41" s="23">
        <v>0.375</v>
      </c>
      <c r="AU41" s="23">
        <v>0.625</v>
      </c>
      <c r="AV41" t="s">
        <v>2507</v>
      </c>
      <c r="BA41" t="s">
        <v>2754</v>
      </c>
      <c r="BD41" t="s">
        <v>2508</v>
      </c>
      <c r="BE41" t="s">
        <v>2509</v>
      </c>
      <c r="BG41">
        <v>0</v>
      </c>
      <c r="BH41">
        <v>0</v>
      </c>
      <c r="BJ41">
        <v>0</v>
      </c>
    </row>
    <row r="42" spans="1:62" x14ac:dyDescent="0.2">
      <c r="A42" t="s">
        <v>2477</v>
      </c>
      <c r="B42" t="s">
        <v>2477</v>
      </c>
      <c r="C42">
        <v>100030153</v>
      </c>
      <c r="D42" t="s">
        <v>2510</v>
      </c>
      <c r="E42" t="s">
        <v>2439</v>
      </c>
      <c r="F42" t="s">
        <v>2786</v>
      </c>
      <c r="G42" t="s">
        <v>2787</v>
      </c>
      <c r="H42" s="23">
        <v>0.66666666666666663</v>
      </c>
      <c r="I42" t="s">
        <v>2696</v>
      </c>
      <c r="J42" t="s">
        <v>2504</v>
      </c>
      <c r="K42" t="s">
        <v>2505</v>
      </c>
      <c r="L42" t="s">
        <v>2477</v>
      </c>
      <c r="M42" t="s">
        <v>2480</v>
      </c>
      <c r="N42" s="6">
        <v>45999</v>
      </c>
      <c r="O42" t="s">
        <v>2455</v>
      </c>
      <c r="P42" t="s">
        <v>2445</v>
      </c>
      <c r="Q42" s="23">
        <v>0.30756944444444445</v>
      </c>
      <c r="R42" s="23">
        <v>0.78715277777777781</v>
      </c>
      <c r="S42">
        <v>22</v>
      </c>
      <c r="T42">
        <v>1</v>
      </c>
      <c r="U42" t="s">
        <v>2506</v>
      </c>
      <c r="V42">
        <v>11.01</v>
      </c>
      <c r="W42">
        <v>8</v>
      </c>
      <c r="X42">
        <v>3.01</v>
      </c>
      <c r="Y42" t="s">
        <v>2689</v>
      </c>
      <c r="Z42" t="s">
        <v>2689</v>
      </c>
      <c r="AA42" t="s">
        <v>2689</v>
      </c>
      <c r="AC42" t="s">
        <v>2689</v>
      </c>
      <c r="AD42" t="s">
        <v>2689</v>
      </c>
      <c r="AE42" t="s">
        <v>2689</v>
      </c>
      <c r="AF42" t="s">
        <v>2689</v>
      </c>
      <c r="AH42">
        <v>176</v>
      </c>
      <c r="AI42">
        <v>99.33</v>
      </c>
      <c r="AJ42" t="s">
        <v>2690</v>
      </c>
      <c r="AK42" t="s">
        <v>2690</v>
      </c>
      <c r="AL42" t="s">
        <v>2690</v>
      </c>
      <c r="AP42">
        <v>275.33</v>
      </c>
      <c r="AR42" s="23">
        <v>0.30756944444444445</v>
      </c>
      <c r="AS42" s="23">
        <v>0.78715277777777781</v>
      </c>
      <c r="AT42" s="23">
        <v>0.3125</v>
      </c>
      <c r="AU42" s="23">
        <v>0.625</v>
      </c>
      <c r="AV42" t="s">
        <v>2507</v>
      </c>
      <c r="AY42">
        <v>0.5</v>
      </c>
      <c r="AZ42" t="s">
        <v>2807</v>
      </c>
      <c r="BA42" t="s">
        <v>2757</v>
      </c>
      <c r="BD42" t="s">
        <v>2508</v>
      </c>
      <c r="BE42" t="s">
        <v>2509</v>
      </c>
      <c r="BG42">
        <v>0</v>
      </c>
      <c r="BH42">
        <v>0</v>
      </c>
      <c r="BJ42">
        <v>0</v>
      </c>
    </row>
    <row r="43" spans="1:62" x14ac:dyDescent="0.2">
      <c r="A43" t="s">
        <v>2477</v>
      </c>
      <c r="B43" t="s">
        <v>2477</v>
      </c>
      <c r="C43">
        <v>100030153</v>
      </c>
      <c r="D43" t="s">
        <v>2510</v>
      </c>
      <c r="E43" t="s">
        <v>2439</v>
      </c>
      <c r="F43" t="s">
        <v>2789</v>
      </c>
      <c r="G43" t="s">
        <v>2790</v>
      </c>
      <c r="H43" s="23">
        <v>0.375</v>
      </c>
      <c r="I43" t="s">
        <v>2696</v>
      </c>
      <c r="J43" t="s">
        <v>2504</v>
      </c>
      <c r="K43" t="s">
        <v>2511</v>
      </c>
      <c r="L43" t="s">
        <v>2477</v>
      </c>
      <c r="M43" t="s">
        <v>2480</v>
      </c>
      <c r="N43" s="6">
        <v>46000</v>
      </c>
      <c r="O43" t="s">
        <v>2457</v>
      </c>
      <c r="P43" t="s">
        <v>2445</v>
      </c>
      <c r="Q43" s="23">
        <v>0.3125</v>
      </c>
      <c r="R43" s="23">
        <v>0.75</v>
      </c>
      <c r="S43">
        <v>22</v>
      </c>
      <c r="T43">
        <v>1</v>
      </c>
      <c r="U43" t="s">
        <v>2506</v>
      </c>
      <c r="V43">
        <v>10</v>
      </c>
      <c r="W43">
        <v>8</v>
      </c>
      <c r="X43">
        <v>2</v>
      </c>
      <c r="Y43" t="s">
        <v>2689</v>
      </c>
      <c r="Z43" t="s">
        <v>2689</v>
      </c>
      <c r="AA43" t="s">
        <v>2689</v>
      </c>
      <c r="AC43" t="s">
        <v>2689</v>
      </c>
      <c r="AD43" t="s">
        <v>2689</v>
      </c>
      <c r="AE43" t="s">
        <v>2689</v>
      </c>
      <c r="AF43" t="s">
        <v>2689</v>
      </c>
      <c r="AH43">
        <v>176</v>
      </c>
      <c r="AI43">
        <v>66</v>
      </c>
      <c r="AJ43" t="s">
        <v>2690</v>
      </c>
      <c r="AK43" t="s">
        <v>2690</v>
      </c>
      <c r="AL43" t="s">
        <v>2690</v>
      </c>
      <c r="AP43">
        <v>242</v>
      </c>
      <c r="AT43" s="23">
        <v>0.29166666666666669</v>
      </c>
      <c r="AU43" s="23">
        <v>0.625</v>
      </c>
      <c r="AV43" t="s">
        <v>2507</v>
      </c>
      <c r="AY43">
        <v>0.5</v>
      </c>
      <c r="BA43" t="s">
        <v>2757</v>
      </c>
      <c r="BD43" t="s">
        <v>2508</v>
      </c>
      <c r="BE43" t="s">
        <v>2509</v>
      </c>
      <c r="BF43" t="s">
        <v>2456</v>
      </c>
      <c r="BG43">
        <v>0</v>
      </c>
      <c r="BH43">
        <v>0</v>
      </c>
      <c r="BJ43">
        <v>0</v>
      </c>
    </row>
    <row r="44" spans="1:62" x14ac:dyDescent="0.2">
      <c r="A44" t="s">
        <v>2477</v>
      </c>
      <c r="B44" t="s">
        <v>2477</v>
      </c>
      <c r="C44">
        <v>100030153</v>
      </c>
      <c r="D44" t="s">
        <v>2510</v>
      </c>
      <c r="E44" t="s">
        <v>2439</v>
      </c>
      <c r="F44" t="s">
        <v>2452</v>
      </c>
      <c r="G44" t="s">
        <v>2453</v>
      </c>
      <c r="H44" s="23">
        <v>0.33333333333333331</v>
      </c>
      <c r="I44" t="s">
        <v>2688</v>
      </c>
      <c r="J44" t="s">
        <v>2504</v>
      </c>
      <c r="K44" t="s">
        <v>2513</v>
      </c>
      <c r="L44" t="s">
        <v>2477</v>
      </c>
      <c r="M44" t="s">
        <v>2480</v>
      </c>
      <c r="N44" s="6">
        <v>46001</v>
      </c>
      <c r="O44" t="s">
        <v>2458</v>
      </c>
      <c r="P44" t="s">
        <v>2445</v>
      </c>
      <c r="Q44" s="23">
        <v>0.50694444444444442</v>
      </c>
      <c r="R44" s="23">
        <v>0.75</v>
      </c>
      <c r="S44">
        <v>22</v>
      </c>
      <c r="T44">
        <v>1</v>
      </c>
      <c r="U44" t="s">
        <v>2506</v>
      </c>
      <c r="V44">
        <v>5.83</v>
      </c>
      <c r="W44">
        <v>5.83</v>
      </c>
      <c r="X44" t="s">
        <v>2689</v>
      </c>
      <c r="Y44" t="s">
        <v>2689</v>
      </c>
      <c r="Z44" t="s">
        <v>2689</v>
      </c>
      <c r="AA44" t="s">
        <v>2689</v>
      </c>
      <c r="AC44" t="s">
        <v>2689</v>
      </c>
      <c r="AD44" t="s">
        <v>2689</v>
      </c>
      <c r="AE44" t="s">
        <v>2689</v>
      </c>
      <c r="AF44" t="s">
        <v>2689</v>
      </c>
      <c r="AH44">
        <v>128.26</v>
      </c>
      <c r="AI44" t="s">
        <v>2690</v>
      </c>
      <c r="AJ44" t="s">
        <v>2690</v>
      </c>
      <c r="AK44" t="s">
        <v>2690</v>
      </c>
      <c r="AL44" t="s">
        <v>2690</v>
      </c>
      <c r="AP44">
        <v>128.26</v>
      </c>
      <c r="AT44" s="23">
        <v>0.45833333333333331</v>
      </c>
      <c r="AU44" s="23">
        <v>0.75</v>
      </c>
      <c r="AV44" t="s">
        <v>2507</v>
      </c>
      <c r="BA44" t="s">
        <v>2798</v>
      </c>
      <c r="BD44" t="s">
        <v>2508</v>
      </c>
      <c r="BE44" t="s">
        <v>2509</v>
      </c>
      <c r="BF44" t="s">
        <v>2456</v>
      </c>
      <c r="BG44">
        <v>0</v>
      </c>
      <c r="BH44">
        <v>0</v>
      </c>
      <c r="BJ44">
        <v>0</v>
      </c>
    </row>
    <row r="45" spans="1:62" x14ac:dyDescent="0.2">
      <c r="A45" t="s">
        <v>2477</v>
      </c>
      <c r="B45" t="s">
        <v>2477</v>
      </c>
      <c r="C45">
        <v>100030153</v>
      </c>
      <c r="D45" t="s">
        <v>2510</v>
      </c>
      <c r="E45" t="s">
        <v>2439</v>
      </c>
      <c r="F45" t="s">
        <v>2791</v>
      </c>
      <c r="G45" t="s">
        <v>2792</v>
      </c>
      <c r="H45" s="23">
        <v>0.79166666666666663</v>
      </c>
      <c r="I45" t="s">
        <v>2696</v>
      </c>
      <c r="J45" t="s">
        <v>2504</v>
      </c>
      <c r="K45" t="s">
        <v>2808</v>
      </c>
      <c r="L45" t="s">
        <v>2477</v>
      </c>
      <c r="M45" t="s">
        <v>2480</v>
      </c>
      <c r="N45" s="6">
        <v>46002</v>
      </c>
      <c r="O45" t="s">
        <v>2459</v>
      </c>
      <c r="P45" t="s">
        <v>2445</v>
      </c>
      <c r="Q45" s="23">
        <v>0.69013888888888886</v>
      </c>
      <c r="R45" s="23">
        <v>0.99349537037037039</v>
      </c>
      <c r="S45">
        <v>22</v>
      </c>
      <c r="T45">
        <v>1</v>
      </c>
      <c r="U45" t="s">
        <v>2506</v>
      </c>
      <c r="V45">
        <v>6.78</v>
      </c>
      <c r="W45">
        <v>6.78</v>
      </c>
      <c r="X45" t="s">
        <v>2689</v>
      </c>
      <c r="Y45" t="s">
        <v>2689</v>
      </c>
      <c r="Z45" t="s">
        <v>2689</v>
      </c>
      <c r="AA45" t="s">
        <v>2689</v>
      </c>
      <c r="AC45" t="s">
        <v>2689</v>
      </c>
      <c r="AD45" t="s">
        <v>2689</v>
      </c>
      <c r="AE45" t="s">
        <v>2689</v>
      </c>
      <c r="AF45" t="s">
        <v>2689</v>
      </c>
      <c r="AH45">
        <v>149.16</v>
      </c>
      <c r="AI45" t="s">
        <v>2690</v>
      </c>
      <c r="AJ45" t="s">
        <v>2690</v>
      </c>
      <c r="AK45" t="s">
        <v>2690</v>
      </c>
      <c r="AL45" t="s">
        <v>2690</v>
      </c>
      <c r="AP45">
        <v>149.16</v>
      </c>
      <c r="AR45" s="23">
        <v>0.69013888888888886</v>
      </c>
      <c r="AS45" s="23">
        <v>0.99349537037037039</v>
      </c>
      <c r="AT45" s="23">
        <v>0.6875</v>
      </c>
      <c r="AU45" s="24">
        <v>1</v>
      </c>
      <c r="AV45" t="s">
        <v>2507</v>
      </c>
      <c r="AY45">
        <v>0.5</v>
      </c>
      <c r="AZ45" t="s">
        <v>2809</v>
      </c>
      <c r="BA45" t="s">
        <v>2769</v>
      </c>
      <c r="BD45" t="s">
        <v>2508</v>
      </c>
      <c r="BE45" t="s">
        <v>2509</v>
      </c>
      <c r="BG45">
        <v>0</v>
      </c>
      <c r="BH45">
        <v>0</v>
      </c>
      <c r="BJ45">
        <v>0</v>
      </c>
    </row>
    <row r="46" spans="1:62" x14ac:dyDescent="0.2">
      <c r="A46" t="s">
        <v>2477</v>
      </c>
      <c r="B46" t="s">
        <v>2477</v>
      </c>
      <c r="C46">
        <v>100030153</v>
      </c>
      <c r="D46" t="s">
        <v>2510</v>
      </c>
      <c r="E46" t="s">
        <v>2439</v>
      </c>
      <c r="F46" t="s">
        <v>2794</v>
      </c>
      <c r="G46" t="s">
        <v>2795</v>
      </c>
      <c r="H46" s="23">
        <v>0.79166666666666663</v>
      </c>
      <c r="I46" t="s">
        <v>2696</v>
      </c>
      <c r="J46" t="s">
        <v>2504</v>
      </c>
      <c r="K46" t="s">
        <v>2515</v>
      </c>
      <c r="L46" t="s">
        <v>2477</v>
      </c>
      <c r="M46" t="s">
        <v>2480</v>
      </c>
      <c r="N46" s="6">
        <v>46003</v>
      </c>
      <c r="O46" t="s">
        <v>2449</v>
      </c>
      <c r="P46" t="s">
        <v>2445</v>
      </c>
      <c r="Q46" s="23">
        <v>0.69366898148148148</v>
      </c>
      <c r="R46" s="23">
        <v>0.98527777777777781</v>
      </c>
      <c r="S46">
        <v>22</v>
      </c>
      <c r="T46">
        <v>1</v>
      </c>
      <c r="U46" t="s">
        <v>2506</v>
      </c>
      <c r="V46">
        <v>6.5</v>
      </c>
      <c r="W46">
        <v>6.5</v>
      </c>
      <c r="X46" t="s">
        <v>2689</v>
      </c>
      <c r="Y46" t="s">
        <v>2689</v>
      </c>
      <c r="Z46" t="s">
        <v>2689</v>
      </c>
      <c r="AA46" t="s">
        <v>2689</v>
      </c>
      <c r="AC46" t="s">
        <v>2689</v>
      </c>
      <c r="AD46" t="s">
        <v>2689</v>
      </c>
      <c r="AE46" t="s">
        <v>2689</v>
      </c>
      <c r="AF46" t="s">
        <v>2689</v>
      </c>
      <c r="AH46">
        <v>143</v>
      </c>
      <c r="AI46" t="s">
        <v>2690</v>
      </c>
      <c r="AJ46" t="s">
        <v>2690</v>
      </c>
      <c r="AK46" t="s">
        <v>2690</v>
      </c>
      <c r="AL46" t="s">
        <v>2690</v>
      </c>
      <c r="AP46">
        <v>143</v>
      </c>
      <c r="AR46" s="23">
        <v>0.69366898148148148</v>
      </c>
      <c r="AS46" s="23">
        <v>0.98527777777777781</v>
      </c>
      <c r="AT46" s="23">
        <v>0.6875</v>
      </c>
      <c r="AU46" s="23">
        <v>0.97916666666666663</v>
      </c>
      <c r="AV46" t="s">
        <v>2507</v>
      </c>
      <c r="AY46">
        <v>0.5</v>
      </c>
      <c r="AZ46" t="s">
        <v>2810</v>
      </c>
      <c r="BA46" t="s">
        <v>2769</v>
      </c>
      <c r="BD46" t="s">
        <v>2508</v>
      </c>
      <c r="BE46" t="s">
        <v>2509</v>
      </c>
      <c r="BG46">
        <v>0</v>
      </c>
      <c r="BH46">
        <v>0</v>
      </c>
      <c r="BJ46">
        <v>0</v>
      </c>
    </row>
    <row r="47" spans="1:62" x14ac:dyDescent="0.2">
      <c r="A47" t="s">
        <v>2477</v>
      </c>
      <c r="B47" t="s">
        <v>2477</v>
      </c>
      <c r="C47">
        <v>100030153</v>
      </c>
      <c r="D47" t="s">
        <v>2510</v>
      </c>
      <c r="E47" t="s">
        <v>2439</v>
      </c>
      <c r="F47" t="s">
        <v>2811</v>
      </c>
      <c r="G47" t="s">
        <v>2812</v>
      </c>
      <c r="H47" s="23">
        <v>0.6875</v>
      </c>
      <c r="I47" t="s">
        <v>2696</v>
      </c>
      <c r="J47" t="s">
        <v>2504</v>
      </c>
      <c r="K47" t="s">
        <v>2512</v>
      </c>
      <c r="L47" t="s">
        <v>2477</v>
      </c>
      <c r="M47" t="s">
        <v>2480</v>
      </c>
      <c r="N47" s="6">
        <v>46005</v>
      </c>
      <c r="O47" t="s">
        <v>2461</v>
      </c>
      <c r="P47" t="s">
        <v>2442</v>
      </c>
      <c r="Q47" s="23">
        <v>0.58175925925925931</v>
      </c>
      <c r="R47" s="23">
        <v>0.89320601851851855</v>
      </c>
      <c r="S47">
        <v>22</v>
      </c>
      <c r="T47">
        <v>1</v>
      </c>
      <c r="U47" t="s">
        <v>2506</v>
      </c>
      <c r="V47">
        <v>6.97</v>
      </c>
      <c r="W47">
        <v>6.97</v>
      </c>
      <c r="X47" t="s">
        <v>2689</v>
      </c>
      <c r="Y47" t="s">
        <v>2689</v>
      </c>
      <c r="Z47" t="s">
        <v>2689</v>
      </c>
      <c r="AA47" t="s">
        <v>2689</v>
      </c>
      <c r="AC47" t="s">
        <v>2689</v>
      </c>
      <c r="AD47" t="s">
        <v>2689</v>
      </c>
      <c r="AE47" t="s">
        <v>2689</v>
      </c>
      <c r="AF47" t="s">
        <v>2689</v>
      </c>
      <c r="AH47">
        <v>153.34</v>
      </c>
      <c r="AI47" t="s">
        <v>2690</v>
      </c>
      <c r="AJ47" t="s">
        <v>2690</v>
      </c>
      <c r="AK47" t="s">
        <v>2690</v>
      </c>
      <c r="AL47" t="s">
        <v>2690</v>
      </c>
      <c r="AP47">
        <v>153.34</v>
      </c>
      <c r="AR47" s="23">
        <v>0.58175925925925931</v>
      </c>
      <c r="AS47" s="23">
        <v>0.89320601851851855</v>
      </c>
      <c r="AT47" s="23">
        <v>0.58333333333333337</v>
      </c>
      <c r="AU47" s="23">
        <v>0.89583333333333337</v>
      </c>
      <c r="AV47" t="s">
        <v>2507</v>
      </c>
      <c r="AY47">
        <v>0.5</v>
      </c>
      <c r="AZ47" t="s">
        <v>2813</v>
      </c>
      <c r="BA47" t="s">
        <v>2769</v>
      </c>
      <c r="BD47" t="s">
        <v>2508</v>
      </c>
      <c r="BE47" t="s">
        <v>2509</v>
      </c>
      <c r="BG47">
        <v>0</v>
      </c>
      <c r="BH47">
        <v>0</v>
      </c>
      <c r="BJ47">
        <v>0</v>
      </c>
    </row>
    <row r="48" spans="1:62" x14ac:dyDescent="0.2">
      <c r="A48" t="s">
        <v>2477</v>
      </c>
      <c r="B48" t="s">
        <v>2477</v>
      </c>
      <c r="C48">
        <v>100030153</v>
      </c>
      <c r="D48" t="s">
        <v>2510</v>
      </c>
      <c r="E48" t="s">
        <v>2439</v>
      </c>
      <c r="F48" t="s">
        <v>2814</v>
      </c>
      <c r="G48" t="s">
        <v>2815</v>
      </c>
      <c r="H48" s="23">
        <v>0.47916666666666669</v>
      </c>
      <c r="I48" t="s">
        <v>2696</v>
      </c>
      <c r="J48" t="s">
        <v>2504</v>
      </c>
      <c r="K48" t="s">
        <v>2513</v>
      </c>
      <c r="L48" t="s">
        <v>2477</v>
      </c>
      <c r="M48" t="s">
        <v>2480</v>
      </c>
      <c r="N48" s="6">
        <v>46006</v>
      </c>
      <c r="O48" t="s">
        <v>2455</v>
      </c>
      <c r="P48" t="s">
        <v>2445</v>
      </c>
      <c r="Q48" s="23">
        <v>0.2893634259259259</v>
      </c>
      <c r="R48" s="23">
        <v>0.61949074074074073</v>
      </c>
      <c r="S48">
        <v>22</v>
      </c>
      <c r="T48">
        <v>1</v>
      </c>
      <c r="U48" t="s">
        <v>2506</v>
      </c>
      <c r="V48">
        <v>7.42</v>
      </c>
      <c r="W48">
        <v>7.42</v>
      </c>
      <c r="X48" t="s">
        <v>2689</v>
      </c>
      <c r="Y48" t="s">
        <v>2689</v>
      </c>
      <c r="Z48" t="s">
        <v>2689</v>
      </c>
      <c r="AA48" t="s">
        <v>2689</v>
      </c>
      <c r="AC48" t="s">
        <v>2689</v>
      </c>
      <c r="AD48" t="s">
        <v>2689</v>
      </c>
      <c r="AE48" t="s">
        <v>2689</v>
      </c>
      <c r="AF48" t="s">
        <v>2689</v>
      </c>
      <c r="AH48">
        <v>163.24</v>
      </c>
      <c r="AI48" t="s">
        <v>2690</v>
      </c>
      <c r="AJ48" t="s">
        <v>2690</v>
      </c>
      <c r="AK48" t="s">
        <v>2690</v>
      </c>
      <c r="AL48" t="s">
        <v>2690</v>
      </c>
      <c r="AP48">
        <v>163.24</v>
      </c>
      <c r="AR48" s="23">
        <v>0.2893634259259259</v>
      </c>
      <c r="AS48" s="23">
        <v>0.61949074074074073</v>
      </c>
      <c r="AT48" s="23">
        <v>0.29166666666666669</v>
      </c>
      <c r="AU48" s="23">
        <v>0.625</v>
      </c>
      <c r="AV48" t="s">
        <v>2507</v>
      </c>
      <c r="AY48">
        <v>0.5</v>
      </c>
      <c r="AZ48" t="s">
        <v>2816</v>
      </c>
      <c r="BA48" t="s">
        <v>2769</v>
      </c>
      <c r="BD48" t="s">
        <v>2508</v>
      </c>
      <c r="BE48" t="s">
        <v>2509</v>
      </c>
      <c r="BG48">
        <v>0</v>
      </c>
      <c r="BH48">
        <v>0</v>
      </c>
      <c r="BJ48">
        <v>0</v>
      </c>
    </row>
    <row r="49" spans="1:62" x14ac:dyDescent="0.2">
      <c r="A49" t="s">
        <v>2477</v>
      </c>
      <c r="B49" t="s">
        <v>2477</v>
      </c>
      <c r="C49">
        <v>100030854</v>
      </c>
      <c r="D49" t="s">
        <v>2817</v>
      </c>
      <c r="E49" t="s">
        <v>2439</v>
      </c>
      <c r="F49" t="s">
        <v>2782</v>
      </c>
      <c r="G49" t="s">
        <v>2783</v>
      </c>
      <c r="H49" s="23">
        <v>0.70833333333333337</v>
      </c>
      <c r="I49" t="s">
        <v>2696</v>
      </c>
      <c r="J49" t="s">
        <v>2504</v>
      </c>
      <c r="K49" t="s">
        <v>2818</v>
      </c>
      <c r="L49" t="s">
        <v>2477</v>
      </c>
      <c r="M49" t="s">
        <v>2480</v>
      </c>
      <c r="N49" s="6">
        <v>45994</v>
      </c>
      <c r="O49" t="s">
        <v>2458</v>
      </c>
      <c r="P49" t="s">
        <v>2445</v>
      </c>
      <c r="Q49" s="23">
        <v>0.57674768518518515</v>
      </c>
      <c r="R49" s="23">
        <v>0.85481481481481481</v>
      </c>
      <c r="S49">
        <v>22</v>
      </c>
      <c r="T49">
        <v>1</v>
      </c>
      <c r="U49" t="s">
        <v>2506</v>
      </c>
      <c r="V49">
        <v>6.17</v>
      </c>
      <c r="W49">
        <v>6.17</v>
      </c>
      <c r="X49" t="s">
        <v>2689</v>
      </c>
      <c r="Y49" t="s">
        <v>2689</v>
      </c>
      <c r="Z49" t="s">
        <v>2689</v>
      </c>
      <c r="AA49" t="s">
        <v>2689</v>
      </c>
      <c r="AC49" t="s">
        <v>2689</v>
      </c>
      <c r="AD49" t="s">
        <v>2689</v>
      </c>
      <c r="AE49" t="s">
        <v>2689</v>
      </c>
      <c r="AF49" t="s">
        <v>2689</v>
      </c>
      <c r="AH49">
        <v>135.74</v>
      </c>
      <c r="AI49" t="s">
        <v>2690</v>
      </c>
      <c r="AJ49" t="s">
        <v>2690</v>
      </c>
      <c r="AK49" t="s">
        <v>2690</v>
      </c>
      <c r="AL49" t="s">
        <v>2690</v>
      </c>
      <c r="AP49">
        <v>135.74</v>
      </c>
      <c r="AR49" s="23">
        <v>0.57674768518518515</v>
      </c>
      <c r="AS49" s="23">
        <v>0.85481481481481481</v>
      </c>
      <c r="AT49" s="23">
        <v>0.58333333333333337</v>
      </c>
      <c r="AU49" s="23">
        <v>0.875</v>
      </c>
      <c r="AV49" t="s">
        <v>2507</v>
      </c>
      <c r="AY49">
        <v>0.5</v>
      </c>
      <c r="AZ49" t="s">
        <v>2819</v>
      </c>
      <c r="BA49" t="s">
        <v>2754</v>
      </c>
      <c r="BD49" t="s">
        <v>2508</v>
      </c>
      <c r="BE49" t="s">
        <v>2509</v>
      </c>
      <c r="BG49">
        <v>0</v>
      </c>
      <c r="BH49">
        <v>0</v>
      </c>
      <c r="BJ49">
        <v>0</v>
      </c>
    </row>
    <row r="50" spans="1:62" x14ac:dyDescent="0.2">
      <c r="A50" t="s">
        <v>2477</v>
      </c>
      <c r="B50" t="s">
        <v>2477</v>
      </c>
      <c r="C50">
        <v>100030897</v>
      </c>
      <c r="D50" t="s">
        <v>2514</v>
      </c>
      <c r="E50" t="s">
        <v>2439</v>
      </c>
      <c r="F50" t="s">
        <v>2800</v>
      </c>
      <c r="G50" t="s">
        <v>2801</v>
      </c>
      <c r="H50" s="23">
        <v>0.66666666666666663</v>
      </c>
      <c r="I50" t="s">
        <v>2696</v>
      </c>
      <c r="J50" t="s">
        <v>2504</v>
      </c>
      <c r="K50" t="s">
        <v>2512</v>
      </c>
      <c r="L50" t="s">
        <v>2477</v>
      </c>
      <c r="M50" t="s">
        <v>2480</v>
      </c>
      <c r="N50" s="6">
        <v>45993</v>
      </c>
      <c r="O50" t="s">
        <v>2457</v>
      </c>
      <c r="P50" t="s">
        <v>2445</v>
      </c>
      <c r="Q50" s="23">
        <v>0.32920138888888889</v>
      </c>
      <c r="R50" s="23">
        <v>0.60293981481481485</v>
      </c>
      <c r="S50">
        <v>22</v>
      </c>
      <c r="T50">
        <v>1</v>
      </c>
      <c r="U50" t="s">
        <v>2506</v>
      </c>
      <c r="V50">
        <v>6.07</v>
      </c>
      <c r="W50">
        <v>6.07</v>
      </c>
      <c r="X50" t="s">
        <v>2689</v>
      </c>
      <c r="Y50" t="s">
        <v>2689</v>
      </c>
      <c r="Z50" t="s">
        <v>2689</v>
      </c>
      <c r="AA50" t="s">
        <v>2689</v>
      </c>
      <c r="AC50" t="s">
        <v>2689</v>
      </c>
      <c r="AD50" t="s">
        <v>2689</v>
      </c>
      <c r="AE50" t="s">
        <v>2689</v>
      </c>
      <c r="AF50" t="s">
        <v>2689</v>
      </c>
      <c r="AH50">
        <v>133.54</v>
      </c>
      <c r="AI50" t="s">
        <v>2690</v>
      </c>
      <c r="AJ50" t="s">
        <v>2690</v>
      </c>
      <c r="AK50" t="s">
        <v>2690</v>
      </c>
      <c r="AL50" t="s">
        <v>2690</v>
      </c>
      <c r="AP50">
        <v>133.54</v>
      </c>
      <c r="AR50" s="23">
        <v>0.32920138888888889</v>
      </c>
      <c r="AS50" s="23">
        <v>0.60293981481481485</v>
      </c>
      <c r="AT50" s="23">
        <v>0.33333333333333331</v>
      </c>
      <c r="AU50" s="23">
        <v>0.625</v>
      </c>
      <c r="AV50" t="s">
        <v>2507</v>
      </c>
      <c r="AY50">
        <v>0.5</v>
      </c>
      <c r="AZ50" t="s">
        <v>2820</v>
      </c>
      <c r="BA50" t="s">
        <v>2752</v>
      </c>
      <c r="BD50" t="s">
        <v>2508</v>
      </c>
      <c r="BE50" t="s">
        <v>2509</v>
      </c>
      <c r="BG50">
        <v>0</v>
      </c>
      <c r="BH50">
        <v>0</v>
      </c>
      <c r="BJ50">
        <v>0</v>
      </c>
    </row>
    <row r="51" spans="1:62" x14ac:dyDescent="0.2">
      <c r="A51" t="s">
        <v>2477</v>
      </c>
      <c r="B51" t="s">
        <v>2477</v>
      </c>
      <c r="C51">
        <v>100030897</v>
      </c>
      <c r="D51" t="s">
        <v>2514</v>
      </c>
      <c r="E51" t="s">
        <v>2439</v>
      </c>
      <c r="F51" t="s">
        <v>2782</v>
      </c>
      <c r="G51" t="s">
        <v>2783</v>
      </c>
      <c r="H51" s="23">
        <v>0.70833333333333337</v>
      </c>
      <c r="I51" t="s">
        <v>2696</v>
      </c>
      <c r="J51" t="s">
        <v>2504</v>
      </c>
      <c r="K51" t="s">
        <v>2821</v>
      </c>
      <c r="L51" t="s">
        <v>2477</v>
      </c>
      <c r="M51" t="s">
        <v>2480</v>
      </c>
      <c r="N51" s="6">
        <v>45994</v>
      </c>
      <c r="O51" t="s">
        <v>2458</v>
      </c>
      <c r="P51" t="s">
        <v>2445</v>
      </c>
      <c r="Q51" s="23">
        <v>0.57664351851851847</v>
      </c>
      <c r="R51" s="23">
        <v>0.85468750000000004</v>
      </c>
      <c r="S51">
        <v>22</v>
      </c>
      <c r="T51">
        <v>1</v>
      </c>
      <c r="U51" t="s">
        <v>2506</v>
      </c>
      <c r="V51">
        <v>6.17</v>
      </c>
      <c r="W51">
        <v>6.17</v>
      </c>
      <c r="X51" t="s">
        <v>2689</v>
      </c>
      <c r="Y51" t="s">
        <v>2689</v>
      </c>
      <c r="Z51" t="s">
        <v>2689</v>
      </c>
      <c r="AA51" t="s">
        <v>2689</v>
      </c>
      <c r="AC51" t="s">
        <v>2689</v>
      </c>
      <c r="AD51" t="s">
        <v>2689</v>
      </c>
      <c r="AE51" t="s">
        <v>2689</v>
      </c>
      <c r="AF51" t="s">
        <v>2689</v>
      </c>
      <c r="AH51">
        <v>135.74</v>
      </c>
      <c r="AI51" t="s">
        <v>2690</v>
      </c>
      <c r="AJ51" t="s">
        <v>2690</v>
      </c>
      <c r="AK51" t="s">
        <v>2690</v>
      </c>
      <c r="AL51" t="s">
        <v>2690</v>
      </c>
      <c r="AP51">
        <v>135.74</v>
      </c>
      <c r="AR51" s="23">
        <v>0.57664351851851847</v>
      </c>
      <c r="AS51" s="23">
        <v>0.85468750000000004</v>
      </c>
      <c r="AT51" s="23">
        <v>0.58333333333333337</v>
      </c>
      <c r="AU51" s="23">
        <v>0.875</v>
      </c>
      <c r="AV51" t="s">
        <v>2507</v>
      </c>
      <c r="AY51">
        <v>0.5</v>
      </c>
      <c r="AZ51" t="s">
        <v>2822</v>
      </c>
      <c r="BA51" t="s">
        <v>2754</v>
      </c>
      <c r="BD51" t="s">
        <v>2508</v>
      </c>
      <c r="BE51" t="s">
        <v>2509</v>
      </c>
      <c r="BG51">
        <v>0</v>
      </c>
      <c r="BH51">
        <v>0</v>
      </c>
      <c r="BJ51">
        <v>0</v>
      </c>
    </row>
    <row r="52" spans="1:62" x14ac:dyDescent="0.2">
      <c r="A52" t="s">
        <v>2477</v>
      </c>
      <c r="B52" t="s">
        <v>2477</v>
      </c>
      <c r="C52">
        <v>100030897</v>
      </c>
      <c r="D52" t="s">
        <v>2514</v>
      </c>
      <c r="E52" t="s">
        <v>2439</v>
      </c>
      <c r="F52" t="s">
        <v>2804</v>
      </c>
      <c r="G52" t="s">
        <v>2805</v>
      </c>
      <c r="H52" s="23">
        <v>0.70833333333333337</v>
      </c>
      <c r="I52" t="s">
        <v>2696</v>
      </c>
      <c r="J52" t="s">
        <v>2504</v>
      </c>
      <c r="K52" t="s">
        <v>2513</v>
      </c>
      <c r="L52" t="s">
        <v>2477</v>
      </c>
      <c r="M52" t="s">
        <v>2480</v>
      </c>
      <c r="N52" s="6">
        <v>45995</v>
      </c>
      <c r="O52" t="s">
        <v>2459</v>
      </c>
      <c r="P52" t="s">
        <v>2445</v>
      </c>
      <c r="Q52" s="23">
        <v>0.57660879629629624</v>
      </c>
      <c r="R52" s="23">
        <v>0.85021990740740738</v>
      </c>
      <c r="S52">
        <v>22</v>
      </c>
      <c r="T52">
        <v>1</v>
      </c>
      <c r="U52" t="s">
        <v>2506</v>
      </c>
      <c r="V52">
        <v>6.07</v>
      </c>
      <c r="W52">
        <v>6.07</v>
      </c>
      <c r="X52" t="s">
        <v>2689</v>
      </c>
      <c r="Y52" t="s">
        <v>2689</v>
      </c>
      <c r="Z52" t="s">
        <v>2689</v>
      </c>
      <c r="AA52" t="s">
        <v>2689</v>
      </c>
      <c r="AC52" t="s">
        <v>2689</v>
      </c>
      <c r="AD52" t="s">
        <v>2689</v>
      </c>
      <c r="AE52" t="s">
        <v>2689</v>
      </c>
      <c r="AF52" t="s">
        <v>2689</v>
      </c>
      <c r="AH52">
        <v>133.54</v>
      </c>
      <c r="AI52" t="s">
        <v>2690</v>
      </c>
      <c r="AJ52" t="s">
        <v>2690</v>
      </c>
      <c r="AK52" t="s">
        <v>2690</v>
      </c>
      <c r="AL52" t="s">
        <v>2690</v>
      </c>
      <c r="AP52">
        <v>133.54</v>
      </c>
      <c r="AR52" s="23">
        <v>0.57660879629629624</v>
      </c>
      <c r="AS52" s="23">
        <v>0.85021990740740738</v>
      </c>
      <c r="AT52" s="23">
        <v>0.58333333333333337</v>
      </c>
      <c r="AU52" s="23">
        <v>0.85416666666666663</v>
      </c>
      <c r="AV52" t="s">
        <v>2507</v>
      </c>
      <c r="AY52">
        <v>0.5</v>
      </c>
      <c r="AZ52" t="s">
        <v>2823</v>
      </c>
      <c r="BA52" t="s">
        <v>2754</v>
      </c>
      <c r="BD52" t="s">
        <v>2508</v>
      </c>
      <c r="BE52" t="s">
        <v>2509</v>
      </c>
      <c r="BG52">
        <v>0</v>
      </c>
      <c r="BH52">
        <v>0</v>
      </c>
      <c r="BJ52">
        <v>0</v>
      </c>
    </row>
    <row r="53" spans="1:62" x14ac:dyDescent="0.2">
      <c r="A53" t="s">
        <v>2477</v>
      </c>
      <c r="B53" t="s">
        <v>2477</v>
      </c>
      <c r="C53">
        <v>100030897</v>
      </c>
      <c r="D53" t="s">
        <v>2514</v>
      </c>
      <c r="E53" t="s">
        <v>2439</v>
      </c>
      <c r="F53" t="s">
        <v>2786</v>
      </c>
      <c r="G53" t="s">
        <v>2787</v>
      </c>
      <c r="H53" s="23">
        <v>0.66666666666666663</v>
      </c>
      <c r="I53" t="s">
        <v>2696</v>
      </c>
      <c r="J53" t="s">
        <v>2504</v>
      </c>
      <c r="K53" t="s">
        <v>2513</v>
      </c>
      <c r="L53" t="s">
        <v>2477</v>
      </c>
      <c r="M53" t="s">
        <v>2480</v>
      </c>
      <c r="N53" s="6">
        <v>45999</v>
      </c>
      <c r="O53" t="s">
        <v>2455</v>
      </c>
      <c r="P53" t="s">
        <v>2445</v>
      </c>
      <c r="Q53" s="23">
        <v>0.30570601851851853</v>
      </c>
      <c r="R53" s="23">
        <v>0.66057870370370375</v>
      </c>
      <c r="S53">
        <v>22</v>
      </c>
      <c r="T53">
        <v>1</v>
      </c>
      <c r="U53" t="s">
        <v>2506</v>
      </c>
      <c r="V53">
        <v>8.02</v>
      </c>
      <c r="W53">
        <v>8</v>
      </c>
      <c r="X53">
        <v>0.02</v>
      </c>
      <c r="Y53" t="s">
        <v>2689</v>
      </c>
      <c r="Z53" t="s">
        <v>2689</v>
      </c>
      <c r="AA53" t="s">
        <v>2689</v>
      </c>
      <c r="AC53" t="s">
        <v>2689</v>
      </c>
      <c r="AD53" t="s">
        <v>2689</v>
      </c>
      <c r="AE53" t="s">
        <v>2689</v>
      </c>
      <c r="AF53" t="s">
        <v>2689</v>
      </c>
      <c r="AH53">
        <v>176</v>
      </c>
      <c r="AI53">
        <v>0.66</v>
      </c>
      <c r="AJ53" t="s">
        <v>2690</v>
      </c>
      <c r="AK53" t="s">
        <v>2690</v>
      </c>
      <c r="AL53" t="s">
        <v>2690</v>
      </c>
      <c r="AP53">
        <v>176.66</v>
      </c>
      <c r="AR53" s="23">
        <v>0.30570601851851853</v>
      </c>
      <c r="AS53" s="23">
        <v>0.66057870370370375</v>
      </c>
      <c r="AT53" s="23">
        <v>0.3125</v>
      </c>
      <c r="AU53" s="23">
        <v>0.58333333333333337</v>
      </c>
      <c r="AV53" t="s">
        <v>2507</v>
      </c>
      <c r="AY53">
        <v>0.5</v>
      </c>
      <c r="AZ53" t="s">
        <v>2824</v>
      </c>
      <c r="BA53" t="s">
        <v>2757</v>
      </c>
      <c r="BD53" t="s">
        <v>2508</v>
      </c>
      <c r="BE53" t="s">
        <v>2509</v>
      </c>
      <c r="BG53">
        <v>0</v>
      </c>
      <c r="BH53">
        <v>0</v>
      </c>
      <c r="BJ53">
        <v>0</v>
      </c>
    </row>
    <row r="54" spans="1:62" x14ac:dyDescent="0.2">
      <c r="A54" t="s">
        <v>2477</v>
      </c>
      <c r="B54" t="s">
        <v>2477</v>
      </c>
      <c r="C54">
        <v>100030897</v>
      </c>
      <c r="D54" t="s">
        <v>2514</v>
      </c>
      <c r="E54" t="s">
        <v>2439</v>
      </c>
      <c r="F54" t="s">
        <v>2789</v>
      </c>
      <c r="G54" t="s">
        <v>2790</v>
      </c>
      <c r="H54" s="23">
        <v>0.375</v>
      </c>
      <c r="I54" t="s">
        <v>2696</v>
      </c>
      <c r="J54" t="s">
        <v>2504</v>
      </c>
      <c r="K54" t="s">
        <v>2515</v>
      </c>
      <c r="L54" t="s">
        <v>2477</v>
      </c>
      <c r="M54" t="s">
        <v>2480</v>
      </c>
      <c r="N54" s="6">
        <v>46000</v>
      </c>
      <c r="O54" t="s">
        <v>2457</v>
      </c>
      <c r="P54" t="s">
        <v>2445</v>
      </c>
      <c r="Q54" s="23">
        <v>0.28484953703703703</v>
      </c>
      <c r="R54" s="23">
        <v>0.74454861111111115</v>
      </c>
      <c r="S54">
        <v>22</v>
      </c>
      <c r="T54">
        <v>1</v>
      </c>
      <c r="U54" t="s">
        <v>2506</v>
      </c>
      <c r="V54">
        <v>10.53</v>
      </c>
      <c r="W54">
        <v>8</v>
      </c>
      <c r="X54">
        <v>2.5299999999999998</v>
      </c>
      <c r="Y54" t="s">
        <v>2689</v>
      </c>
      <c r="Z54" t="s">
        <v>2689</v>
      </c>
      <c r="AA54" t="s">
        <v>2689</v>
      </c>
      <c r="AC54" t="s">
        <v>2689</v>
      </c>
      <c r="AD54" t="s">
        <v>2689</v>
      </c>
      <c r="AE54" t="s">
        <v>2689</v>
      </c>
      <c r="AF54" t="s">
        <v>2689</v>
      </c>
      <c r="AH54">
        <v>176</v>
      </c>
      <c r="AI54">
        <v>83.49</v>
      </c>
      <c r="AJ54" t="s">
        <v>2690</v>
      </c>
      <c r="AK54" t="s">
        <v>2690</v>
      </c>
      <c r="AL54" t="s">
        <v>2690</v>
      </c>
      <c r="AP54">
        <v>259.49</v>
      </c>
      <c r="AR54" s="23">
        <v>0.28484953703703703</v>
      </c>
      <c r="AS54" s="23">
        <v>0.74454861111111115</v>
      </c>
      <c r="AT54" s="23">
        <v>0.29166666666666669</v>
      </c>
      <c r="AU54" s="23">
        <v>0.625</v>
      </c>
      <c r="AV54" t="s">
        <v>2507</v>
      </c>
      <c r="AY54">
        <v>0.5</v>
      </c>
      <c r="AZ54" t="s">
        <v>2825</v>
      </c>
      <c r="BA54" t="s">
        <v>2757</v>
      </c>
      <c r="BD54" t="s">
        <v>2508</v>
      </c>
      <c r="BE54" t="s">
        <v>2509</v>
      </c>
      <c r="BG54">
        <v>0</v>
      </c>
      <c r="BH54">
        <v>0</v>
      </c>
      <c r="BJ54">
        <v>0</v>
      </c>
    </row>
    <row r="55" spans="1:62" x14ac:dyDescent="0.2">
      <c r="A55" t="s">
        <v>2477</v>
      </c>
      <c r="B55" t="s">
        <v>2477</v>
      </c>
      <c r="C55">
        <v>100030897</v>
      </c>
      <c r="D55" t="s">
        <v>2514</v>
      </c>
      <c r="E55" t="s">
        <v>2439</v>
      </c>
      <c r="F55" t="s">
        <v>2791</v>
      </c>
      <c r="G55" t="s">
        <v>2792</v>
      </c>
      <c r="H55" s="23">
        <v>0.79166666666666663</v>
      </c>
      <c r="I55" t="s">
        <v>2696</v>
      </c>
      <c r="J55" t="s">
        <v>2504</v>
      </c>
      <c r="K55" t="s">
        <v>2826</v>
      </c>
      <c r="L55" t="s">
        <v>2477</v>
      </c>
      <c r="M55" t="s">
        <v>2480</v>
      </c>
      <c r="N55" s="6">
        <v>46002</v>
      </c>
      <c r="O55" t="s">
        <v>2459</v>
      </c>
      <c r="P55" t="s">
        <v>2445</v>
      </c>
      <c r="Q55" s="23">
        <v>0.70168981481481485</v>
      </c>
      <c r="R55" s="23">
        <v>1.1574074074074075E-4</v>
      </c>
      <c r="S55">
        <v>22</v>
      </c>
      <c r="T55">
        <v>1</v>
      </c>
      <c r="U55" t="s">
        <v>2506</v>
      </c>
      <c r="V55">
        <v>6.66</v>
      </c>
      <c r="W55">
        <v>6.66</v>
      </c>
      <c r="X55" t="s">
        <v>2689</v>
      </c>
      <c r="Y55" t="s">
        <v>2689</v>
      </c>
      <c r="Z55" t="s">
        <v>2689</v>
      </c>
      <c r="AA55" t="s">
        <v>2689</v>
      </c>
      <c r="AC55" t="s">
        <v>2689</v>
      </c>
      <c r="AD55" t="s">
        <v>2689</v>
      </c>
      <c r="AE55" t="s">
        <v>2689</v>
      </c>
      <c r="AF55" t="s">
        <v>2689</v>
      </c>
      <c r="AH55">
        <v>146.52000000000001</v>
      </c>
      <c r="AI55" t="s">
        <v>2690</v>
      </c>
      <c r="AJ55" t="s">
        <v>2690</v>
      </c>
      <c r="AK55" t="s">
        <v>2690</v>
      </c>
      <c r="AL55" t="s">
        <v>2690</v>
      </c>
      <c r="AP55">
        <v>146.52000000000001</v>
      </c>
      <c r="AR55" s="23">
        <v>0.70168981481481485</v>
      </c>
      <c r="AS55" s="23">
        <v>1.1574074074074075E-4</v>
      </c>
      <c r="AT55" s="23">
        <v>0.70833333333333337</v>
      </c>
      <c r="AU55" s="24">
        <v>1</v>
      </c>
      <c r="AV55" t="s">
        <v>2507</v>
      </c>
      <c r="AY55">
        <v>0.5</v>
      </c>
      <c r="AZ55" t="s">
        <v>2827</v>
      </c>
      <c r="BA55" t="s">
        <v>2769</v>
      </c>
      <c r="BD55" t="s">
        <v>2508</v>
      </c>
      <c r="BE55" t="s">
        <v>2509</v>
      </c>
      <c r="BG55">
        <v>0</v>
      </c>
      <c r="BH55">
        <v>0</v>
      </c>
      <c r="BJ55">
        <v>0</v>
      </c>
    </row>
    <row r="56" spans="1:62" x14ac:dyDescent="0.2">
      <c r="A56" t="s">
        <v>2477</v>
      </c>
      <c r="B56" t="s">
        <v>2477</v>
      </c>
      <c r="C56">
        <v>100030897</v>
      </c>
      <c r="D56" t="s">
        <v>2514</v>
      </c>
      <c r="E56" t="s">
        <v>2439</v>
      </c>
      <c r="F56" t="s">
        <v>2794</v>
      </c>
      <c r="G56" t="s">
        <v>2795</v>
      </c>
      <c r="H56" s="23">
        <v>0.79166666666666663</v>
      </c>
      <c r="I56" t="s">
        <v>2696</v>
      </c>
      <c r="J56" t="s">
        <v>2504</v>
      </c>
      <c r="K56" t="s">
        <v>2505</v>
      </c>
      <c r="L56" t="s">
        <v>2477</v>
      </c>
      <c r="M56" t="s">
        <v>2480</v>
      </c>
      <c r="N56" s="6">
        <v>46003</v>
      </c>
      <c r="O56" t="s">
        <v>2449</v>
      </c>
      <c r="P56" t="s">
        <v>2445</v>
      </c>
      <c r="Q56" s="23">
        <v>0.6809143518518519</v>
      </c>
      <c r="R56" s="23">
        <v>0.9067708333333333</v>
      </c>
      <c r="S56">
        <v>22</v>
      </c>
      <c r="T56">
        <v>1</v>
      </c>
      <c r="U56" t="s">
        <v>2506</v>
      </c>
      <c r="V56">
        <v>4.92</v>
      </c>
      <c r="W56">
        <v>4.92</v>
      </c>
      <c r="X56" t="s">
        <v>2689</v>
      </c>
      <c r="Y56" t="s">
        <v>2689</v>
      </c>
      <c r="Z56" t="s">
        <v>2689</v>
      </c>
      <c r="AA56" t="s">
        <v>2689</v>
      </c>
      <c r="AC56" t="s">
        <v>2689</v>
      </c>
      <c r="AD56" t="s">
        <v>2689</v>
      </c>
      <c r="AE56" t="s">
        <v>2689</v>
      </c>
      <c r="AF56" t="s">
        <v>2689</v>
      </c>
      <c r="AH56">
        <v>108.24</v>
      </c>
      <c r="AI56" t="s">
        <v>2690</v>
      </c>
      <c r="AJ56" t="s">
        <v>2690</v>
      </c>
      <c r="AK56" t="s">
        <v>2690</v>
      </c>
      <c r="AL56" t="s">
        <v>2690</v>
      </c>
      <c r="AP56">
        <v>108.24</v>
      </c>
      <c r="AR56" s="23">
        <v>0.6809143518518519</v>
      </c>
      <c r="AS56" s="23">
        <v>0.9067708333333333</v>
      </c>
      <c r="AT56" s="23">
        <v>0.6875</v>
      </c>
      <c r="AU56" s="23">
        <v>0.97916666666666663</v>
      </c>
      <c r="AV56" t="s">
        <v>2507</v>
      </c>
      <c r="AY56">
        <v>0.5</v>
      </c>
      <c r="AZ56" t="s">
        <v>2828</v>
      </c>
      <c r="BA56" t="s">
        <v>2769</v>
      </c>
      <c r="BD56" t="s">
        <v>2508</v>
      </c>
      <c r="BE56" t="s">
        <v>2509</v>
      </c>
      <c r="BG56">
        <v>0</v>
      </c>
      <c r="BH56">
        <v>0</v>
      </c>
      <c r="BJ56">
        <v>0</v>
      </c>
    </row>
    <row r="57" spans="1:62" x14ac:dyDescent="0.2">
      <c r="A57" t="s">
        <v>2477</v>
      </c>
      <c r="B57" t="s">
        <v>2477</v>
      </c>
      <c r="C57">
        <v>100030897</v>
      </c>
      <c r="D57" t="s">
        <v>2514</v>
      </c>
      <c r="E57" t="s">
        <v>2439</v>
      </c>
      <c r="F57" t="s">
        <v>2811</v>
      </c>
      <c r="G57" t="s">
        <v>2812</v>
      </c>
      <c r="H57" s="23">
        <v>0.6875</v>
      </c>
      <c r="I57" t="s">
        <v>2696</v>
      </c>
      <c r="J57" t="s">
        <v>2504</v>
      </c>
      <c r="K57" t="s">
        <v>2505</v>
      </c>
      <c r="L57" t="s">
        <v>2477</v>
      </c>
      <c r="M57" t="s">
        <v>2480</v>
      </c>
      <c r="N57" s="6">
        <v>46005</v>
      </c>
      <c r="O57" t="s">
        <v>2461</v>
      </c>
      <c r="P57" t="s">
        <v>2442</v>
      </c>
      <c r="Q57" s="23">
        <v>0.58988425925925925</v>
      </c>
      <c r="R57" s="23">
        <v>0.8931944444444444</v>
      </c>
      <c r="S57">
        <v>22</v>
      </c>
      <c r="T57">
        <v>1</v>
      </c>
      <c r="U57" t="s">
        <v>2506</v>
      </c>
      <c r="V57">
        <v>6.78</v>
      </c>
      <c r="W57">
        <v>6.78</v>
      </c>
      <c r="X57" t="s">
        <v>2689</v>
      </c>
      <c r="Y57" t="s">
        <v>2689</v>
      </c>
      <c r="Z57" t="s">
        <v>2689</v>
      </c>
      <c r="AA57" t="s">
        <v>2689</v>
      </c>
      <c r="AC57" t="s">
        <v>2689</v>
      </c>
      <c r="AD57" t="s">
        <v>2689</v>
      </c>
      <c r="AE57" t="s">
        <v>2689</v>
      </c>
      <c r="AF57" t="s">
        <v>2689</v>
      </c>
      <c r="AH57">
        <v>149.16</v>
      </c>
      <c r="AI57" t="s">
        <v>2690</v>
      </c>
      <c r="AJ57" t="s">
        <v>2690</v>
      </c>
      <c r="AK57" t="s">
        <v>2690</v>
      </c>
      <c r="AL57" t="s">
        <v>2690</v>
      </c>
      <c r="AP57">
        <v>149.16</v>
      </c>
      <c r="AR57" s="23">
        <v>0.58988425925925925</v>
      </c>
      <c r="AS57" s="23">
        <v>0.8931944444444444</v>
      </c>
      <c r="AT57" s="23">
        <v>0.60416666666666663</v>
      </c>
      <c r="AU57" s="23">
        <v>0.89583333333333337</v>
      </c>
      <c r="AV57" t="s">
        <v>2507</v>
      </c>
      <c r="AY57">
        <v>0.5</v>
      </c>
      <c r="AZ57" t="s">
        <v>2829</v>
      </c>
      <c r="BA57" t="s">
        <v>2769</v>
      </c>
      <c r="BD57" t="s">
        <v>2508</v>
      </c>
      <c r="BE57" t="s">
        <v>2509</v>
      </c>
      <c r="BG57">
        <v>0</v>
      </c>
      <c r="BH57">
        <v>0</v>
      </c>
      <c r="BJ57">
        <v>0</v>
      </c>
    </row>
    <row r="58" spans="1:62" x14ac:dyDescent="0.2">
      <c r="A58" t="s">
        <v>2477</v>
      </c>
      <c r="B58" t="s">
        <v>2477</v>
      </c>
      <c r="C58">
        <v>100030897</v>
      </c>
      <c r="D58" t="s">
        <v>2514</v>
      </c>
      <c r="E58" t="s">
        <v>2439</v>
      </c>
      <c r="F58" t="s">
        <v>2814</v>
      </c>
      <c r="G58" t="s">
        <v>2815</v>
      </c>
      <c r="H58" s="23">
        <v>0.47916666666666669</v>
      </c>
      <c r="I58" t="s">
        <v>2696</v>
      </c>
      <c r="J58" t="s">
        <v>2504</v>
      </c>
      <c r="K58" t="s">
        <v>2512</v>
      </c>
      <c r="L58" t="s">
        <v>2477</v>
      </c>
      <c r="M58" t="s">
        <v>2480</v>
      </c>
      <c r="N58" s="6">
        <v>46006</v>
      </c>
      <c r="O58" t="s">
        <v>2455</v>
      </c>
      <c r="P58" t="s">
        <v>2445</v>
      </c>
      <c r="Q58" s="23">
        <v>0.28489583333333335</v>
      </c>
      <c r="R58" s="23">
        <v>0.60583333333333333</v>
      </c>
      <c r="S58">
        <v>22</v>
      </c>
      <c r="T58">
        <v>1</v>
      </c>
      <c r="U58" t="s">
        <v>2506</v>
      </c>
      <c r="V58">
        <v>7.2</v>
      </c>
      <c r="W58">
        <v>7.2</v>
      </c>
      <c r="X58" t="s">
        <v>2689</v>
      </c>
      <c r="Y58" t="s">
        <v>2689</v>
      </c>
      <c r="Z58" t="s">
        <v>2689</v>
      </c>
      <c r="AA58" t="s">
        <v>2689</v>
      </c>
      <c r="AC58" t="s">
        <v>2689</v>
      </c>
      <c r="AD58" t="s">
        <v>2689</v>
      </c>
      <c r="AE58" t="s">
        <v>2689</v>
      </c>
      <c r="AF58" t="s">
        <v>2689</v>
      </c>
      <c r="AH58">
        <v>158.4</v>
      </c>
      <c r="AI58" t="s">
        <v>2690</v>
      </c>
      <c r="AJ58" t="s">
        <v>2690</v>
      </c>
      <c r="AK58" t="s">
        <v>2690</v>
      </c>
      <c r="AL58" t="s">
        <v>2690</v>
      </c>
      <c r="AP58">
        <v>158.4</v>
      </c>
      <c r="AR58" s="23">
        <v>0.28489583333333335</v>
      </c>
      <c r="AS58" s="23">
        <v>0.60583333333333333</v>
      </c>
      <c r="AT58" s="23">
        <v>0.29166666666666669</v>
      </c>
      <c r="AU58" s="23">
        <v>0.625</v>
      </c>
      <c r="AV58" t="s">
        <v>2507</v>
      </c>
      <c r="AY58">
        <v>0.5</v>
      </c>
      <c r="AZ58" t="s">
        <v>2830</v>
      </c>
      <c r="BA58" t="s">
        <v>2769</v>
      </c>
      <c r="BD58" t="s">
        <v>2508</v>
      </c>
      <c r="BE58" t="s">
        <v>2509</v>
      </c>
      <c r="BG58">
        <v>0</v>
      </c>
      <c r="BH58">
        <v>0</v>
      </c>
      <c r="BJ58">
        <v>0</v>
      </c>
    </row>
    <row r="59" spans="1:62" x14ac:dyDescent="0.2">
      <c r="A59" t="s">
        <v>2468</v>
      </c>
      <c r="B59" t="s">
        <v>2477</v>
      </c>
      <c r="C59">
        <v>100032283</v>
      </c>
      <c r="D59" t="s">
        <v>2549</v>
      </c>
      <c r="E59" t="s">
        <v>2439</v>
      </c>
      <c r="F59" t="s">
        <v>2791</v>
      </c>
      <c r="G59" t="s">
        <v>2792</v>
      </c>
      <c r="H59" s="23">
        <v>0.79166666666666663</v>
      </c>
      <c r="I59" t="s">
        <v>2696</v>
      </c>
      <c r="J59" t="s">
        <v>2831</v>
      </c>
      <c r="K59" t="s">
        <v>2832</v>
      </c>
      <c r="L59" t="s">
        <v>2477</v>
      </c>
      <c r="M59" t="s">
        <v>2480</v>
      </c>
      <c r="N59" s="6">
        <v>46002</v>
      </c>
      <c r="O59" t="s">
        <v>2459</v>
      </c>
      <c r="P59" t="s">
        <v>2445</v>
      </c>
      <c r="Q59" s="23">
        <v>0.70168981481481485</v>
      </c>
      <c r="R59" s="23">
        <v>2.7777777777777778E-4</v>
      </c>
      <c r="S59">
        <v>22</v>
      </c>
      <c r="T59">
        <v>1</v>
      </c>
      <c r="U59" t="s">
        <v>2506</v>
      </c>
      <c r="V59">
        <v>6.67</v>
      </c>
      <c r="W59">
        <v>6.67</v>
      </c>
      <c r="X59" t="s">
        <v>2689</v>
      </c>
      <c r="Y59" t="s">
        <v>2689</v>
      </c>
      <c r="Z59" t="s">
        <v>2689</v>
      </c>
      <c r="AA59" t="s">
        <v>2689</v>
      </c>
      <c r="AC59" t="s">
        <v>2689</v>
      </c>
      <c r="AD59" t="s">
        <v>2689</v>
      </c>
      <c r="AE59" t="s">
        <v>2689</v>
      </c>
      <c r="AF59" t="s">
        <v>2689</v>
      </c>
      <c r="AH59">
        <v>146.74</v>
      </c>
      <c r="AI59" t="s">
        <v>2690</v>
      </c>
      <c r="AJ59" t="s">
        <v>2690</v>
      </c>
      <c r="AK59" t="s">
        <v>2690</v>
      </c>
      <c r="AL59" t="s">
        <v>2690</v>
      </c>
      <c r="AP59">
        <v>146.74</v>
      </c>
      <c r="AR59" s="23">
        <v>0.70168981481481485</v>
      </c>
      <c r="AS59" s="23">
        <v>2.7777777777777778E-4</v>
      </c>
      <c r="AT59" s="23">
        <v>0.70833333333333337</v>
      </c>
      <c r="AU59" s="24">
        <v>1</v>
      </c>
      <c r="AV59" t="s">
        <v>2707</v>
      </c>
      <c r="AY59">
        <v>0.5</v>
      </c>
      <c r="AZ59" t="s">
        <v>2833</v>
      </c>
      <c r="BA59" t="s">
        <v>2769</v>
      </c>
      <c r="BD59" t="s">
        <v>2508</v>
      </c>
      <c r="BE59" t="s">
        <v>2509</v>
      </c>
      <c r="BF59" t="s">
        <v>2834</v>
      </c>
      <c r="BG59">
        <v>0</v>
      </c>
      <c r="BH59">
        <v>0</v>
      </c>
      <c r="BJ59">
        <v>0</v>
      </c>
    </row>
    <row r="60" spans="1:62" x14ac:dyDescent="0.2">
      <c r="A60" t="s">
        <v>2469</v>
      </c>
      <c r="B60" t="s">
        <v>2477</v>
      </c>
      <c r="C60">
        <v>100032345</v>
      </c>
      <c r="D60" t="s">
        <v>2835</v>
      </c>
      <c r="E60" t="s">
        <v>2439</v>
      </c>
      <c r="F60" t="s">
        <v>2791</v>
      </c>
      <c r="G60" t="s">
        <v>2792</v>
      </c>
      <c r="H60" s="23">
        <v>0.79166666666666663</v>
      </c>
      <c r="I60" t="s">
        <v>2696</v>
      </c>
      <c r="J60" t="s">
        <v>2478</v>
      </c>
      <c r="K60" t="s">
        <v>2709</v>
      </c>
      <c r="L60" t="s">
        <v>2477</v>
      </c>
      <c r="M60" t="s">
        <v>2480</v>
      </c>
      <c r="N60" s="6">
        <v>46002</v>
      </c>
      <c r="O60" t="s">
        <v>2459</v>
      </c>
      <c r="P60" t="s">
        <v>2445</v>
      </c>
      <c r="Q60" s="23">
        <v>0.68328703703703708</v>
      </c>
      <c r="R60" s="23">
        <v>0.98268518518518522</v>
      </c>
      <c r="S60">
        <v>22</v>
      </c>
      <c r="T60">
        <v>1</v>
      </c>
      <c r="U60" t="s">
        <v>2481</v>
      </c>
      <c r="V60">
        <v>6.69</v>
      </c>
      <c r="W60">
        <v>6.69</v>
      </c>
      <c r="X60" t="s">
        <v>2689</v>
      </c>
      <c r="Y60" t="s">
        <v>2689</v>
      </c>
      <c r="Z60" t="s">
        <v>2689</v>
      </c>
      <c r="AA60" t="s">
        <v>2689</v>
      </c>
      <c r="AC60" t="s">
        <v>2689</v>
      </c>
      <c r="AD60" t="s">
        <v>2689</v>
      </c>
      <c r="AE60">
        <v>160</v>
      </c>
      <c r="AF60" t="s">
        <v>2689</v>
      </c>
      <c r="AH60">
        <v>147.18</v>
      </c>
      <c r="AI60" t="s">
        <v>2690</v>
      </c>
      <c r="AJ60" t="s">
        <v>2690</v>
      </c>
      <c r="AK60" t="s">
        <v>2690</v>
      </c>
      <c r="AL60" t="s">
        <v>2690</v>
      </c>
      <c r="AP60">
        <v>307.18</v>
      </c>
      <c r="AR60" s="23">
        <v>0.68328703703703708</v>
      </c>
      <c r="AS60" s="23">
        <v>0.98268518518518522</v>
      </c>
      <c r="AT60" s="23">
        <v>0.6875</v>
      </c>
      <c r="AU60" s="23">
        <v>2.0833333333333332E-2</v>
      </c>
      <c r="AV60" t="s">
        <v>2706</v>
      </c>
      <c r="AY60">
        <v>0.5</v>
      </c>
      <c r="AZ60" t="s">
        <v>2836</v>
      </c>
      <c r="BA60" t="s">
        <v>2798</v>
      </c>
      <c r="BD60" t="s">
        <v>2482</v>
      </c>
      <c r="BE60" t="s">
        <v>2478</v>
      </c>
      <c r="BF60" t="s">
        <v>2446</v>
      </c>
      <c r="BG60">
        <v>0</v>
      </c>
      <c r="BH60">
        <v>0</v>
      </c>
      <c r="BJ60">
        <v>0</v>
      </c>
    </row>
    <row r="61" spans="1:62" x14ac:dyDescent="0.2">
      <c r="A61" t="s">
        <v>2477</v>
      </c>
      <c r="B61" t="s">
        <v>2477</v>
      </c>
      <c r="C61">
        <v>100035605</v>
      </c>
      <c r="D61" t="s">
        <v>2517</v>
      </c>
      <c r="E61" t="s">
        <v>2439</v>
      </c>
      <c r="F61" t="s">
        <v>2452</v>
      </c>
      <c r="G61" t="s">
        <v>2453</v>
      </c>
      <c r="H61" s="23">
        <v>0.33333333333333331</v>
      </c>
      <c r="I61" t="s">
        <v>2688</v>
      </c>
      <c r="J61" t="s">
        <v>2518</v>
      </c>
      <c r="K61" t="s">
        <v>2524</v>
      </c>
      <c r="L61" t="s">
        <v>2477</v>
      </c>
      <c r="M61" t="s">
        <v>2480</v>
      </c>
      <c r="N61" s="6">
        <v>45992</v>
      </c>
      <c r="O61" t="s">
        <v>2455</v>
      </c>
      <c r="P61" t="s">
        <v>2445</v>
      </c>
      <c r="Q61" s="23">
        <v>0.41090277777777778</v>
      </c>
      <c r="R61" s="23">
        <v>0.65983796296296293</v>
      </c>
      <c r="S61">
        <v>22.5</v>
      </c>
      <c r="T61">
        <v>1</v>
      </c>
      <c r="U61" t="s">
        <v>2520</v>
      </c>
      <c r="V61">
        <v>5.97</v>
      </c>
      <c r="W61">
        <v>5.97</v>
      </c>
      <c r="X61" t="s">
        <v>2689</v>
      </c>
      <c r="Y61" t="s">
        <v>2689</v>
      </c>
      <c r="Z61" t="s">
        <v>2689</v>
      </c>
      <c r="AA61" t="s">
        <v>2689</v>
      </c>
      <c r="AC61" t="s">
        <v>2689</v>
      </c>
      <c r="AD61" t="s">
        <v>2689</v>
      </c>
      <c r="AE61" t="s">
        <v>2689</v>
      </c>
      <c r="AF61" t="s">
        <v>2689</v>
      </c>
      <c r="AH61">
        <v>134.33000000000001</v>
      </c>
      <c r="AI61" t="s">
        <v>2690</v>
      </c>
      <c r="AJ61" t="s">
        <v>2690</v>
      </c>
      <c r="AK61" t="s">
        <v>2690</v>
      </c>
      <c r="AL61" t="s">
        <v>2690</v>
      </c>
      <c r="AP61">
        <v>134.33000000000001</v>
      </c>
      <c r="AR61" s="23">
        <v>0.41090277777777778</v>
      </c>
      <c r="AS61" s="23">
        <v>0.65983796296296293</v>
      </c>
      <c r="AT61" s="23">
        <v>0.41666666666666669</v>
      </c>
      <c r="AU61" s="23">
        <v>0.66666666666666663</v>
      </c>
      <c r="AV61" t="s">
        <v>2507</v>
      </c>
      <c r="BA61" t="s">
        <v>2692</v>
      </c>
      <c r="BD61" t="s">
        <v>2521</v>
      </c>
      <c r="BE61" t="s">
        <v>2522</v>
      </c>
      <c r="BG61">
        <v>0</v>
      </c>
      <c r="BH61">
        <v>0</v>
      </c>
      <c r="BJ61">
        <v>0</v>
      </c>
    </row>
    <row r="62" spans="1:62" x14ac:dyDescent="0.2">
      <c r="A62" t="s">
        <v>2477</v>
      </c>
      <c r="B62" t="s">
        <v>2477</v>
      </c>
      <c r="C62">
        <v>100035605</v>
      </c>
      <c r="D62" t="s">
        <v>2517</v>
      </c>
      <c r="E62" t="s">
        <v>2439</v>
      </c>
      <c r="F62" t="s">
        <v>2800</v>
      </c>
      <c r="G62" t="s">
        <v>2801</v>
      </c>
      <c r="H62" s="23">
        <v>0.66666666666666663</v>
      </c>
      <c r="I62" t="s">
        <v>2696</v>
      </c>
      <c r="J62" t="s">
        <v>2518</v>
      </c>
      <c r="K62" t="s">
        <v>2837</v>
      </c>
      <c r="L62" t="s">
        <v>2477</v>
      </c>
      <c r="M62" t="s">
        <v>2480</v>
      </c>
      <c r="N62" s="6">
        <v>45993</v>
      </c>
      <c r="O62" t="s">
        <v>2457</v>
      </c>
      <c r="P62" t="s">
        <v>2445</v>
      </c>
      <c r="Q62" s="23">
        <v>0.28871527777777778</v>
      </c>
      <c r="R62" s="23">
        <v>0.63513888888888892</v>
      </c>
      <c r="S62">
        <v>22.5</v>
      </c>
      <c r="T62">
        <v>1</v>
      </c>
      <c r="U62" t="s">
        <v>2520</v>
      </c>
      <c r="V62">
        <v>7.81</v>
      </c>
      <c r="W62">
        <v>7.81</v>
      </c>
      <c r="X62" t="s">
        <v>2689</v>
      </c>
      <c r="Y62" t="s">
        <v>2689</v>
      </c>
      <c r="Z62" t="s">
        <v>2689</v>
      </c>
      <c r="AA62" t="s">
        <v>2689</v>
      </c>
      <c r="AC62" t="s">
        <v>2689</v>
      </c>
      <c r="AD62" t="s">
        <v>2689</v>
      </c>
      <c r="AE62" t="s">
        <v>2689</v>
      </c>
      <c r="AF62" t="s">
        <v>2689</v>
      </c>
      <c r="AH62">
        <v>175.73</v>
      </c>
      <c r="AI62" t="s">
        <v>2690</v>
      </c>
      <c r="AJ62" t="s">
        <v>2690</v>
      </c>
      <c r="AK62" t="s">
        <v>2690</v>
      </c>
      <c r="AL62" t="s">
        <v>2690</v>
      </c>
      <c r="AP62">
        <v>175.73</v>
      </c>
      <c r="AR62" s="23">
        <v>0.28871527777777778</v>
      </c>
      <c r="AS62" s="23">
        <v>0.63513888888888892</v>
      </c>
      <c r="AT62" s="23">
        <v>0.29166666666666669</v>
      </c>
      <c r="AU62" s="23">
        <v>0.625</v>
      </c>
      <c r="AV62" t="s">
        <v>2507</v>
      </c>
      <c r="AY62">
        <v>0.5</v>
      </c>
      <c r="AZ62" t="s">
        <v>2838</v>
      </c>
      <c r="BA62" t="s">
        <v>2752</v>
      </c>
      <c r="BD62" t="s">
        <v>2521</v>
      </c>
      <c r="BE62" t="s">
        <v>2522</v>
      </c>
      <c r="BG62">
        <v>0</v>
      </c>
      <c r="BH62">
        <v>0</v>
      </c>
      <c r="BJ62">
        <v>0</v>
      </c>
    </row>
    <row r="63" spans="1:62" x14ac:dyDescent="0.2">
      <c r="A63" t="s">
        <v>2477</v>
      </c>
      <c r="B63" t="s">
        <v>2477</v>
      </c>
      <c r="C63">
        <v>100035605</v>
      </c>
      <c r="D63" t="s">
        <v>2517</v>
      </c>
      <c r="E63" t="s">
        <v>2439</v>
      </c>
      <c r="F63" t="s">
        <v>2782</v>
      </c>
      <c r="G63" t="s">
        <v>2783</v>
      </c>
      <c r="H63" s="23">
        <v>0.70833333333333337</v>
      </c>
      <c r="I63" t="s">
        <v>2696</v>
      </c>
      <c r="J63" t="s">
        <v>2518</v>
      </c>
      <c r="K63" t="s">
        <v>2524</v>
      </c>
      <c r="L63" t="s">
        <v>2477</v>
      </c>
      <c r="M63" t="s">
        <v>2480</v>
      </c>
      <c r="N63" s="6">
        <v>45994</v>
      </c>
      <c r="O63" t="s">
        <v>2458</v>
      </c>
      <c r="P63" t="s">
        <v>2445</v>
      </c>
      <c r="Q63" s="23">
        <v>0.58082175925925927</v>
      </c>
      <c r="R63" s="23">
        <v>0.89604166666666663</v>
      </c>
      <c r="S63">
        <v>22.5</v>
      </c>
      <c r="T63">
        <v>1</v>
      </c>
      <c r="U63" t="s">
        <v>2520</v>
      </c>
      <c r="V63">
        <v>7.07</v>
      </c>
      <c r="W63">
        <v>7.07</v>
      </c>
      <c r="X63" t="s">
        <v>2689</v>
      </c>
      <c r="Y63" t="s">
        <v>2689</v>
      </c>
      <c r="Z63" t="s">
        <v>2689</v>
      </c>
      <c r="AA63" t="s">
        <v>2689</v>
      </c>
      <c r="AC63" t="s">
        <v>2689</v>
      </c>
      <c r="AD63" t="s">
        <v>2689</v>
      </c>
      <c r="AE63" t="s">
        <v>2689</v>
      </c>
      <c r="AF63" t="s">
        <v>2689</v>
      </c>
      <c r="AH63">
        <v>159.08000000000001</v>
      </c>
      <c r="AI63" t="s">
        <v>2690</v>
      </c>
      <c r="AJ63" t="s">
        <v>2690</v>
      </c>
      <c r="AK63" t="s">
        <v>2690</v>
      </c>
      <c r="AL63" t="s">
        <v>2690</v>
      </c>
      <c r="AP63">
        <v>159.08000000000001</v>
      </c>
      <c r="AR63" s="23">
        <v>0.58082175925925927</v>
      </c>
      <c r="AS63" s="23">
        <v>0.89604166666666663</v>
      </c>
      <c r="AT63" s="23">
        <v>0.58333333333333337</v>
      </c>
      <c r="AU63" s="23">
        <v>0.875</v>
      </c>
      <c r="AV63" t="s">
        <v>2507</v>
      </c>
      <c r="AY63">
        <v>0.5</v>
      </c>
      <c r="AZ63" t="s">
        <v>2839</v>
      </c>
      <c r="BA63" t="s">
        <v>2754</v>
      </c>
      <c r="BD63" t="s">
        <v>2521</v>
      </c>
      <c r="BE63" t="s">
        <v>2522</v>
      </c>
      <c r="BG63">
        <v>0</v>
      </c>
      <c r="BH63">
        <v>0</v>
      </c>
      <c r="BJ63">
        <v>0</v>
      </c>
    </row>
    <row r="64" spans="1:62" x14ac:dyDescent="0.2">
      <c r="A64" t="s">
        <v>2477</v>
      </c>
      <c r="B64" t="s">
        <v>2477</v>
      </c>
      <c r="C64">
        <v>100035605</v>
      </c>
      <c r="D64" t="s">
        <v>2517</v>
      </c>
      <c r="E64" t="s">
        <v>2439</v>
      </c>
      <c r="F64" t="s">
        <v>2804</v>
      </c>
      <c r="G64" t="s">
        <v>2805</v>
      </c>
      <c r="H64" s="23">
        <v>0.70833333333333337</v>
      </c>
      <c r="I64" t="s">
        <v>2696</v>
      </c>
      <c r="J64" t="s">
        <v>2518</v>
      </c>
      <c r="K64" t="s">
        <v>2523</v>
      </c>
      <c r="L64" t="s">
        <v>2477</v>
      </c>
      <c r="M64" t="s">
        <v>2480</v>
      </c>
      <c r="N64" s="6">
        <v>45995</v>
      </c>
      <c r="O64" t="s">
        <v>2459</v>
      </c>
      <c r="P64" t="s">
        <v>2445</v>
      </c>
      <c r="Q64" s="23">
        <v>0.539525462962963</v>
      </c>
      <c r="R64" s="23">
        <v>0.85344907407407411</v>
      </c>
      <c r="S64">
        <v>22.5</v>
      </c>
      <c r="T64">
        <v>1</v>
      </c>
      <c r="U64" t="s">
        <v>2520</v>
      </c>
      <c r="V64">
        <v>7.03</v>
      </c>
      <c r="W64">
        <v>7.03</v>
      </c>
      <c r="X64" t="s">
        <v>2689</v>
      </c>
      <c r="Y64" t="s">
        <v>2689</v>
      </c>
      <c r="Z64" t="s">
        <v>2689</v>
      </c>
      <c r="AA64" t="s">
        <v>2689</v>
      </c>
      <c r="AC64" t="s">
        <v>2689</v>
      </c>
      <c r="AD64" t="s">
        <v>2689</v>
      </c>
      <c r="AE64" t="s">
        <v>2689</v>
      </c>
      <c r="AF64" t="s">
        <v>2689</v>
      </c>
      <c r="AH64">
        <v>158.18</v>
      </c>
      <c r="AI64" t="s">
        <v>2690</v>
      </c>
      <c r="AJ64" t="s">
        <v>2690</v>
      </c>
      <c r="AK64" t="s">
        <v>2690</v>
      </c>
      <c r="AL64" t="s">
        <v>2690</v>
      </c>
      <c r="AP64">
        <v>158.18</v>
      </c>
      <c r="AR64" s="23">
        <v>0.539525462962963</v>
      </c>
      <c r="AS64" s="23">
        <v>0.85344907407407411</v>
      </c>
      <c r="AT64" s="23">
        <v>0.54166666666666663</v>
      </c>
      <c r="AU64" s="23">
        <v>0.85416666666666663</v>
      </c>
      <c r="AV64" t="s">
        <v>2507</v>
      </c>
      <c r="AY64">
        <v>0.5</v>
      </c>
      <c r="AZ64" t="s">
        <v>2840</v>
      </c>
      <c r="BA64" t="s">
        <v>2754</v>
      </c>
      <c r="BD64" t="s">
        <v>2521</v>
      </c>
      <c r="BE64" t="s">
        <v>2522</v>
      </c>
      <c r="BG64">
        <v>0</v>
      </c>
      <c r="BH64">
        <v>0</v>
      </c>
      <c r="BJ64">
        <v>0</v>
      </c>
    </row>
    <row r="65" spans="1:62" x14ac:dyDescent="0.2">
      <c r="A65" t="s">
        <v>2477</v>
      </c>
      <c r="B65" t="s">
        <v>2477</v>
      </c>
      <c r="C65">
        <v>100035605</v>
      </c>
      <c r="D65" t="s">
        <v>2517</v>
      </c>
      <c r="E65" t="s">
        <v>2439</v>
      </c>
      <c r="F65" t="s">
        <v>2452</v>
      </c>
      <c r="G65" t="s">
        <v>2453</v>
      </c>
      <c r="H65" s="23">
        <v>0.33333333333333331</v>
      </c>
      <c r="I65" t="s">
        <v>2688</v>
      </c>
      <c r="J65" t="s">
        <v>2518</v>
      </c>
      <c r="K65" t="s">
        <v>2519</v>
      </c>
      <c r="L65" t="s">
        <v>2477</v>
      </c>
      <c r="M65" t="s">
        <v>2480</v>
      </c>
      <c r="N65" s="6">
        <v>45998</v>
      </c>
      <c r="O65" t="s">
        <v>2461</v>
      </c>
      <c r="P65" t="s">
        <v>2442</v>
      </c>
      <c r="Q65" s="23">
        <v>0.36812499999999998</v>
      </c>
      <c r="R65" s="23">
        <v>0.6174074074074074</v>
      </c>
      <c r="S65">
        <v>22.5</v>
      </c>
      <c r="T65">
        <v>1</v>
      </c>
      <c r="U65" t="s">
        <v>2520</v>
      </c>
      <c r="V65">
        <v>5.98</v>
      </c>
      <c r="W65">
        <v>5.98</v>
      </c>
      <c r="X65" t="s">
        <v>2689</v>
      </c>
      <c r="Y65" t="s">
        <v>2689</v>
      </c>
      <c r="Z65" t="s">
        <v>2689</v>
      </c>
      <c r="AA65" t="s">
        <v>2689</v>
      </c>
      <c r="AC65" t="s">
        <v>2689</v>
      </c>
      <c r="AD65" t="s">
        <v>2689</v>
      </c>
      <c r="AE65" t="s">
        <v>2689</v>
      </c>
      <c r="AF65" t="s">
        <v>2689</v>
      </c>
      <c r="AH65">
        <v>134.55000000000001</v>
      </c>
      <c r="AI65" t="s">
        <v>2690</v>
      </c>
      <c r="AJ65" t="s">
        <v>2690</v>
      </c>
      <c r="AK65" t="s">
        <v>2690</v>
      </c>
      <c r="AL65" t="s">
        <v>2690</v>
      </c>
      <c r="AP65">
        <v>134.55000000000001</v>
      </c>
      <c r="AR65" s="23">
        <v>0.36812499999999998</v>
      </c>
      <c r="AS65" s="23">
        <v>0.6174074074074074</v>
      </c>
      <c r="AT65" s="23">
        <v>0.375</v>
      </c>
      <c r="AU65" s="23">
        <v>0.625</v>
      </c>
      <c r="AV65" t="s">
        <v>2507</v>
      </c>
      <c r="BA65" t="s">
        <v>2754</v>
      </c>
      <c r="BD65" t="s">
        <v>2521</v>
      </c>
      <c r="BE65" t="s">
        <v>2522</v>
      </c>
      <c r="BG65">
        <v>0</v>
      </c>
      <c r="BH65">
        <v>0</v>
      </c>
      <c r="BJ65">
        <v>0</v>
      </c>
    </row>
    <row r="66" spans="1:62" x14ac:dyDescent="0.2">
      <c r="A66" t="s">
        <v>2477</v>
      </c>
      <c r="B66" t="s">
        <v>2477</v>
      </c>
      <c r="C66">
        <v>100035605</v>
      </c>
      <c r="D66" t="s">
        <v>2517</v>
      </c>
      <c r="E66" t="s">
        <v>2439</v>
      </c>
      <c r="F66" t="s">
        <v>2786</v>
      </c>
      <c r="G66" t="s">
        <v>2787</v>
      </c>
      <c r="H66" s="23">
        <v>0.66666666666666663</v>
      </c>
      <c r="I66" t="s">
        <v>2696</v>
      </c>
      <c r="J66" t="s">
        <v>2518</v>
      </c>
      <c r="K66" t="s">
        <v>2837</v>
      </c>
      <c r="L66" t="s">
        <v>2477</v>
      </c>
      <c r="M66" t="s">
        <v>2480</v>
      </c>
      <c r="N66" s="6">
        <v>45999</v>
      </c>
      <c r="O66" t="s">
        <v>2455</v>
      </c>
      <c r="P66" t="s">
        <v>2445</v>
      </c>
      <c r="Q66" s="23">
        <v>0.30892361111111111</v>
      </c>
      <c r="R66" s="23">
        <v>0.85650462962962959</v>
      </c>
      <c r="S66">
        <v>22.5</v>
      </c>
      <c r="T66">
        <v>1</v>
      </c>
      <c r="U66" t="s">
        <v>2520</v>
      </c>
      <c r="V66">
        <v>13.64</v>
      </c>
      <c r="W66">
        <v>8</v>
      </c>
      <c r="X66">
        <v>4</v>
      </c>
      <c r="Y66">
        <v>0.64</v>
      </c>
      <c r="Z66" t="s">
        <v>2689</v>
      </c>
      <c r="AA66">
        <v>1</v>
      </c>
      <c r="AC66" t="s">
        <v>2689</v>
      </c>
      <c r="AD66" t="s">
        <v>2689</v>
      </c>
      <c r="AE66" t="s">
        <v>2689</v>
      </c>
      <c r="AF66" t="s">
        <v>2689</v>
      </c>
      <c r="AH66">
        <v>180</v>
      </c>
      <c r="AI66">
        <v>135</v>
      </c>
      <c r="AJ66">
        <v>28.8</v>
      </c>
      <c r="AK66" t="s">
        <v>2690</v>
      </c>
      <c r="AL66">
        <v>22.5</v>
      </c>
      <c r="AP66">
        <v>366.3</v>
      </c>
      <c r="AR66" s="23">
        <v>0.30892361111111111</v>
      </c>
      <c r="AS66" s="23">
        <v>0.85650462962962959</v>
      </c>
      <c r="AT66" s="23">
        <v>0.3125</v>
      </c>
      <c r="AU66" s="23">
        <v>0.85416666666666663</v>
      </c>
      <c r="AV66" t="s">
        <v>2507</v>
      </c>
      <c r="AY66">
        <v>0.5</v>
      </c>
      <c r="AZ66" t="s">
        <v>2841</v>
      </c>
      <c r="BA66" t="s">
        <v>2757</v>
      </c>
      <c r="BD66" t="s">
        <v>2521</v>
      </c>
      <c r="BE66" t="s">
        <v>2522</v>
      </c>
      <c r="BF66" t="s">
        <v>2842</v>
      </c>
      <c r="BG66">
        <v>0</v>
      </c>
      <c r="BH66">
        <v>0</v>
      </c>
      <c r="BJ66">
        <v>0</v>
      </c>
    </row>
    <row r="67" spans="1:62" x14ac:dyDescent="0.2">
      <c r="A67" t="s">
        <v>2477</v>
      </c>
      <c r="B67" t="s">
        <v>2477</v>
      </c>
      <c r="C67">
        <v>100035605</v>
      </c>
      <c r="D67" t="s">
        <v>2517</v>
      </c>
      <c r="E67" t="s">
        <v>2439</v>
      </c>
      <c r="F67" t="s">
        <v>2789</v>
      </c>
      <c r="G67" t="s">
        <v>2790</v>
      </c>
      <c r="H67" s="23">
        <v>0.375</v>
      </c>
      <c r="I67" t="s">
        <v>2696</v>
      </c>
      <c r="J67" t="s">
        <v>2518</v>
      </c>
      <c r="K67" t="s">
        <v>2524</v>
      </c>
      <c r="L67" t="s">
        <v>2477</v>
      </c>
      <c r="M67" t="s">
        <v>2480</v>
      </c>
      <c r="N67" s="6">
        <v>46000</v>
      </c>
      <c r="O67" t="s">
        <v>2457</v>
      </c>
      <c r="P67" t="s">
        <v>2445</v>
      </c>
      <c r="Q67" s="23">
        <v>0.29090277777777779</v>
      </c>
      <c r="R67" s="23">
        <v>0.75707175925925929</v>
      </c>
      <c r="S67">
        <v>22.5</v>
      </c>
      <c r="T67">
        <v>1</v>
      </c>
      <c r="U67" t="s">
        <v>2520</v>
      </c>
      <c r="V67">
        <v>10.69</v>
      </c>
      <c r="W67">
        <v>8</v>
      </c>
      <c r="X67">
        <v>2.69</v>
      </c>
      <c r="Y67" t="s">
        <v>2689</v>
      </c>
      <c r="Z67" t="s">
        <v>2689</v>
      </c>
      <c r="AA67" t="s">
        <v>2689</v>
      </c>
      <c r="AC67" t="s">
        <v>2689</v>
      </c>
      <c r="AD67" t="s">
        <v>2689</v>
      </c>
      <c r="AE67" t="s">
        <v>2689</v>
      </c>
      <c r="AF67" t="s">
        <v>2689</v>
      </c>
      <c r="AH67">
        <v>180</v>
      </c>
      <c r="AI67">
        <v>90.79</v>
      </c>
      <c r="AJ67" t="s">
        <v>2690</v>
      </c>
      <c r="AK67" t="s">
        <v>2690</v>
      </c>
      <c r="AL67" t="s">
        <v>2690</v>
      </c>
      <c r="AP67">
        <v>270.79000000000002</v>
      </c>
      <c r="AR67" s="23">
        <v>0.29090277777777779</v>
      </c>
      <c r="AS67" s="23">
        <v>0.75707175925925929</v>
      </c>
      <c r="AT67" s="23">
        <v>0.29166666666666669</v>
      </c>
      <c r="AU67" s="23">
        <v>0.625</v>
      </c>
      <c r="AV67" t="s">
        <v>2507</v>
      </c>
      <c r="AY67">
        <v>0.5</v>
      </c>
      <c r="AZ67" t="s">
        <v>2843</v>
      </c>
      <c r="BA67" t="s">
        <v>2757</v>
      </c>
      <c r="BD67" t="s">
        <v>2521</v>
      </c>
      <c r="BE67" t="s">
        <v>2522</v>
      </c>
      <c r="BG67">
        <v>0</v>
      </c>
      <c r="BH67">
        <v>0</v>
      </c>
      <c r="BJ67">
        <v>0</v>
      </c>
    </row>
    <row r="68" spans="1:62" x14ac:dyDescent="0.2">
      <c r="A68" t="s">
        <v>2477</v>
      </c>
      <c r="B68" t="s">
        <v>2477</v>
      </c>
      <c r="C68">
        <v>100035605</v>
      </c>
      <c r="D68" t="s">
        <v>2517</v>
      </c>
      <c r="E68" t="s">
        <v>2439</v>
      </c>
      <c r="F68" t="s">
        <v>2452</v>
      </c>
      <c r="G68" t="s">
        <v>2453</v>
      </c>
      <c r="H68" s="23">
        <v>0.33333333333333331</v>
      </c>
      <c r="I68" t="s">
        <v>2688</v>
      </c>
      <c r="J68" t="s">
        <v>2518</v>
      </c>
      <c r="K68" t="s">
        <v>2524</v>
      </c>
      <c r="L68" t="s">
        <v>2477</v>
      </c>
      <c r="M68" t="s">
        <v>2480</v>
      </c>
      <c r="N68" s="6">
        <v>46001</v>
      </c>
      <c r="O68" t="s">
        <v>2458</v>
      </c>
      <c r="P68" t="s">
        <v>2445</v>
      </c>
      <c r="Q68" s="23">
        <v>0.57638888888888884</v>
      </c>
      <c r="R68" s="23">
        <v>0.76388888888888884</v>
      </c>
      <c r="S68">
        <v>22.5</v>
      </c>
      <c r="T68">
        <v>1</v>
      </c>
      <c r="U68" t="s">
        <v>2520</v>
      </c>
      <c r="V68">
        <v>4.5</v>
      </c>
      <c r="W68">
        <v>4.5</v>
      </c>
      <c r="X68" t="s">
        <v>2689</v>
      </c>
      <c r="Y68" t="s">
        <v>2689</v>
      </c>
      <c r="Z68" t="s">
        <v>2689</v>
      </c>
      <c r="AA68" t="s">
        <v>2689</v>
      </c>
      <c r="AC68" t="s">
        <v>2689</v>
      </c>
      <c r="AD68" t="s">
        <v>2689</v>
      </c>
      <c r="AE68" t="s">
        <v>2689</v>
      </c>
      <c r="AF68" t="s">
        <v>2689</v>
      </c>
      <c r="AH68">
        <v>101.25</v>
      </c>
      <c r="AI68" t="s">
        <v>2690</v>
      </c>
      <c r="AJ68" t="s">
        <v>2690</v>
      </c>
      <c r="AK68" t="s">
        <v>2690</v>
      </c>
      <c r="AL68" t="s">
        <v>2690</v>
      </c>
      <c r="AP68">
        <v>101.25</v>
      </c>
      <c r="AT68" s="23">
        <v>0.5</v>
      </c>
      <c r="AU68" s="23">
        <v>0.75</v>
      </c>
      <c r="AV68" t="s">
        <v>2507</v>
      </c>
      <c r="BA68" t="s">
        <v>2798</v>
      </c>
      <c r="BD68" t="s">
        <v>2521</v>
      </c>
      <c r="BE68" t="s">
        <v>2522</v>
      </c>
      <c r="BF68" t="s">
        <v>2456</v>
      </c>
      <c r="BG68">
        <v>0</v>
      </c>
      <c r="BH68">
        <v>0</v>
      </c>
      <c r="BJ68">
        <v>0</v>
      </c>
    </row>
    <row r="69" spans="1:62" x14ac:dyDescent="0.2">
      <c r="A69" t="s">
        <v>2477</v>
      </c>
      <c r="B69" t="s">
        <v>2477</v>
      </c>
      <c r="C69">
        <v>100035605</v>
      </c>
      <c r="D69" t="s">
        <v>2517</v>
      </c>
      <c r="E69" t="s">
        <v>2439</v>
      </c>
      <c r="F69" t="s">
        <v>2791</v>
      </c>
      <c r="G69" t="s">
        <v>2792</v>
      </c>
      <c r="H69" s="23">
        <v>0.79166666666666663</v>
      </c>
      <c r="I69" t="s">
        <v>2696</v>
      </c>
      <c r="J69" t="s">
        <v>2518</v>
      </c>
      <c r="K69" t="s">
        <v>2519</v>
      </c>
      <c r="L69" t="s">
        <v>2477</v>
      </c>
      <c r="M69" t="s">
        <v>2480</v>
      </c>
      <c r="N69" s="6">
        <v>46002</v>
      </c>
      <c r="O69" t="s">
        <v>2459</v>
      </c>
      <c r="P69" t="s">
        <v>2445</v>
      </c>
      <c r="Q69" s="23">
        <v>0.65984953703703708</v>
      </c>
      <c r="R69" s="23">
        <v>1.4097222222222223E-2</v>
      </c>
      <c r="S69">
        <v>22.5</v>
      </c>
      <c r="T69">
        <v>1</v>
      </c>
      <c r="U69" t="s">
        <v>2520</v>
      </c>
      <c r="V69">
        <v>8</v>
      </c>
      <c r="W69">
        <v>8</v>
      </c>
      <c r="X69" t="s">
        <v>2689</v>
      </c>
      <c r="Y69" t="s">
        <v>2689</v>
      </c>
      <c r="Z69" t="s">
        <v>2689</v>
      </c>
      <c r="AA69" t="s">
        <v>2689</v>
      </c>
      <c r="AC69" t="s">
        <v>2689</v>
      </c>
      <c r="AD69" t="s">
        <v>2689</v>
      </c>
      <c r="AE69" t="s">
        <v>2689</v>
      </c>
      <c r="AF69" t="s">
        <v>2689</v>
      </c>
      <c r="AH69">
        <v>180</v>
      </c>
      <c r="AI69" t="s">
        <v>2690</v>
      </c>
      <c r="AJ69" t="s">
        <v>2690</v>
      </c>
      <c r="AK69" t="s">
        <v>2690</v>
      </c>
      <c r="AL69" t="s">
        <v>2690</v>
      </c>
      <c r="AP69">
        <v>180</v>
      </c>
      <c r="AR69" s="23">
        <v>0.65984953703703708</v>
      </c>
      <c r="AS69" s="23">
        <v>1.4097222222222223E-2</v>
      </c>
      <c r="AT69" s="23">
        <v>0.66666666666666663</v>
      </c>
      <c r="AU69" s="24">
        <v>1</v>
      </c>
      <c r="AV69" t="s">
        <v>2507</v>
      </c>
      <c r="AY69">
        <v>0.5</v>
      </c>
      <c r="AZ69" t="s">
        <v>2844</v>
      </c>
      <c r="BA69" t="s">
        <v>2769</v>
      </c>
      <c r="BD69" t="s">
        <v>2521</v>
      </c>
      <c r="BE69" t="s">
        <v>2522</v>
      </c>
      <c r="BG69">
        <v>0</v>
      </c>
      <c r="BH69">
        <v>0</v>
      </c>
      <c r="BJ69">
        <v>0</v>
      </c>
    </row>
    <row r="70" spans="1:62" x14ac:dyDescent="0.2">
      <c r="A70" t="s">
        <v>2477</v>
      </c>
      <c r="B70" t="s">
        <v>2477</v>
      </c>
      <c r="C70">
        <v>100035605</v>
      </c>
      <c r="D70" t="s">
        <v>2517</v>
      </c>
      <c r="E70" t="s">
        <v>2439</v>
      </c>
      <c r="F70" t="s">
        <v>2794</v>
      </c>
      <c r="G70" t="s">
        <v>2795</v>
      </c>
      <c r="H70" s="23">
        <v>0.79166666666666663</v>
      </c>
      <c r="I70" t="s">
        <v>2696</v>
      </c>
      <c r="J70" t="s">
        <v>2518</v>
      </c>
      <c r="K70" t="s">
        <v>2837</v>
      </c>
      <c r="L70" t="s">
        <v>2477</v>
      </c>
      <c r="M70" t="s">
        <v>2480</v>
      </c>
      <c r="N70" s="6">
        <v>46003</v>
      </c>
      <c r="O70" t="s">
        <v>2449</v>
      </c>
      <c r="P70" t="s">
        <v>2445</v>
      </c>
      <c r="Q70" s="23">
        <v>0.57648148148148148</v>
      </c>
      <c r="R70" s="23">
        <v>0.99109953703703701</v>
      </c>
      <c r="S70">
        <v>22.5</v>
      </c>
      <c r="T70">
        <v>1</v>
      </c>
      <c r="U70" t="s">
        <v>2520</v>
      </c>
      <c r="V70">
        <v>9.4499999999999993</v>
      </c>
      <c r="W70">
        <v>8</v>
      </c>
      <c r="X70">
        <v>1.45</v>
      </c>
      <c r="Y70" t="s">
        <v>2689</v>
      </c>
      <c r="Z70" t="s">
        <v>2689</v>
      </c>
      <c r="AA70" t="s">
        <v>2689</v>
      </c>
      <c r="AC70" t="s">
        <v>2689</v>
      </c>
      <c r="AD70" t="s">
        <v>2689</v>
      </c>
      <c r="AE70" t="s">
        <v>2689</v>
      </c>
      <c r="AF70" t="s">
        <v>2689</v>
      </c>
      <c r="AH70">
        <v>180</v>
      </c>
      <c r="AI70">
        <v>48.94</v>
      </c>
      <c r="AJ70" t="s">
        <v>2690</v>
      </c>
      <c r="AK70" t="s">
        <v>2690</v>
      </c>
      <c r="AL70" t="s">
        <v>2690</v>
      </c>
      <c r="AP70">
        <v>228.94</v>
      </c>
      <c r="AR70" s="23">
        <v>0.57648148148148148</v>
      </c>
      <c r="AS70" s="23">
        <v>0.99109953703703701</v>
      </c>
      <c r="AT70" s="23">
        <v>0.58333333333333337</v>
      </c>
      <c r="AU70" s="23">
        <v>0.97916666666666663</v>
      </c>
      <c r="AV70" t="s">
        <v>2507</v>
      </c>
      <c r="AY70">
        <v>0.5</v>
      </c>
      <c r="AZ70" t="s">
        <v>2845</v>
      </c>
      <c r="BA70" t="s">
        <v>2769</v>
      </c>
      <c r="BD70" t="s">
        <v>2521</v>
      </c>
      <c r="BE70" t="s">
        <v>2522</v>
      </c>
      <c r="BG70">
        <v>0</v>
      </c>
      <c r="BH70">
        <v>0</v>
      </c>
      <c r="BJ70">
        <v>0</v>
      </c>
    </row>
    <row r="71" spans="1:62" x14ac:dyDescent="0.2">
      <c r="A71" t="s">
        <v>2477</v>
      </c>
      <c r="B71" t="s">
        <v>2477</v>
      </c>
      <c r="C71">
        <v>100035605</v>
      </c>
      <c r="D71" t="s">
        <v>2517</v>
      </c>
      <c r="E71" t="s">
        <v>2439</v>
      </c>
      <c r="F71" t="s">
        <v>2811</v>
      </c>
      <c r="G71" t="s">
        <v>2812</v>
      </c>
      <c r="H71" s="23">
        <v>0.6875</v>
      </c>
      <c r="I71" t="s">
        <v>2696</v>
      </c>
      <c r="J71" t="s">
        <v>2518</v>
      </c>
      <c r="K71" t="s">
        <v>2523</v>
      </c>
      <c r="L71" t="s">
        <v>2477</v>
      </c>
      <c r="M71" t="s">
        <v>2480</v>
      </c>
      <c r="N71" s="6">
        <v>46005</v>
      </c>
      <c r="O71" t="s">
        <v>2461</v>
      </c>
      <c r="P71" t="s">
        <v>2442</v>
      </c>
      <c r="Q71" s="23">
        <v>0.5809375</v>
      </c>
      <c r="R71" s="23">
        <v>0.90462962962962967</v>
      </c>
      <c r="S71">
        <v>22.5</v>
      </c>
      <c r="T71">
        <v>1</v>
      </c>
      <c r="U71" t="s">
        <v>2520</v>
      </c>
      <c r="V71">
        <v>7.18</v>
      </c>
      <c r="W71">
        <v>7.18</v>
      </c>
      <c r="X71" t="s">
        <v>2689</v>
      </c>
      <c r="Y71" t="s">
        <v>2689</v>
      </c>
      <c r="Z71" t="s">
        <v>2689</v>
      </c>
      <c r="AA71" t="s">
        <v>2689</v>
      </c>
      <c r="AC71" t="s">
        <v>2689</v>
      </c>
      <c r="AD71" t="s">
        <v>2689</v>
      </c>
      <c r="AE71" t="s">
        <v>2689</v>
      </c>
      <c r="AF71" t="s">
        <v>2689</v>
      </c>
      <c r="AH71">
        <v>161.55000000000001</v>
      </c>
      <c r="AI71" t="s">
        <v>2690</v>
      </c>
      <c r="AJ71" t="s">
        <v>2690</v>
      </c>
      <c r="AK71" t="s">
        <v>2690</v>
      </c>
      <c r="AL71" t="s">
        <v>2690</v>
      </c>
      <c r="AP71">
        <v>161.55000000000001</v>
      </c>
      <c r="AR71" s="23">
        <v>0.5809375</v>
      </c>
      <c r="AS71" s="23">
        <v>0.90462962962962967</v>
      </c>
      <c r="AT71" s="23">
        <v>0.58333333333333337</v>
      </c>
      <c r="AU71" s="23">
        <v>0.89583333333333337</v>
      </c>
      <c r="AV71" t="s">
        <v>2507</v>
      </c>
      <c r="AY71">
        <v>0.59</v>
      </c>
      <c r="AZ71" t="s">
        <v>2846</v>
      </c>
      <c r="BA71" t="s">
        <v>2769</v>
      </c>
      <c r="BD71" t="s">
        <v>2521</v>
      </c>
      <c r="BE71" t="s">
        <v>2522</v>
      </c>
      <c r="BG71">
        <v>0</v>
      </c>
      <c r="BH71">
        <v>0</v>
      </c>
      <c r="BJ71">
        <v>0</v>
      </c>
    </row>
    <row r="72" spans="1:62" x14ac:dyDescent="0.2">
      <c r="A72" t="s">
        <v>2477</v>
      </c>
      <c r="B72" t="s">
        <v>2477</v>
      </c>
      <c r="C72">
        <v>100035605</v>
      </c>
      <c r="D72" t="s">
        <v>2517</v>
      </c>
      <c r="E72" t="s">
        <v>2439</v>
      </c>
      <c r="F72" t="s">
        <v>2814</v>
      </c>
      <c r="G72" t="s">
        <v>2815</v>
      </c>
      <c r="H72" s="23">
        <v>0.47916666666666669</v>
      </c>
      <c r="I72" t="s">
        <v>2696</v>
      </c>
      <c r="J72" t="s">
        <v>2518</v>
      </c>
      <c r="K72" t="s">
        <v>2524</v>
      </c>
      <c r="L72" t="s">
        <v>2477</v>
      </c>
      <c r="M72" t="s">
        <v>2480</v>
      </c>
      <c r="N72" s="6">
        <v>46006</v>
      </c>
      <c r="O72" t="s">
        <v>2455</v>
      </c>
      <c r="P72" t="s">
        <v>2445</v>
      </c>
      <c r="Q72" s="23">
        <v>0.2930787037037037</v>
      </c>
      <c r="R72" s="23">
        <v>0.6237152777777778</v>
      </c>
      <c r="S72">
        <v>22.5</v>
      </c>
      <c r="T72">
        <v>1</v>
      </c>
      <c r="U72" t="s">
        <v>2520</v>
      </c>
      <c r="V72">
        <v>7.44</v>
      </c>
      <c r="W72">
        <v>7.44</v>
      </c>
      <c r="X72" t="s">
        <v>2689</v>
      </c>
      <c r="Y72" t="s">
        <v>2689</v>
      </c>
      <c r="Z72" t="s">
        <v>2689</v>
      </c>
      <c r="AA72" t="s">
        <v>2689</v>
      </c>
      <c r="AC72" t="s">
        <v>2689</v>
      </c>
      <c r="AD72" t="s">
        <v>2689</v>
      </c>
      <c r="AE72" t="s">
        <v>2689</v>
      </c>
      <c r="AF72" t="s">
        <v>2689</v>
      </c>
      <c r="AH72">
        <v>167.4</v>
      </c>
      <c r="AI72" t="s">
        <v>2690</v>
      </c>
      <c r="AJ72" t="s">
        <v>2690</v>
      </c>
      <c r="AK72" t="s">
        <v>2690</v>
      </c>
      <c r="AL72" t="s">
        <v>2690</v>
      </c>
      <c r="AP72">
        <v>167.4</v>
      </c>
      <c r="AR72" s="23">
        <v>0.2930787037037037</v>
      </c>
      <c r="AS72" s="23">
        <v>0.6237152777777778</v>
      </c>
      <c r="AT72" s="23">
        <v>0.29166666666666669</v>
      </c>
      <c r="AU72" s="23">
        <v>0.625</v>
      </c>
      <c r="AV72" t="s">
        <v>2507</v>
      </c>
      <c r="AY72">
        <v>0.5</v>
      </c>
      <c r="AZ72" t="s">
        <v>2847</v>
      </c>
      <c r="BA72" t="s">
        <v>2769</v>
      </c>
      <c r="BD72" t="s">
        <v>2521</v>
      </c>
      <c r="BE72" t="s">
        <v>2522</v>
      </c>
      <c r="BG72">
        <v>0</v>
      </c>
      <c r="BH72">
        <v>0</v>
      </c>
      <c r="BJ72">
        <v>0</v>
      </c>
    </row>
    <row r="73" spans="1:62" x14ac:dyDescent="0.2">
      <c r="A73" t="s">
        <v>2477</v>
      </c>
      <c r="B73" t="s">
        <v>2477</v>
      </c>
      <c r="C73">
        <v>100035605</v>
      </c>
      <c r="D73" t="s">
        <v>2517</v>
      </c>
      <c r="E73" t="s">
        <v>2439</v>
      </c>
      <c r="F73" t="s">
        <v>2452</v>
      </c>
      <c r="G73" t="s">
        <v>2453</v>
      </c>
      <c r="H73" s="23">
        <v>0.33333333333333331</v>
      </c>
      <c r="I73" t="s">
        <v>2688</v>
      </c>
      <c r="J73" t="s">
        <v>2518</v>
      </c>
      <c r="K73" t="s">
        <v>2524</v>
      </c>
      <c r="L73" t="s">
        <v>2477</v>
      </c>
      <c r="M73" t="s">
        <v>2480</v>
      </c>
      <c r="N73" s="6">
        <v>46007</v>
      </c>
      <c r="O73" t="s">
        <v>2457</v>
      </c>
      <c r="P73" t="s">
        <v>2445</v>
      </c>
      <c r="Q73" s="23">
        <v>0.41025462962962961</v>
      </c>
      <c r="R73" s="23">
        <v>0.71766203703703701</v>
      </c>
      <c r="S73">
        <v>22.5</v>
      </c>
      <c r="T73">
        <v>1</v>
      </c>
      <c r="U73" t="s">
        <v>2520</v>
      </c>
      <c r="V73">
        <v>6.88</v>
      </c>
      <c r="W73">
        <v>4.88</v>
      </c>
      <c r="X73">
        <v>2</v>
      </c>
      <c r="Y73" t="s">
        <v>2689</v>
      </c>
      <c r="Z73" t="s">
        <v>2689</v>
      </c>
      <c r="AA73" t="s">
        <v>2689</v>
      </c>
      <c r="AC73" t="s">
        <v>2689</v>
      </c>
      <c r="AD73" t="s">
        <v>2689</v>
      </c>
      <c r="AE73" t="s">
        <v>2689</v>
      </c>
      <c r="AF73" t="s">
        <v>2689</v>
      </c>
      <c r="AH73">
        <v>109.8</v>
      </c>
      <c r="AI73">
        <v>67.5</v>
      </c>
      <c r="AJ73" t="s">
        <v>2690</v>
      </c>
      <c r="AK73" t="s">
        <v>2690</v>
      </c>
      <c r="AL73" t="s">
        <v>2690</v>
      </c>
      <c r="AP73">
        <v>177.3</v>
      </c>
      <c r="AR73" s="23">
        <v>0.41025462962962961</v>
      </c>
      <c r="AS73" s="23">
        <v>0.71766203703703701</v>
      </c>
      <c r="AT73" s="23">
        <v>0.41666666666666669</v>
      </c>
      <c r="AU73" s="23">
        <v>0.70833333333333337</v>
      </c>
      <c r="AV73" t="s">
        <v>2507</v>
      </c>
      <c r="AY73">
        <v>0.5</v>
      </c>
      <c r="AZ73" t="s">
        <v>2848</v>
      </c>
      <c r="BA73" t="s">
        <v>2761</v>
      </c>
      <c r="BD73" t="s">
        <v>2521</v>
      </c>
      <c r="BE73" t="s">
        <v>2522</v>
      </c>
      <c r="BG73">
        <v>0</v>
      </c>
      <c r="BH73">
        <v>0</v>
      </c>
      <c r="BJ73">
        <v>0</v>
      </c>
    </row>
    <row r="74" spans="1:62" x14ac:dyDescent="0.2">
      <c r="A74" t="s">
        <v>2469</v>
      </c>
      <c r="B74" t="s">
        <v>2477</v>
      </c>
      <c r="C74">
        <v>100036211</v>
      </c>
      <c r="D74" t="s">
        <v>2708</v>
      </c>
      <c r="E74" t="s">
        <v>2439</v>
      </c>
      <c r="F74" t="s">
        <v>2800</v>
      </c>
      <c r="G74" t="s">
        <v>2801</v>
      </c>
      <c r="H74" s="23">
        <v>0.66666666666666663</v>
      </c>
      <c r="I74" t="s">
        <v>2696</v>
      </c>
      <c r="J74" t="s">
        <v>2478</v>
      </c>
      <c r="K74" t="s">
        <v>2849</v>
      </c>
      <c r="L74" t="s">
        <v>2477</v>
      </c>
      <c r="M74" t="s">
        <v>2480</v>
      </c>
      <c r="N74" s="6">
        <v>45993</v>
      </c>
      <c r="O74" t="s">
        <v>2457</v>
      </c>
      <c r="P74" t="s">
        <v>2445</v>
      </c>
      <c r="Q74" s="23">
        <v>0.34388888888888891</v>
      </c>
      <c r="R74" s="23">
        <v>0.59629629629629632</v>
      </c>
      <c r="S74">
        <v>22</v>
      </c>
      <c r="T74">
        <v>1</v>
      </c>
      <c r="U74" t="s">
        <v>2506</v>
      </c>
      <c r="V74">
        <v>7.06</v>
      </c>
      <c r="W74">
        <v>6.06</v>
      </c>
      <c r="X74" t="s">
        <v>2689</v>
      </c>
      <c r="Y74" t="s">
        <v>2689</v>
      </c>
      <c r="Z74" t="s">
        <v>2689</v>
      </c>
      <c r="AA74">
        <v>1</v>
      </c>
      <c r="AC74" t="s">
        <v>2689</v>
      </c>
      <c r="AD74" t="s">
        <v>2689</v>
      </c>
      <c r="AE74">
        <v>175</v>
      </c>
      <c r="AF74" t="s">
        <v>2689</v>
      </c>
      <c r="AH74">
        <v>133.32</v>
      </c>
      <c r="AI74" t="s">
        <v>2690</v>
      </c>
      <c r="AJ74" t="s">
        <v>2690</v>
      </c>
      <c r="AK74" t="s">
        <v>2690</v>
      </c>
      <c r="AL74">
        <v>20.61</v>
      </c>
      <c r="AP74">
        <v>328.93</v>
      </c>
      <c r="AQ74" t="s">
        <v>2442</v>
      </c>
      <c r="AR74" s="23">
        <v>0.34388888888888891</v>
      </c>
      <c r="AS74" s="23">
        <v>0.59629629629629632</v>
      </c>
      <c r="AT74" s="23">
        <v>0.33333333333333331</v>
      </c>
      <c r="AU74" s="23">
        <v>0.625</v>
      </c>
      <c r="AV74" t="s">
        <v>2706</v>
      </c>
      <c r="BA74" t="s">
        <v>2752</v>
      </c>
      <c r="BD74" t="s">
        <v>2482</v>
      </c>
      <c r="BE74" t="s">
        <v>2478</v>
      </c>
      <c r="BF74" t="s">
        <v>2850</v>
      </c>
      <c r="BG74">
        <v>0</v>
      </c>
      <c r="BH74">
        <v>0</v>
      </c>
      <c r="BJ74">
        <v>0</v>
      </c>
    </row>
    <row r="75" spans="1:62" x14ac:dyDescent="0.2">
      <c r="A75" t="s">
        <v>2469</v>
      </c>
      <c r="B75" t="s">
        <v>2477</v>
      </c>
      <c r="C75">
        <v>100036211</v>
      </c>
      <c r="D75" t="s">
        <v>2708</v>
      </c>
      <c r="E75" t="s">
        <v>2439</v>
      </c>
      <c r="F75" t="s">
        <v>2452</v>
      </c>
      <c r="G75" t="s">
        <v>2453</v>
      </c>
      <c r="H75" s="23">
        <v>0.33333333333333331</v>
      </c>
      <c r="I75" t="s">
        <v>2688</v>
      </c>
      <c r="J75" t="s">
        <v>2478</v>
      </c>
      <c r="K75" t="s">
        <v>2719</v>
      </c>
      <c r="L75" t="s">
        <v>2477</v>
      </c>
      <c r="M75" t="s">
        <v>2480</v>
      </c>
      <c r="N75" s="6">
        <v>46001</v>
      </c>
      <c r="O75" t="s">
        <v>2458</v>
      </c>
      <c r="P75" t="s">
        <v>2445</v>
      </c>
      <c r="Q75" s="23">
        <v>0.50163194444444448</v>
      </c>
      <c r="R75" s="23">
        <v>0.71067129629629633</v>
      </c>
      <c r="S75">
        <v>18.25</v>
      </c>
      <c r="T75">
        <v>1</v>
      </c>
      <c r="U75" t="s">
        <v>2470</v>
      </c>
      <c r="V75">
        <v>5.0199999999999996</v>
      </c>
      <c r="W75">
        <v>5.0199999999999996</v>
      </c>
      <c r="X75" t="s">
        <v>2689</v>
      </c>
      <c r="Y75" t="s">
        <v>2689</v>
      </c>
      <c r="Z75" t="s">
        <v>2689</v>
      </c>
      <c r="AA75" t="s">
        <v>2689</v>
      </c>
      <c r="AC75" t="s">
        <v>2689</v>
      </c>
      <c r="AD75" t="s">
        <v>2689</v>
      </c>
      <c r="AE75" t="s">
        <v>2689</v>
      </c>
      <c r="AF75" t="s">
        <v>2689</v>
      </c>
      <c r="AH75">
        <v>91.62</v>
      </c>
      <c r="AI75" t="s">
        <v>2690</v>
      </c>
      <c r="AJ75" t="s">
        <v>2690</v>
      </c>
      <c r="AK75" t="s">
        <v>2690</v>
      </c>
      <c r="AL75" t="s">
        <v>2690</v>
      </c>
      <c r="AP75">
        <v>91.62</v>
      </c>
      <c r="AR75" s="23">
        <v>0.50163194444444448</v>
      </c>
      <c r="AS75" s="23">
        <v>0.71067129629629633</v>
      </c>
      <c r="AT75" s="23">
        <v>0.5</v>
      </c>
      <c r="AU75" s="23">
        <v>0.70833333333333337</v>
      </c>
      <c r="AV75" t="s">
        <v>2706</v>
      </c>
      <c r="BA75" t="s">
        <v>2798</v>
      </c>
      <c r="BD75" t="s">
        <v>2482</v>
      </c>
      <c r="BE75" t="s">
        <v>2478</v>
      </c>
      <c r="BG75">
        <v>0</v>
      </c>
      <c r="BH75">
        <v>0</v>
      </c>
      <c r="BJ75">
        <v>0</v>
      </c>
    </row>
    <row r="76" spans="1:62" x14ac:dyDescent="0.2">
      <c r="A76" t="s">
        <v>2469</v>
      </c>
      <c r="B76" t="s">
        <v>2477</v>
      </c>
      <c r="C76">
        <v>100036211</v>
      </c>
      <c r="D76" t="s">
        <v>2708</v>
      </c>
      <c r="E76" t="s">
        <v>2439</v>
      </c>
      <c r="F76" t="s">
        <v>2791</v>
      </c>
      <c r="G76" t="s">
        <v>2792</v>
      </c>
      <c r="H76" s="23">
        <v>0.79166666666666663</v>
      </c>
      <c r="I76" t="s">
        <v>2696</v>
      </c>
      <c r="J76" t="s">
        <v>2478</v>
      </c>
      <c r="K76" t="s">
        <v>2479</v>
      </c>
      <c r="L76" t="s">
        <v>2477</v>
      </c>
      <c r="M76" t="s">
        <v>2480</v>
      </c>
      <c r="N76" s="6">
        <v>46002</v>
      </c>
      <c r="O76" t="s">
        <v>2459</v>
      </c>
      <c r="P76" t="s">
        <v>2445</v>
      </c>
      <c r="Q76" s="23">
        <v>0.68239583333333331</v>
      </c>
      <c r="R76" s="23">
        <v>0.99495370370370373</v>
      </c>
      <c r="S76">
        <v>22</v>
      </c>
      <c r="T76">
        <v>1</v>
      </c>
      <c r="U76" t="s">
        <v>2481</v>
      </c>
      <c r="V76">
        <v>7</v>
      </c>
      <c r="W76">
        <v>7</v>
      </c>
      <c r="X76" t="s">
        <v>2689</v>
      </c>
      <c r="Y76" t="s">
        <v>2689</v>
      </c>
      <c r="Z76" t="s">
        <v>2689</v>
      </c>
      <c r="AA76" t="s">
        <v>2689</v>
      </c>
      <c r="AC76" t="s">
        <v>2689</v>
      </c>
      <c r="AD76" t="s">
        <v>2689</v>
      </c>
      <c r="AE76">
        <v>150</v>
      </c>
      <c r="AF76" t="s">
        <v>2689</v>
      </c>
      <c r="AH76">
        <v>154</v>
      </c>
      <c r="AI76" t="s">
        <v>2690</v>
      </c>
      <c r="AJ76" t="s">
        <v>2690</v>
      </c>
      <c r="AK76" t="s">
        <v>2690</v>
      </c>
      <c r="AL76" t="s">
        <v>2690</v>
      </c>
      <c r="AP76">
        <v>304</v>
      </c>
      <c r="AR76" s="23">
        <v>0.68239583333333331</v>
      </c>
      <c r="AS76" s="23">
        <v>0.99495370370370373</v>
      </c>
      <c r="AT76" s="23">
        <v>0.6875</v>
      </c>
      <c r="AU76" s="23">
        <v>2.0833333333333332E-2</v>
      </c>
      <c r="AV76" t="s">
        <v>2706</v>
      </c>
      <c r="AY76">
        <v>0.5</v>
      </c>
      <c r="AZ76" t="s">
        <v>2851</v>
      </c>
      <c r="BA76" t="s">
        <v>2798</v>
      </c>
      <c r="BD76" t="s">
        <v>2482</v>
      </c>
      <c r="BE76" t="s">
        <v>2478</v>
      </c>
      <c r="BF76" t="s">
        <v>2446</v>
      </c>
      <c r="BG76">
        <v>0</v>
      </c>
      <c r="BH76">
        <v>0</v>
      </c>
      <c r="BJ76">
        <v>0</v>
      </c>
    </row>
    <row r="77" spans="1:62" x14ac:dyDescent="0.2">
      <c r="A77" t="s">
        <v>2469</v>
      </c>
      <c r="B77" t="s">
        <v>2477</v>
      </c>
      <c r="C77">
        <v>100036438</v>
      </c>
      <c r="D77" t="s">
        <v>2852</v>
      </c>
      <c r="E77" t="s">
        <v>2439</v>
      </c>
      <c r="F77" t="s">
        <v>2791</v>
      </c>
      <c r="G77" t="s">
        <v>2792</v>
      </c>
      <c r="H77" s="23">
        <v>0.79166666666666663</v>
      </c>
      <c r="I77" t="s">
        <v>2696</v>
      </c>
      <c r="J77" t="s">
        <v>2478</v>
      </c>
      <c r="K77" t="s">
        <v>2673</v>
      </c>
      <c r="L77" t="s">
        <v>2477</v>
      </c>
      <c r="M77" t="s">
        <v>2480</v>
      </c>
      <c r="N77" s="6">
        <v>46002</v>
      </c>
      <c r="O77" t="s">
        <v>2459</v>
      </c>
      <c r="P77" t="s">
        <v>2445</v>
      </c>
      <c r="Q77" s="23">
        <v>0.6810532407407407</v>
      </c>
      <c r="R77" s="23">
        <v>0.9865856481481482</v>
      </c>
      <c r="S77">
        <v>22</v>
      </c>
      <c r="T77">
        <v>1</v>
      </c>
      <c r="U77" t="s">
        <v>2481</v>
      </c>
      <c r="V77">
        <v>6.74</v>
      </c>
      <c r="W77">
        <v>6.74</v>
      </c>
      <c r="X77" t="s">
        <v>2689</v>
      </c>
      <c r="Y77" t="s">
        <v>2689</v>
      </c>
      <c r="Z77" t="s">
        <v>2689</v>
      </c>
      <c r="AA77" t="s">
        <v>2689</v>
      </c>
      <c r="AC77" t="s">
        <v>2689</v>
      </c>
      <c r="AD77" t="s">
        <v>2689</v>
      </c>
      <c r="AE77">
        <v>175</v>
      </c>
      <c r="AF77" t="s">
        <v>2689</v>
      </c>
      <c r="AH77">
        <v>148.28</v>
      </c>
      <c r="AI77" t="s">
        <v>2690</v>
      </c>
      <c r="AJ77" t="s">
        <v>2690</v>
      </c>
      <c r="AK77" t="s">
        <v>2690</v>
      </c>
      <c r="AL77" t="s">
        <v>2690</v>
      </c>
      <c r="AP77">
        <v>323.27999999999997</v>
      </c>
      <c r="AR77" s="23">
        <v>0.6810532407407407</v>
      </c>
      <c r="AS77" s="23">
        <v>0.9865856481481482</v>
      </c>
      <c r="AT77" s="23">
        <v>0.6875</v>
      </c>
      <c r="AU77" s="23">
        <v>2.0833333333333332E-2</v>
      </c>
      <c r="AV77" t="s">
        <v>2706</v>
      </c>
      <c r="AY77">
        <v>0.6</v>
      </c>
      <c r="AZ77" t="s">
        <v>2853</v>
      </c>
      <c r="BA77" t="s">
        <v>2798</v>
      </c>
      <c r="BD77" t="s">
        <v>2482</v>
      </c>
      <c r="BE77" t="s">
        <v>2478</v>
      </c>
      <c r="BG77">
        <v>0</v>
      </c>
      <c r="BH77">
        <v>0</v>
      </c>
      <c r="BJ77">
        <v>0</v>
      </c>
    </row>
    <row r="78" spans="1:62" x14ac:dyDescent="0.2">
      <c r="A78" t="s">
        <v>2469</v>
      </c>
      <c r="B78" t="s">
        <v>2477</v>
      </c>
      <c r="C78">
        <v>100036537</v>
      </c>
      <c r="D78" t="s">
        <v>2694</v>
      </c>
      <c r="E78" t="s">
        <v>2439</v>
      </c>
      <c r="F78" t="s">
        <v>2791</v>
      </c>
      <c r="G78" t="s">
        <v>2792</v>
      </c>
      <c r="H78" s="23">
        <v>0.79166666666666663</v>
      </c>
      <c r="I78" t="s">
        <v>2696</v>
      </c>
      <c r="J78" t="s">
        <v>2535</v>
      </c>
      <c r="K78" t="s">
        <v>2536</v>
      </c>
      <c r="L78" t="s">
        <v>2477</v>
      </c>
      <c r="M78" t="s">
        <v>2537</v>
      </c>
      <c r="N78" s="6">
        <v>46002</v>
      </c>
      <c r="O78" t="s">
        <v>2459</v>
      </c>
      <c r="P78" t="s">
        <v>2445</v>
      </c>
      <c r="Q78" s="23">
        <v>0.65991898148148154</v>
      </c>
      <c r="R78" s="23">
        <v>2.662037037037037E-3</v>
      </c>
      <c r="S78">
        <v>23</v>
      </c>
      <c r="T78" t="s">
        <v>2443</v>
      </c>
      <c r="U78" t="s">
        <v>2483</v>
      </c>
      <c r="V78">
        <v>7.73</v>
      </c>
      <c r="W78">
        <v>7.73</v>
      </c>
      <c r="X78" t="s">
        <v>2689</v>
      </c>
      <c r="Y78" t="s">
        <v>2689</v>
      </c>
      <c r="Z78" t="s">
        <v>2689</v>
      </c>
      <c r="AA78" t="s">
        <v>2689</v>
      </c>
      <c r="AC78" t="s">
        <v>2689</v>
      </c>
      <c r="AD78" t="s">
        <v>2689</v>
      </c>
      <c r="AE78" t="s">
        <v>2689</v>
      </c>
      <c r="AF78" t="s">
        <v>2689</v>
      </c>
      <c r="AH78">
        <v>177.79</v>
      </c>
      <c r="AI78" t="s">
        <v>2690</v>
      </c>
      <c r="AJ78" t="s">
        <v>2690</v>
      </c>
      <c r="AK78" t="s">
        <v>2690</v>
      </c>
      <c r="AL78" t="s">
        <v>2690</v>
      </c>
      <c r="AP78">
        <v>177.79</v>
      </c>
      <c r="AR78" s="23">
        <v>0.65991898148148154</v>
      </c>
      <c r="AS78" s="23">
        <v>2.662037037037037E-3</v>
      </c>
      <c r="AT78" s="23">
        <v>0.66666666666666663</v>
      </c>
      <c r="AU78" s="23">
        <v>2.0833333333333332E-2</v>
      </c>
      <c r="AV78" t="s">
        <v>2706</v>
      </c>
      <c r="AY78">
        <v>0.5</v>
      </c>
      <c r="BA78" t="s">
        <v>2798</v>
      </c>
      <c r="BD78" t="s">
        <v>2530</v>
      </c>
      <c r="BE78" t="s">
        <v>2528</v>
      </c>
      <c r="BF78" t="s">
        <v>2446</v>
      </c>
      <c r="BG78">
        <v>0</v>
      </c>
      <c r="BH78">
        <v>0</v>
      </c>
      <c r="BJ78">
        <v>0</v>
      </c>
    </row>
    <row r="79" spans="1:62" x14ac:dyDescent="0.2">
      <c r="A79" t="s">
        <v>2469</v>
      </c>
      <c r="B79" t="s">
        <v>2477</v>
      </c>
      <c r="C79">
        <v>100036537</v>
      </c>
      <c r="D79" t="s">
        <v>2694</v>
      </c>
      <c r="E79" t="s">
        <v>2439</v>
      </c>
      <c r="F79" t="s">
        <v>2794</v>
      </c>
      <c r="G79" t="s">
        <v>2795</v>
      </c>
      <c r="H79" s="23">
        <v>0.79166666666666663</v>
      </c>
      <c r="I79" t="s">
        <v>2696</v>
      </c>
      <c r="J79" t="s">
        <v>2535</v>
      </c>
      <c r="K79" t="s">
        <v>2854</v>
      </c>
      <c r="L79" t="s">
        <v>2477</v>
      </c>
      <c r="N79" s="6">
        <v>46003</v>
      </c>
      <c r="O79" t="s">
        <v>2449</v>
      </c>
      <c r="P79" t="s">
        <v>2445</v>
      </c>
      <c r="Q79" s="23">
        <v>0.66047453703703707</v>
      </c>
      <c r="R79" s="23">
        <v>0.98607638888888893</v>
      </c>
      <c r="S79">
        <v>23</v>
      </c>
      <c r="T79" t="s">
        <v>2443</v>
      </c>
      <c r="U79" t="s">
        <v>2483</v>
      </c>
      <c r="V79">
        <v>7.31</v>
      </c>
      <c r="W79">
        <v>7.31</v>
      </c>
      <c r="X79" t="s">
        <v>2689</v>
      </c>
      <c r="Y79" t="s">
        <v>2689</v>
      </c>
      <c r="Z79" t="s">
        <v>2689</v>
      </c>
      <c r="AA79" t="s">
        <v>2689</v>
      </c>
      <c r="AC79" t="s">
        <v>2689</v>
      </c>
      <c r="AD79" t="s">
        <v>2689</v>
      </c>
      <c r="AE79" t="s">
        <v>2689</v>
      </c>
      <c r="AF79" t="s">
        <v>2689</v>
      </c>
      <c r="AH79">
        <v>168.13</v>
      </c>
      <c r="AI79" t="s">
        <v>2690</v>
      </c>
      <c r="AJ79" t="s">
        <v>2690</v>
      </c>
      <c r="AK79" t="s">
        <v>2690</v>
      </c>
      <c r="AL79" t="s">
        <v>2690</v>
      </c>
      <c r="AP79">
        <v>168.13</v>
      </c>
      <c r="AR79" s="23">
        <v>0.66047453703703707</v>
      </c>
      <c r="AS79" s="23">
        <v>0.98607638888888893</v>
      </c>
      <c r="AT79" s="23">
        <v>0.66666666666666663</v>
      </c>
      <c r="AU79" s="23">
        <v>0.97916666666666663</v>
      </c>
      <c r="AV79" t="s">
        <v>2706</v>
      </c>
      <c r="AY79">
        <v>0.5</v>
      </c>
      <c r="BA79" t="s">
        <v>2798</v>
      </c>
      <c r="BD79" t="s">
        <v>2530</v>
      </c>
      <c r="BE79" t="s">
        <v>2528</v>
      </c>
      <c r="BF79" t="s">
        <v>2446</v>
      </c>
      <c r="BG79">
        <v>0</v>
      </c>
      <c r="BH79">
        <v>0</v>
      </c>
      <c r="BJ79">
        <v>0</v>
      </c>
    </row>
    <row r="80" spans="1:62" x14ac:dyDescent="0.2">
      <c r="A80" t="s">
        <v>2469</v>
      </c>
      <c r="B80" t="s">
        <v>2477</v>
      </c>
      <c r="C80">
        <v>100039076</v>
      </c>
      <c r="D80" t="s">
        <v>2855</v>
      </c>
      <c r="E80" t="s">
        <v>2439</v>
      </c>
      <c r="F80" t="s">
        <v>2794</v>
      </c>
      <c r="G80" t="s">
        <v>2795</v>
      </c>
      <c r="H80" s="23">
        <v>0.79166666666666663</v>
      </c>
      <c r="I80" t="s">
        <v>2696</v>
      </c>
      <c r="J80" t="s">
        <v>2478</v>
      </c>
      <c r="K80" t="s">
        <v>2719</v>
      </c>
      <c r="L80" t="s">
        <v>2477</v>
      </c>
      <c r="M80" t="s">
        <v>2480</v>
      </c>
      <c r="N80" s="6">
        <v>46003</v>
      </c>
      <c r="O80" t="s">
        <v>2449</v>
      </c>
      <c r="P80" t="s">
        <v>2445</v>
      </c>
      <c r="Q80" s="23">
        <v>0.68283564814814812</v>
      </c>
      <c r="R80" s="23">
        <v>0.97537037037037033</v>
      </c>
      <c r="S80">
        <v>18.25</v>
      </c>
      <c r="T80">
        <v>1</v>
      </c>
      <c r="U80" t="s">
        <v>2470</v>
      </c>
      <c r="V80">
        <v>6.52</v>
      </c>
      <c r="W80">
        <v>6.52</v>
      </c>
      <c r="X80" t="s">
        <v>2689</v>
      </c>
      <c r="Y80" t="s">
        <v>2689</v>
      </c>
      <c r="Z80" t="s">
        <v>2689</v>
      </c>
      <c r="AA80" t="s">
        <v>2689</v>
      </c>
      <c r="AC80" t="s">
        <v>2689</v>
      </c>
      <c r="AD80" t="s">
        <v>2689</v>
      </c>
      <c r="AE80">
        <v>155</v>
      </c>
      <c r="AF80" t="s">
        <v>2689</v>
      </c>
      <c r="AH80">
        <v>118.99</v>
      </c>
      <c r="AI80" t="s">
        <v>2690</v>
      </c>
      <c r="AJ80" t="s">
        <v>2690</v>
      </c>
      <c r="AK80" t="s">
        <v>2690</v>
      </c>
      <c r="AL80" t="s">
        <v>2690</v>
      </c>
      <c r="AP80">
        <v>273.99</v>
      </c>
      <c r="AR80" s="23">
        <v>0.68283564814814812</v>
      </c>
      <c r="AS80" s="23">
        <v>0.97537037037037033</v>
      </c>
      <c r="AT80" s="23">
        <v>0.6875</v>
      </c>
      <c r="AU80" s="23">
        <v>0.97916666666666663</v>
      </c>
      <c r="AV80" t="s">
        <v>2706</v>
      </c>
      <c r="AY80">
        <v>0.5</v>
      </c>
      <c r="BA80" t="s">
        <v>2798</v>
      </c>
      <c r="BD80" t="s">
        <v>2482</v>
      </c>
      <c r="BE80" t="s">
        <v>2478</v>
      </c>
      <c r="BF80" t="s">
        <v>2446</v>
      </c>
      <c r="BG80">
        <v>0</v>
      </c>
      <c r="BH80">
        <v>0</v>
      </c>
      <c r="BJ80">
        <v>0</v>
      </c>
    </row>
    <row r="81" spans="1:62" x14ac:dyDescent="0.2">
      <c r="A81" t="s">
        <v>2469</v>
      </c>
      <c r="B81" t="s">
        <v>2477</v>
      </c>
      <c r="C81">
        <v>100039079</v>
      </c>
      <c r="D81" t="s">
        <v>2856</v>
      </c>
      <c r="E81" t="s">
        <v>2439</v>
      </c>
      <c r="F81" t="s">
        <v>2791</v>
      </c>
      <c r="G81" t="s">
        <v>2792</v>
      </c>
      <c r="H81" s="23">
        <v>0.79166666666666663</v>
      </c>
      <c r="I81" t="s">
        <v>2696</v>
      </c>
      <c r="J81" t="s">
        <v>2478</v>
      </c>
      <c r="K81" t="s">
        <v>2857</v>
      </c>
      <c r="L81" t="s">
        <v>2477</v>
      </c>
      <c r="M81" t="s">
        <v>2480</v>
      </c>
      <c r="N81" s="6">
        <v>46002</v>
      </c>
      <c r="O81" t="s">
        <v>2459</v>
      </c>
      <c r="P81" t="s">
        <v>2445</v>
      </c>
      <c r="Q81" s="23">
        <v>0.68914351851851852</v>
      </c>
      <c r="R81" s="23">
        <v>0.98724537037037041</v>
      </c>
      <c r="S81">
        <v>22</v>
      </c>
      <c r="T81">
        <v>1</v>
      </c>
      <c r="U81" t="s">
        <v>2481</v>
      </c>
      <c r="V81">
        <v>6.65</v>
      </c>
      <c r="W81">
        <v>6.65</v>
      </c>
      <c r="X81" t="s">
        <v>2689</v>
      </c>
      <c r="Y81" t="s">
        <v>2689</v>
      </c>
      <c r="Z81" t="s">
        <v>2689</v>
      </c>
      <c r="AA81" t="s">
        <v>2689</v>
      </c>
      <c r="AC81" t="s">
        <v>2689</v>
      </c>
      <c r="AD81" t="s">
        <v>2689</v>
      </c>
      <c r="AE81">
        <v>175</v>
      </c>
      <c r="AF81" t="s">
        <v>2689</v>
      </c>
      <c r="AH81">
        <v>146.30000000000001</v>
      </c>
      <c r="AI81" t="s">
        <v>2690</v>
      </c>
      <c r="AJ81" t="s">
        <v>2690</v>
      </c>
      <c r="AK81" t="s">
        <v>2690</v>
      </c>
      <c r="AL81" t="s">
        <v>2690</v>
      </c>
      <c r="AP81">
        <v>321.3</v>
      </c>
      <c r="AR81" s="23">
        <v>0.68914351851851852</v>
      </c>
      <c r="AS81" s="23">
        <v>0.98724537037037041</v>
      </c>
      <c r="AT81" s="23">
        <v>0.6875</v>
      </c>
      <c r="AU81" s="24">
        <v>1</v>
      </c>
      <c r="AV81" t="s">
        <v>2706</v>
      </c>
      <c r="AY81">
        <v>0.5</v>
      </c>
      <c r="AZ81" t="s">
        <v>2858</v>
      </c>
      <c r="BA81" t="s">
        <v>2798</v>
      </c>
      <c r="BD81" t="s">
        <v>2482</v>
      </c>
      <c r="BE81" t="s">
        <v>2478</v>
      </c>
      <c r="BG81">
        <v>0</v>
      </c>
      <c r="BH81">
        <v>0</v>
      </c>
      <c r="BJ81">
        <v>0</v>
      </c>
    </row>
    <row r="82" spans="1:62" x14ac:dyDescent="0.2">
      <c r="A82" t="s">
        <v>2469</v>
      </c>
      <c r="B82" t="s">
        <v>2477</v>
      </c>
      <c r="C82">
        <v>100039090</v>
      </c>
      <c r="D82" t="s">
        <v>2695</v>
      </c>
      <c r="E82" t="s">
        <v>2439</v>
      </c>
      <c r="F82" t="s">
        <v>2800</v>
      </c>
      <c r="G82" t="s">
        <v>2801</v>
      </c>
      <c r="H82" s="23">
        <v>0.66666666666666663</v>
      </c>
      <c r="I82" t="s">
        <v>2696</v>
      </c>
      <c r="J82" t="s">
        <v>2478</v>
      </c>
      <c r="K82" t="s">
        <v>2859</v>
      </c>
      <c r="L82" t="s">
        <v>2477</v>
      </c>
      <c r="M82" t="s">
        <v>2480</v>
      </c>
      <c r="N82" s="6">
        <v>45993</v>
      </c>
      <c r="O82" t="s">
        <v>2457</v>
      </c>
      <c r="P82" t="s">
        <v>2445</v>
      </c>
      <c r="Q82" s="23">
        <v>0.33402777777777776</v>
      </c>
      <c r="R82" s="23">
        <v>0.62381944444444448</v>
      </c>
      <c r="S82">
        <v>22</v>
      </c>
      <c r="T82">
        <v>1</v>
      </c>
      <c r="U82" t="s">
        <v>2481</v>
      </c>
      <c r="V82">
        <v>6.46</v>
      </c>
      <c r="W82">
        <v>6.46</v>
      </c>
      <c r="X82" t="s">
        <v>2689</v>
      </c>
      <c r="Y82" t="s">
        <v>2689</v>
      </c>
      <c r="Z82" t="s">
        <v>2689</v>
      </c>
      <c r="AA82" t="s">
        <v>2689</v>
      </c>
      <c r="AC82" t="s">
        <v>2689</v>
      </c>
      <c r="AD82" t="s">
        <v>2689</v>
      </c>
      <c r="AE82">
        <v>175</v>
      </c>
      <c r="AF82" t="s">
        <v>2689</v>
      </c>
      <c r="AH82">
        <v>142.12</v>
      </c>
      <c r="AI82" t="s">
        <v>2690</v>
      </c>
      <c r="AJ82" t="s">
        <v>2690</v>
      </c>
      <c r="AK82" t="s">
        <v>2690</v>
      </c>
      <c r="AL82" t="s">
        <v>2690</v>
      </c>
      <c r="AP82">
        <v>317.12</v>
      </c>
      <c r="AR82" s="23">
        <v>0.33402777777777776</v>
      </c>
      <c r="AS82" s="23">
        <v>0.62381944444444448</v>
      </c>
      <c r="AT82" s="23">
        <v>0.33333333333333331</v>
      </c>
      <c r="AU82" s="23">
        <v>0.625</v>
      </c>
      <c r="AV82" t="s">
        <v>2706</v>
      </c>
      <c r="AY82">
        <v>0.5</v>
      </c>
      <c r="AZ82" t="s">
        <v>2860</v>
      </c>
      <c r="BA82" t="s">
        <v>2752</v>
      </c>
      <c r="BD82" t="s">
        <v>2482</v>
      </c>
      <c r="BE82" t="s">
        <v>2478</v>
      </c>
      <c r="BG82">
        <v>0</v>
      </c>
      <c r="BH82">
        <v>0</v>
      </c>
      <c r="BJ82">
        <v>0</v>
      </c>
    </row>
    <row r="83" spans="1:62" x14ac:dyDescent="0.2">
      <c r="A83" t="s">
        <v>2469</v>
      </c>
      <c r="B83" t="s">
        <v>2477</v>
      </c>
      <c r="C83">
        <v>100039090</v>
      </c>
      <c r="D83" t="s">
        <v>2695</v>
      </c>
      <c r="E83" t="s">
        <v>2439</v>
      </c>
      <c r="F83" t="s">
        <v>2782</v>
      </c>
      <c r="G83" t="s">
        <v>2783</v>
      </c>
      <c r="H83" s="23">
        <v>0.70833333333333337</v>
      </c>
      <c r="I83" t="s">
        <v>2696</v>
      </c>
      <c r="J83" t="s">
        <v>2478</v>
      </c>
      <c r="K83" t="s">
        <v>2491</v>
      </c>
      <c r="L83" t="s">
        <v>2477</v>
      </c>
      <c r="M83" t="s">
        <v>2480</v>
      </c>
      <c r="N83" s="6">
        <v>45994</v>
      </c>
      <c r="O83" t="s">
        <v>2458</v>
      </c>
      <c r="P83" t="s">
        <v>2445</v>
      </c>
      <c r="Q83" s="23">
        <v>0.62386574074074075</v>
      </c>
      <c r="R83" s="23">
        <v>0.86831018518518521</v>
      </c>
      <c r="S83">
        <v>22</v>
      </c>
      <c r="T83">
        <v>1</v>
      </c>
      <c r="U83" t="s">
        <v>2481</v>
      </c>
      <c r="V83">
        <v>5.87</v>
      </c>
      <c r="W83">
        <v>5.87</v>
      </c>
      <c r="X83" t="s">
        <v>2689</v>
      </c>
      <c r="Y83" t="s">
        <v>2689</v>
      </c>
      <c r="Z83" t="s">
        <v>2689</v>
      </c>
      <c r="AA83" t="s">
        <v>2689</v>
      </c>
      <c r="AC83" t="s">
        <v>2689</v>
      </c>
      <c r="AD83" t="s">
        <v>2689</v>
      </c>
      <c r="AE83">
        <v>175</v>
      </c>
      <c r="AF83" t="s">
        <v>2689</v>
      </c>
      <c r="AH83">
        <v>129.13999999999999</v>
      </c>
      <c r="AI83" t="s">
        <v>2690</v>
      </c>
      <c r="AJ83" t="s">
        <v>2690</v>
      </c>
      <c r="AK83" t="s">
        <v>2690</v>
      </c>
      <c r="AL83" t="s">
        <v>2690</v>
      </c>
      <c r="AP83">
        <v>304.14</v>
      </c>
      <c r="AR83" s="23">
        <v>0.62386574074074075</v>
      </c>
      <c r="AS83" s="23">
        <v>0.86831018518518521</v>
      </c>
      <c r="AT83" s="23">
        <v>0.625</v>
      </c>
      <c r="AU83" s="23">
        <v>0.89583333333333337</v>
      </c>
      <c r="AV83" t="s">
        <v>2706</v>
      </c>
      <c r="BA83" t="s">
        <v>2754</v>
      </c>
      <c r="BD83" t="s">
        <v>2482</v>
      </c>
      <c r="BE83" t="s">
        <v>2478</v>
      </c>
      <c r="BG83">
        <v>0</v>
      </c>
      <c r="BH83">
        <v>0</v>
      </c>
      <c r="BJ83">
        <v>0</v>
      </c>
    </row>
    <row r="84" spans="1:62" x14ac:dyDescent="0.2">
      <c r="A84" t="s">
        <v>2469</v>
      </c>
      <c r="B84" t="s">
        <v>2477</v>
      </c>
      <c r="C84">
        <v>100039090</v>
      </c>
      <c r="D84" t="s">
        <v>2695</v>
      </c>
      <c r="E84" t="s">
        <v>2439</v>
      </c>
      <c r="F84" t="s">
        <v>2786</v>
      </c>
      <c r="G84" t="s">
        <v>2787</v>
      </c>
      <c r="H84" s="23">
        <v>0.66666666666666663</v>
      </c>
      <c r="I84" t="s">
        <v>2696</v>
      </c>
      <c r="J84" t="s">
        <v>2478</v>
      </c>
      <c r="K84" t="s">
        <v>2673</v>
      </c>
      <c r="L84" t="s">
        <v>2477</v>
      </c>
      <c r="M84" t="s">
        <v>2480</v>
      </c>
      <c r="N84" s="6">
        <v>45999</v>
      </c>
      <c r="O84" t="s">
        <v>2455</v>
      </c>
      <c r="P84" t="s">
        <v>2445</v>
      </c>
      <c r="Q84" s="23">
        <v>0.61826388888888884</v>
      </c>
      <c r="R84" s="23">
        <v>0.84577546296296291</v>
      </c>
      <c r="S84">
        <v>22</v>
      </c>
      <c r="T84">
        <v>1</v>
      </c>
      <c r="U84" t="s">
        <v>2481</v>
      </c>
      <c r="V84">
        <v>5.46</v>
      </c>
      <c r="W84">
        <v>5.46</v>
      </c>
      <c r="X84" t="s">
        <v>2689</v>
      </c>
      <c r="Y84" t="s">
        <v>2689</v>
      </c>
      <c r="Z84" t="s">
        <v>2689</v>
      </c>
      <c r="AA84" t="s">
        <v>2689</v>
      </c>
      <c r="AC84" t="s">
        <v>2689</v>
      </c>
      <c r="AD84" t="s">
        <v>2689</v>
      </c>
      <c r="AE84">
        <v>175</v>
      </c>
      <c r="AF84" t="s">
        <v>2689</v>
      </c>
      <c r="AH84">
        <v>120.12</v>
      </c>
      <c r="AI84" t="s">
        <v>2690</v>
      </c>
      <c r="AJ84" t="s">
        <v>2690</v>
      </c>
      <c r="AK84" t="s">
        <v>2690</v>
      </c>
      <c r="AL84" t="s">
        <v>2690</v>
      </c>
      <c r="AP84">
        <v>295.12</v>
      </c>
      <c r="AR84" s="23">
        <v>0.61826388888888884</v>
      </c>
      <c r="AS84" s="23">
        <v>0.84577546296296291</v>
      </c>
      <c r="AT84" s="23">
        <v>0.625</v>
      </c>
      <c r="AU84" s="23">
        <v>0.85416666666666663</v>
      </c>
      <c r="AV84" t="s">
        <v>2706</v>
      </c>
      <c r="BA84" t="s">
        <v>2861</v>
      </c>
      <c r="BD84" t="s">
        <v>2482</v>
      </c>
      <c r="BE84" t="s">
        <v>2478</v>
      </c>
      <c r="BG84">
        <v>0</v>
      </c>
      <c r="BH84">
        <v>0</v>
      </c>
      <c r="BJ84">
        <v>0</v>
      </c>
    </row>
    <row r="85" spans="1:62" x14ac:dyDescent="0.2">
      <c r="A85" t="s">
        <v>2469</v>
      </c>
      <c r="B85" t="s">
        <v>2477</v>
      </c>
      <c r="C85">
        <v>100039090</v>
      </c>
      <c r="D85" t="s">
        <v>2695</v>
      </c>
      <c r="E85" t="s">
        <v>2439</v>
      </c>
      <c r="F85" t="s">
        <v>2452</v>
      </c>
      <c r="G85" t="s">
        <v>2453</v>
      </c>
      <c r="H85" s="23">
        <v>0.33333333333333331</v>
      </c>
      <c r="I85" t="s">
        <v>2688</v>
      </c>
      <c r="J85" t="s">
        <v>2478</v>
      </c>
      <c r="K85" t="s">
        <v>2862</v>
      </c>
      <c r="L85" t="s">
        <v>2477</v>
      </c>
      <c r="M85" t="s">
        <v>2480</v>
      </c>
      <c r="N85" s="6">
        <v>46001</v>
      </c>
      <c r="O85" t="s">
        <v>2458</v>
      </c>
      <c r="P85" t="s">
        <v>2445</v>
      </c>
      <c r="Q85" s="23">
        <v>0.4609375</v>
      </c>
      <c r="R85" s="23">
        <v>0.67435185185185187</v>
      </c>
      <c r="S85">
        <v>22</v>
      </c>
      <c r="T85">
        <v>1</v>
      </c>
      <c r="U85" t="s">
        <v>2481</v>
      </c>
      <c r="V85">
        <v>5.12</v>
      </c>
      <c r="W85">
        <v>5.12</v>
      </c>
      <c r="X85" t="s">
        <v>2689</v>
      </c>
      <c r="Y85" t="s">
        <v>2689</v>
      </c>
      <c r="Z85" t="s">
        <v>2689</v>
      </c>
      <c r="AA85" t="s">
        <v>2689</v>
      </c>
      <c r="AC85" t="s">
        <v>2689</v>
      </c>
      <c r="AD85" t="s">
        <v>2689</v>
      </c>
      <c r="AE85" t="s">
        <v>2689</v>
      </c>
      <c r="AF85" t="s">
        <v>2689</v>
      </c>
      <c r="AH85">
        <v>112.64</v>
      </c>
      <c r="AI85" t="s">
        <v>2690</v>
      </c>
      <c r="AJ85" t="s">
        <v>2690</v>
      </c>
      <c r="AK85" t="s">
        <v>2690</v>
      </c>
      <c r="AL85" t="s">
        <v>2690</v>
      </c>
      <c r="AP85">
        <v>112.64</v>
      </c>
      <c r="AR85" s="23">
        <v>0.4609375</v>
      </c>
      <c r="AS85" s="23">
        <v>0.67435185185185187</v>
      </c>
      <c r="AT85" s="23">
        <v>0.5</v>
      </c>
      <c r="AU85" s="23">
        <v>0.66666666666666663</v>
      </c>
      <c r="AV85" t="s">
        <v>2706</v>
      </c>
      <c r="BA85" t="s">
        <v>2798</v>
      </c>
      <c r="BD85" t="s">
        <v>2482</v>
      </c>
      <c r="BE85" t="s">
        <v>2478</v>
      </c>
      <c r="BG85">
        <v>0</v>
      </c>
      <c r="BH85">
        <v>0</v>
      </c>
      <c r="BJ85">
        <v>0</v>
      </c>
    </row>
    <row r="86" spans="1:62" x14ac:dyDescent="0.2">
      <c r="A86" t="s">
        <v>2469</v>
      </c>
      <c r="B86" t="s">
        <v>2477</v>
      </c>
      <c r="C86">
        <v>100039090</v>
      </c>
      <c r="D86" t="s">
        <v>2695</v>
      </c>
      <c r="E86" t="s">
        <v>2439</v>
      </c>
      <c r="F86" t="s">
        <v>2791</v>
      </c>
      <c r="G86" t="s">
        <v>2792</v>
      </c>
      <c r="H86" s="23">
        <v>0.79166666666666663</v>
      </c>
      <c r="I86" t="s">
        <v>2696</v>
      </c>
      <c r="J86" t="s">
        <v>2478</v>
      </c>
      <c r="K86" t="s">
        <v>2491</v>
      </c>
      <c r="L86" t="s">
        <v>2477</v>
      </c>
      <c r="M86" t="s">
        <v>2480</v>
      </c>
      <c r="N86" s="6">
        <v>46002</v>
      </c>
      <c r="O86" t="s">
        <v>2459</v>
      </c>
      <c r="P86" t="s">
        <v>2445</v>
      </c>
      <c r="Q86" s="23">
        <v>0.68334490740740739</v>
      </c>
      <c r="R86" s="23">
        <v>0.98277777777777775</v>
      </c>
      <c r="S86">
        <v>22</v>
      </c>
      <c r="T86">
        <v>1</v>
      </c>
      <c r="U86" t="s">
        <v>2481</v>
      </c>
      <c r="V86">
        <v>6.69</v>
      </c>
      <c r="W86">
        <v>6.69</v>
      </c>
      <c r="X86" t="s">
        <v>2689</v>
      </c>
      <c r="Y86" t="s">
        <v>2689</v>
      </c>
      <c r="Z86" t="s">
        <v>2689</v>
      </c>
      <c r="AA86" t="s">
        <v>2689</v>
      </c>
      <c r="AC86" t="s">
        <v>2689</v>
      </c>
      <c r="AD86" t="s">
        <v>2689</v>
      </c>
      <c r="AE86">
        <v>160</v>
      </c>
      <c r="AF86" t="s">
        <v>2689</v>
      </c>
      <c r="AH86">
        <v>147.18</v>
      </c>
      <c r="AI86" t="s">
        <v>2690</v>
      </c>
      <c r="AJ86" t="s">
        <v>2690</v>
      </c>
      <c r="AK86" t="s">
        <v>2690</v>
      </c>
      <c r="AL86" t="s">
        <v>2690</v>
      </c>
      <c r="AP86">
        <v>307.18</v>
      </c>
      <c r="AR86" s="23">
        <v>0.68334490740740739</v>
      </c>
      <c r="AS86" s="23">
        <v>0.98277777777777775</v>
      </c>
      <c r="AT86" s="23">
        <v>0.6875</v>
      </c>
      <c r="AU86" s="23">
        <v>2.0833333333333332E-2</v>
      </c>
      <c r="AV86" t="s">
        <v>2706</v>
      </c>
      <c r="AY86">
        <v>0.5</v>
      </c>
      <c r="AZ86" t="s">
        <v>2863</v>
      </c>
      <c r="BA86" t="s">
        <v>2798</v>
      </c>
      <c r="BD86" t="s">
        <v>2482</v>
      </c>
      <c r="BE86" t="s">
        <v>2478</v>
      </c>
      <c r="BF86" t="s">
        <v>2446</v>
      </c>
      <c r="BG86">
        <v>0</v>
      </c>
      <c r="BH86">
        <v>0</v>
      </c>
      <c r="BJ86">
        <v>0</v>
      </c>
    </row>
    <row r="87" spans="1:62" x14ac:dyDescent="0.2">
      <c r="A87" t="s">
        <v>2469</v>
      </c>
      <c r="B87" t="s">
        <v>2477</v>
      </c>
      <c r="C87">
        <v>100039090</v>
      </c>
      <c r="D87" t="s">
        <v>2695</v>
      </c>
      <c r="E87" t="s">
        <v>2439</v>
      </c>
      <c r="F87" t="s">
        <v>2794</v>
      </c>
      <c r="G87" t="s">
        <v>2795</v>
      </c>
      <c r="H87" s="23">
        <v>0.79166666666666663</v>
      </c>
      <c r="I87" t="s">
        <v>2696</v>
      </c>
      <c r="J87" t="s">
        <v>2478</v>
      </c>
      <c r="K87" t="s">
        <v>2675</v>
      </c>
      <c r="L87" t="s">
        <v>2477</v>
      </c>
      <c r="M87" t="s">
        <v>2480</v>
      </c>
      <c r="N87" s="6">
        <v>46003</v>
      </c>
      <c r="O87" t="s">
        <v>2449</v>
      </c>
      <c r="P87" t="s">
        <v>2445</v>
      </c>
      <c r="Q87" s="23">
        <v>0.68180555555555555</v>
      </c>
      <c r="R87" s="23">
        <v>0.96925925925925926</v>
      </c>
      <c r="S87">
        <v>22</v>
      </c>
      <c r="T87">
        <v>1</v>
      </c>
      <c r="U87" t="s">
        <v>2481</v>
      </c>
      <c r="V87">
        <v>6.4</v>
      </c>
      <c r="W87">
        <v>6.4</v>
      </c>
      <c r="X87" t="s">
        <v>2689</v>
      </c>
      <c r="Y87" t="s">
        <v>2689</v>
      </c>
      <c r="Z87" t="s">
        <v>2689</v>
      </c>
      <c r="AA87" t="s">
        <v>2689</v>
      </c>
      <c r="AC87" t="s">
        <v>2689</v>
      </c>
      <c r="AD87" t="s">
        <v>2689</v>
      </c>
      <c r="AE87">
        <v>175</v>
      </c>
      <c r="AF87" t="s">
        <v>2689</v>
      </c>
      <c r="AH87">
        <v>140.80000000000001</v>
      </c>
      <c r="AI87" t="s">
        <v>2690</v>
      </c>
      <c r="AJ87" t="s">
        <v>2690</v>
      </c>
      <c r="AK87" t="s">
        <v>2690</v>
      </c>
      <c r="AL87" t="s">
        <v>2690</v>
      </c>
      <c r="AP87">
        <v>315.8</v>
      </c>
      <c r="AR87" s="23">
        <v>0.68180555555555555</v>
      </c>
      <c r="AS87" s="23">
        <v>0.96925925925925926</v>
      </c>
      <c r="AT87" s="23">
        <v>0.6875</v>
      </c>
      <c r="AU87" s="23">
        <v>0.97916666666666663</v>
      </c>
      <c r="AV87" t="s">
        <v>2706</v>
      </c>
      <c r="AY87">
        <v>0.5</v>
      </c>
      <c r="BA87" t="s">
        <v>2798</v>
      </c>
      <c r="BD87" t="s">
        <v>2482</v>
      </c>
      <c r="BE87" t="s">
        <v>2478</v>
      </c>
      <c r="BF87" t="s">
        <v>2446</v>
      </c>
      <c r="BG87">
        <v>0</v>
      </c>
      <c r="BH87">
        <v>0</v>
      </c>
      <c r="BJ87">
        <v>0</v>
      </c>
    </row>
    <row r="88" spans="1:62" x14ac:dyDescent="0.2">
      <c r="A88" t="s">
        <v>2477</v>
      </c>
      <c r="B88" t="s">
        <v>2477</v>
      </c>
      <c r="C88">
        <v>100039107</v>
      </c>
      <c r="D88" t="s">
        <v>2525</v>
      </c>
      <c r="E88" t="s">
        <v>2439</v>
      </c>
      <c r="F88" t="s">
        <v>2786</v>
      </c>
      <c r="G88" t="s">
        <v>2787</v>
      </c>
      <c r="H88" s="23">
        <v>0.66666666666666663</v>
      </c>
      <c r="I88" t="s">
        <v>2696</v>
      </c>
      <c r="J88" t="s">
        <v>2504</v>
      </c>
      <c r="K88" t="s">
        <v>2864</v>
      </c>
      <c r="L88" t="s">
        <v>2477</v>
      </c>
      <c r="M88" t="s">
        <v>2480</v>
      </c>
      <c r="N88" s="6">
        <v>45999</v>
      </c>
      <c r="O88" t="s">
        <v>2455</v>
      </c>
      <c r="P88" t="s">
        <v>2445</v>
      </c>
      <c r="Q88" s="23">
        <v>0.49363425925925924</v>
      </c>
      <c r="R88" s="23">
        <v>0.84258101851851852</v>
      </c>
      <c r="S88">
        <v>22</v>
      </c>
      <c r="T88">
        <v>1</v>
      </c>
      <c r="U88" t="s">
        <v>2506</v>
      </c>
      <c r="V88">
        <v>7.87</v>
      </c>
      <c r="W88">
        <v>7.87</v>
      </c>
      <c r="X88" t="s">
        <v>2689</v>
      </c>
      <c r="Y88" t="s">
        <v>2689</v>
      </c>
      <c r="Z88" t="s">
        <v>2689</v>
      </c>
      <c r="AA88" t="s">
        <v>2689</v>
      </c>
      <c r="AC88" t="s">
        <v>2689</v>
      </c>
      <c r="AD88" t="s">
        <v>2689</v>
      </c>
      <c r="AE88" t="s">
        <v>2689</v>
      </c>
      <c r="AF88" t="s">
        <v>2689</v>
      </c>
      <c r="AH88">
        <v>173.14</v>
      </c>
      <c r="AI88" t="s">
        <v>2690</v>
      </c>
      <c r="AJ88" t="s">
        <v>2690</v>
      </c>
      <c r="AK88" t="s">
        <v>2690</v>
      </c>
      <c r="AL88" t="s">
        <v>2690</v>
      </c>
      <c r="AP88">
        <v>173.14</v>
      </c>
      <c r="AR88" s="23">
        <v>0.49363425925925924</v>
      </c>
      <c r="AS88" s="23">
        <v>0.84258101851851852</v>
      </c>
      <c r="AT88" s="23">
        <v>0.5</v>
      </c>
      <c r="AU88" s="23">
        <v>0.85416666666666663</v>
      </c>
      <c r="AV88" t="s">
        <v>2507</v>
      </c>
      <c r="AY88">
        <v>0.5</v>
      </c>
      <c r="AZ88" t="s">
        <v>2865</v>
      </c>
      <c r="BA88" t="s">
        <v>2757</v>
      </c>
      <c r="BD88" t="s">
        <v>2508</v>
      </c>
      <c r="BE88" t="s">
        <v>2509</v>
      </c>
      <c r="BG88">
        <v>0</v>
      </c>
      <c r="BH88">
        <v>0</v>
      </c>
      <c r="BJ88">
        <v>0</v>
      </c>
    </row>
    <row r="89" spans="1:62" x14ac:dyDescent="0.2">
      <c r="A89" t="s">
        <v>2477</v>
      </c>
      <c r="B89" t="s">
        <v>2477</v>
      </c>
      <c r="C89">
        <v>100039107</v>
      </c>
      <c r="D89" t="s">
        <v>2525</v>
      </c>
      <c r="E89" t="s">
        <v>2439</v>
      </c>
      <c r="F89" t="s">
        <v>2789</v>
      </c>
      <c r="G89" t="s">
        <v>2790</v>
      </c>
      <c r="H89" s="23">
        <v>0.375</v>
      </c>
      <c r="I89" t="s">
        <v>2696</v>
      </c>
      <c r="J89" t="s">
        <v>2504</v>
      </c>
      <c r="K89" t="s">
        <v>2526</v>
      </c>
      <c r="L89" t="s">
        <v>2477</v>
      </c>
      <c r="M89" t="s">
        <v>2480</v>
      </c>
      <c r="N89" s="6">
        <v>46000</v>
      </c>
      <c r="O89" t="s">
        <v>2457</v>
      </c>
      <c r="P89" t="s">
        <v>2445</v>
      </c>
      <c r="Q89" s="23">
        <v>0.45168981481481479</v>
      </c>
      <c r="R89" s="23">
        <v>0.75031250000000005</v>
      </c>
      <c r="S89">
        <v>22</v>
      </c>
      <c r="T89">
        <v>1</v>
      </c>
      <c r="U89" t="s">
        <v>2506</v>
      </c>
      <c r="V89">
        <v>6.67</v>
      </c>
      <c r="W89">
        <v>6.67</v>
      </c>
      <c r="X89" t="s">
        <v>2689</v>
      </c>
      <c r="Y89" t="s">
        <v>2689</v>
      </c>
      <c r="Z89" t="s">
        <v>2689</v>
      </c>
      <c r="AA89" t="s">
        <v>2689</v>
      </c>
      <c r="AC89" t="s">
        <v>2689</v>
      </c>
      <c r="AD89" t="s">
        <v>2689</v>
      </c>
      <c r="AE89" t="s">
        <v>2689</v>
      </c>
      <c r="AF89" t="s">
        <v>2689</v>
      </c>
      <c r="AH89">
        <v>146.74</v>
      </c>
      <c r="AI89" t="s">
        <v>2690</v>
      </c>
      <c r="AJ89" t="s">
        <v>2690</v>
      </c>
      <c r="AK89" t="s">
        <v>2690</v>
      </c>
      <c r="AL89" t="s">
        <v>2690</v>
      </c>
      <c r="AP89">
        <v>146.74</v>
      </c>
      <c r="AR89" s="23">
        <v>0.45168981481481479</v>
      </c>
      <c r="AS89" s="23">
        <v>0.75031250000000005</v>
      </c>
      <c r="AT89" s="23">
        <v>0.45833333333333331</v>
      </c>
      <c r="AU89" s="23">
        <v>0.75</v>
      </c>
      <c r="AV89" t="s">
        <v>2507</v>
      </c>
      <c r="AY89">
        <v>0.5</v>
      </c>
      <c r="AZ89" t="s">
        <v>2866</v>
      </c>
      <c r="BA89" t="s">
        <v>2757</v>
      </c>
      <c r="BD89" t="s">
        <v>2508</v>
      </c>
      <c r="BE89" t="s">
        <v>2509</v>
      </c>
      <c r="BG89">
        <v>0</v>
      </c>
      <c r="BH89">
        <v>0</v>
      </c>
      <c r="BJ89">
        <v>0</v>
      </c>
    </row>
    <row r="90" spans="1:62" x14ac:dyDescent="0.2">
      <c r="A90" t="s">
        <v>2477</v>
      </c>
      <c r="B90" t="s">
        <v>2477</v>
      </c>
      <c r="C90">
        <v>100039107</v>
      </c>
      <c r="D90" t="s">
        <v>2525</v>
      </c>
      <c r="E90" t="s">
        <v>2439</v>
      </c>
      <c r="F90" t="s">
        <v>2791</v>
      </c>
      <c r="G90" t="s">
        <v>2792</v>
      </c>
      <c r="H90" s="23">
        <v>0.79166666666666663</v>
      </c>
      <c r="I90" t="s">
        <v>2696</v>
      </c>
      <c r="J90" t="s">
        <v>2504</v>
      </c>
      <c r="K90" t="s">
        <v>2678</v>
      </c>
      <c r="L90" t="s">
        <v>2477</v>
      </c>
      <c r="M90" t="s">
        <v>2480</v>
      </c>
      <c r="N90" s="6">
        <v>46002</v>
      </c>
      <c r="O90" t="s">
        <v>2459</v>
      </c>
      <c r="P90" t="s">
        <v>2445</v>
      </c>
      <c r="Q90" s="23">
        <v>0.73428240740740736</v>
      </c>
      <c r="R90" s="23">
        <v>0.99127314814814815</v>
      </c>
      <c r="S90">
        <v>22</v>
      </c>
      <c r="T90">
        <v>1</v>
      </c>
      <c r="U90" t="s">
        <v>2506</v>
      </c>
      <c r="V90">
        <v>7.17</v>
      </c>
      <c r="W90">
        <v>6.17</v>
      </c>
      <c r="X90" t="s">
        <v>2689</v>
      </c>
      <c r="Y90" t="s">
        <v>2689</v>
      </c>
      <c r="Z90" t="s">
        <v>2689</v>
      </c>
      <c r="AA90">
        <v>1</v>
      </c>
      <c r="AC90" t="s">
        <v>2689</v>
      </c>
      <c r="AD90" t="s">
        <v>2689</v>
      </c>
      <c r="AE90" t="s">
        <v>2689</v>
      </c>
      <c r="AF90" t="s">
        <v>2689</v>
      </c>
      <c r="AH90">
        <v>135.74</v>
      </c>
      <c r="AI90" t="s">
        <v>2690</v>
      </c>
      <c r="AJ90" t="s">
        <v>2690</v>
      </c>
      <c r="AK90" t="s">
        <v>2690</v>
      </c>
      <c r="AL90">
        <v>22</v>
      </c>
      <c r="AP90">
        <v>157.74</v>
      </c>
      <c r="AR90" s="23">
        <v>0.73428240740740736</v>
      </c>
      <c r="AS90" s="23">
        <v>0.99127314814814815</v>
      </c>
      <c r="AT90" s="23">
        <v>0.72916666666666663</v>
      </c>
      <c r="AU90" s="24">
        <v>1</v>
      </c>
      <c r="AV90" t="s">
        <v>2507</v>
      </c>
      <c r="BA90" t="s">
        <v>2769</v>
      </c>
      <c r="BD90" t="s">
        <v>2508</v>
      </c>
      <c r="BE90" t="s">
        <v>2509</v>
      </c>
      <c r="BF90" t="s">
        <v>2516</v>
      </c>
      <c r="BG90">
        <v>0</v>
      </c>
      <c r="BH90">
        <v>0</v>
      </c>
      <c r="BJ90">
        <v>0</v>
      </c>
    </row>
    <row r="91" spans="1:62" x14ac:dyDescent="0.2">
      <c r="A91" t="s">
        <v>2477</v>
      </c>
      <c r="B91" t="s">
        <v>2477</v>
      </c>
      <c r="C91">
        <v>100039237</v>
      </c>
      <c r="D91" t="s">
        <v>2867</v>
      </c>
      <c r="E91" t="s">
        <v>2439</v>
      </c>
      <c r="F91" t="s">
        <v>2800</v>
      </c>
      <c r="G91" t="s">
        <v>2801</v>
      </c>
      <c r="H91" s="23">
        <v>0.66666666666666663</v>
      </c>
      <c r="I91" t="s">
        <v>2696</v>
      </c>
      <c r="J91" t="s">
        <v>2504</v>
      </c>
      <c r="K91" t="s">
        <v>2505</v>
      </c>
      <c r="L91" t="s">
        <v>2477</v>
      </c>
      <c r="M91" t="s">
        <v>2480</v>
      </c>
      <c r="N91" s="6">
        <v>45993</v>
      </c>
      <c r="O91" t="s">
        <v>2457</v>
      </c>
      <c r="P91" t="s">
        <v>2445</v>
      </c>
      <c r="Q91" s="23">
        <v>0.29166666666666669</v>
      </c>
      <c r="R91" s="23">
        <v>0.60416666666666663</v>
      </c>
      <c r="S91">
        <v>22</v>
      </c>
      <c r="T91">
        <v>1</v>
      </c>
      <c r="U91" t="s">
        <v>2506</v>
      </c>
      <c r="V91">
        <v>7</v>
      </c>
      <c r="W91">
        <v>7</v>
      </c>
      <c r="X91" t="s">
        <v>2689</v>
      </c>
      <c r="Y91" t="s">
        <v>2689</v>
      </c>
      <c r="Z91" t="s">
        <v>2689</v>
      </c>
      <c r="AA91" t="s">
        <v>2689</v>
      </c>
      <c r="AC91" t="s">
        <v>2689</v>
      </c>
      <c r="AD91" t="s">
        <v>2689</v>
      </c>
      <c r="AE91" t="s">
        <v>2689</v>
      </c>
      <c r="AF91" t="s">
        <v>2689</v>
      </c>
      <c r="AH91">
        <v>154</v>
      </c>
      <c r="AI91" t="s">
        <v>2690</v>
      </c>
      <c r="AJ91" t="s">
        <v>2690</v>
      </c>
      <c r="AK91" t="s">
        <v>2690</v>
      </c>
      <c r="AL91" t="s">
        <v>2690</v>
      </c>
      <c r="AP91">
        <v>154</v>
      </c>
      <c r="AT91" s="23">
        <v>0.29166666666666669</v>
      </c>
      <c r="AU91" s="23">
        <v>0.625</v>
      </c>
      <c r="AV91" t="s">
        <v>2507</v>
      </c>
      <c r="AY91">
        <v>0.5</v>
      </c>
      <c r="BA91" t="s">
        <v>2752</v>
      </c>
      <c r="BD91" t="s">
        <v>2508</v>
      </c>
      <c r="BE91" t="s">
        <v>2509</v>
      </c>
      <c r="BF91" t="s">
        <v>2456</v>
      </c>
      <c r="BG91">
        <v>0</v>
      </c>
      <c r="BH91">
        <v>0</v>
      </c>
      <c r="BJ91">
        <v>0</v>
      </c>
    </row>
    <row r="92" spans="1:62" x14ac:dyDescent="0.2">
      <c r="A92" t="s">
        <v>2477</v>
      </c>
      <c r="B92" t="s">
        <v>2477</v>
      </c>
      <c r="C92">
        <v>100039237</v>
      </c>
      <c r="D92" t="s">
        <v>2867</v>
      </c>
      <c r="E92" t="s">
        <v>2439</v>
      </c>
      <c r="F92" t="s">
        <v>2782</v>
      </c>
      <c r="G92" t="s">
        <v>2783</v>
      </c>
      <c r="H92" s="23">
        <v>0.70833333333333337</v>
      </c>
      <c r="I92" t="s">
        <v>2696</v>
      </c>
      <c r="J92" t="s">
        <v>2504</v>
      </c>
      <c r="K92" t="s">
        <v>2868</v>
      </c>
      <c r="L92" t="s">
        <v>2477</v>
      </c>
      <c r="M92" t="s">
        <v>2480</v>
      </c>
      <c r="N92" s="6">
        <v>45994</v>
      </c>
      <c r="O92" t="s">
        <v>2458</v>
      </c>
      <c r="P92" t="s">
        <v>2445</v>
      </c>
      <c r="Q92" s="23">
        <v>0.57692129629629629</v>
      </c>
      <c r="R92" s="23">
        <v>0.854375</v>
      </c>
      <c r="S92">
        <v>22</v>
      </c>
      <c r="T92">
        <v>1</v>
      </c>
      <c r="U92" t="s">
        <v>2506</v>
      </c>
      <c r="V92">
        <v>6.16</v>
      </c>
      <c r="W92">
        <v>6.16</v>
      </c>
      <c r="X92" t="s">
        <v>2689</v>
      </c>
      <c r="Y92" t="s">
        <v>2689</v>
      </c>
      <c r="Z92" t="s">
        <v>2689</v>
      </c>
      <c r="AA92" t="s">
        <v>2689</v>
      </c>
      <c r="AC92" t="s">
        <v>2689</v>
      </c>
      <c r="AD92" t="s">
        <v>2689</v>
      </c>
      <c r="AE92" t="s">
        <v>2689</v>
      </c>
      <c r="AF92" t="s">
        <v>2689</v>
      </c>
      <c r="AH92">
        <v>135.52000000000001</v>
      </c>
      <c r="AI92" t="s">
        <v>2690</v>
      </c>
      <c r="AJ92" t="s">
        <v>2690</v>
      </c>
      <c r="AK92" t="s">
        <v>2690</v>
      </c>
      <c r="AL92" t="s">
        <v>2690</v>
      </c>
      <c r="AP92">
        <v>135.52000000000001</v>
      </c>
      <c r="AR92" s="23">
        <v>0.57692129629629629</v>
      </c>
      <c r="AS92" s="23">
        <v>0.854375</v>
      </c>
      <c r="AT92" s="23">
        <v>0.58333333333333337</v>
      </c>
      <c r="AU92" s="23">
        <v>0.85416666666666663</v>
      </c>
      <c r="AV92" t="s">
        <v>2507</v>
      </c>
      <c r="AY92">
        <v>0.5</v>
      </c>
      <c r="AZ92" t="s">
        <v>2869</v>
      </c>
      <c r="BA92" t="s">
        <v>2754</v>
      </c>
      <c r="BD92" t="s">
        <v>2508</v>
      </c>
      <c r="BE92" t="s">
        <v>2509</v>
      </c>
      <c r="BG92">
        <v>0</v>
      </c>
      <c r="BH92">
        <v>0</v>
      </c>
      <c r="BJ92">
        <v>0</v>
      </c>
    </row>
    <row r="93" spans="1:62" x14ac:dyDescent="0.2">
      <c r="A93" t="s">
        <v>2477</v>
      </c>
      <c r="B93" t="s">
        <v>2477</v>
      </c>
      <c r="C93">
        <v>100039237</v>
      </c>
      <c r="D93" t="s">
        <v>2867</v>
      </c>
      <c r="E93" t="s">
        <v>2439</v>
      </c>
      <c r="F93" t="s">
        <v>2786</v>
      </c>
      <c r="G93" t="s">
        <v>2787</v>
      </c>
      <c r="H93" s="23">
        <v>0.66666666666666663</v>
      </c>
      <c r="I93" t="s">
        <v>2696</v>
      </c>
      <c r="J93" t="s">
        <v>2504</v>
      </c>
      <c r="K93" t="s">
        <v>2511</v>
      </c>
      <c r="L93" t="s">
        <v>2477</v>
      </c>
      <c r="M93" t="s">
        <v>2480</v>
      </c>
      <c r="N93" s="6">
        <v>45999</v>
      </c>
      <c r="O93" t="s">
        <v>2455</v>
      </c>
      <c r="P93" t="s">
        <v>2445</v>
      </c>
      <c r="Q93" s="23">
        <v>0.49341435185185184</v>
      </c>
      <c r="R93" s="23">
        <v>0.83539351851851851</v>
      </c>
      <c r="S93">
        <v>22</v>
      </c>
      <c r="T93">
        <v>1</v>
      </c>
      <c r="U93" t="s">
        <v>2506</v>
      </c>
      <c r="V93">
        <v>7.71</v>
      </c>
      <c r="W93">
        <v>7.71</v>
      </c>
      <c r="X93" t="s">
        <v>2689</v>
      </c>
      <c r="Y93" t="s">
        <v>2689</v>
      </c>
      <c r="Z93" t="s">
        <v>2689</v>
      </c>
      <c r="AA93" t="s">
        <v>2689</v>
      </c>
      <c r="AC93" t="s">
        <v>2689</v>
      </c>
      <c r="AD93" t="s">
        <v>2689</v>
      </c>
      <c r="AE93" t="s">
        <v>2689</v>
      </c>
      <c r="AF93" t="s">
        <v>2689</v>
      </c>
      <c r="AH93">
        <v>169.62</v>
      </c>
      <c r="AI93" t="s">
        <v>2690</v>
      </c>
      <c r="AJ93" t="s">
        <v>2690</v>
      </c>
      <c r="AK93" t="s">
        <v>2690</v>
      </c>
      <c r="AL93" t="s">
        <v>2690</v>
      </c>
      <c r="AP93">
        <v>169.62</v>
      </c>
      <c r="AR93" s="23">
        <v>0.49341435185185184</v>
      </c>
      <c r="AS93" s="23">
        <v>0.83539351851851851</v>
      </c>
      <c r="AT93" s="23">
        <v>0.5</v>
      </c>
      <c r="AU93" s="23">
        <v>0.85416666666666663</v>
      </c>
      <c r="AV93" t="s">
        <v>2507</v>
      </c>
      <c r="AY93">
        <v>0.5</v>
      </c>
      <c r="AZ93" t="s">
        <v>2870</v>
      </c>
      <c r="BA93" t="s">
        <v>2757</v>
      </c>
      <c r="BD93" t="s">
        <v>2508</v>
      </c>
      <c r="BE93" t="s">
        <v>2509</v>
      </c>
      <c r="BG93">
        <v>0</v>
      </c>
      <c r="BH93">
        <v>0</v>
      </c>
      <c r="BJ93">
        <v>0</v>
      </c>
    </row>
    <row r="94" spans="1:62" x14ac:dyDescent="0.2">
      <c r="A94" t="s">
        <v>2477</v>
      </c>
      <c r="B94" t="s">
        <v>2477</v>
      </c>
      <c r="C94">
        <v>100039237</v>
      </c>
      <c r="D94" t="s">
        <v>2867</v>
      </c>
      <c r="E94" t="s">
        <v>2439</v>
      </c>
      <c r="F94" t="s">
        <v>2791</v>
      </c>
      <c r="G94" t="s">
        <v>2792</v>
      </c>
      <c r="H94" s="23">
        <v>0.79166666666666663</v>
      </c>
      <c r="I94" t="s">
        <v>2696</v>
      </c>
      <c r="J94" t="s">
        <v>2504</v>
      </c>
      <c r="K94" t="s">
        <v>2677</v>
      </c>
      <c r="L94" t="s">
        <v>2477</v>
      </c>
      <c r="M94" t="s">
        <v>2480</v>
      </c>
      <c r="N94" s="6">
        <v>46002</v>
      </c>
      <c r="O94" t="s">
        <v>2459</v>
      </c>
      <c r="P94" t="s">
        <v>2445</v>
      </c>
      <c r="Q94" s="23">
        <v>0.70178240740740738</v>
      </c>
      <c r="R94" s="23">
        <v>0.99181712962962965</v>
      </c>
      <c r="S94">
        <v>22</v>
      </c>
      <c r="T94">
        <v>1</v>
      </c>
      <c r="U94" t="s">
        <v>2506</v>
      </c>
      <c r="V94">
        <v>6.46</v>
      </c>
      <c r="W94">
        <v>6.46</v>
      </c>
      <c r="X94" t="s">
        <v>2689</v>
      </c>
      <c r="Y94" t="s">
        <v>2689</v>
      </c>
      <c r="Z94" t="s">
        <v>2689</v>
      </c>
      <c r="AA94" t="s">
        <v>2689</v>
      </c>
      <c r="AC94" t="s">
        <v>2689</v>
      </c>
      <c r="AD94" t="s">
        <v>2689</v>
      </c>
      <c r="AE94" t="s">
        <v>2689</v>
      </c>
      <c r="AF94" t="s">
        <v>2689</v>
      </c>
      <c r="AH94">
        <v>142.12</v>
      </c>
      <c r="AI94" t="s">
        <v>2690</v>
      </c>
      <c r="AJ94" t="s">
        <v>2690</v>
      </c>
      <c r="AK94" t="s">
        <v>2690</v>
      </c>
      <c r="AL94" t="s">
        <v>2690</v>
      </c>
      <c r="AP94">
        <v>142.12</v>
      </c>
      <c r="AR94" s="23">
        <v>0.70178240740740738</v>
      </c>
      <c r="AS94" s="23">
        <v>0.99181712962962965</v>
      </c>
      <c r="AT94" s="23">
        <v>0.70833333333333337</v>
      </c>
      <c r="AU94" s="24">
        <v>1</v>
      </c>
      <c r="AV94" t="s">
        <v>2507</v>
      </c>
      <c r="AY94">
        <v>0.5</v>
      </c>
      <c r="AZ94" t="s">
        <v>2871</v>
      </c>
      <c r="BA94" t="s">
        <v>2769</v>
      </c>
      <c r="BD94" t="s">
        <v>2508</v>
      </c>
      <c r="BE94" t="s">
        <v>2509</v>
      </c>
      <c r="BG94">
        <v>0</v>
      </c>
      <c r="BH94">
        <v>0</v>
      </c>
      <c r="BJ94">
        <v>0</v>
      </c>
    </row>
    <row r="95" spans="1:62" x14ac:dyDescent="0.2">
      <c r="A95" t="s">
        <v>2538</v>
      </c>
      <c r="B95" t="s">
        <v>2477</v>
      </c>
      <c r="C95">
        <v>100041219</v>
      </c>
      <c r="D95" t="s">
        <v>2872</v>
      </c>
      <c r="E95" t="s">
        <v>2439</v>
      </c>
      <c r="F95" t="s">
        <v>2791</v>
      </c>
      <c r="G95" t="s">
        <v>2792</v>
      </c>
      <c r="H95" s="23">
        <v>0.79166666666666663</v>
      </c>
      <c r="I95" t="s">
        <v>2696</v>
      </c>
      <c r="J95" t="s">
        <v>2504</v>
      </c>
      <c r="K95" t="s">
        <v>2511</v>
      </c>
      <c r="L95" t="s">
        <v>2477</v>
      </c>
      <c r="M95" t="s">
        <v>2480</v>
      </c>
      <c r="N95" s="6">
        <v>46002</v>
      </c>
      <c r="O95" t="s">
        <v>2459</v>
      </c>
      <c r="P95" t="s">
        <v>2445</v>
      </c>
      <c r="Q95" s="23">
        <v>0.70288194444444441</v>
      </c>
      <c r="R95" s="23">
        <v>2.5462962962962961E-4</v>
      </c>
      <c r="S95">
        <v>22</v>
      </c>
      <c r="T95">
        <v>1</v>
      </c>
      <c r="U95" t="s">
        <v>2506</v>
      </c>
      <c r="V95">
        <v>6.55</v>
      </c>
      <c r="W95">
        <v>6.55</v>
      </c>
      <c r="X95" t="s">
        <v>2689</v>
      </c>
      <c r="Y95" t="s">
        <v>2689</v>
      </c>
      <c r="Z95" t="s">
        <v>2689</v>
      </c>
      <c r="AA95" t="s">
        <v>2689</v>
      </c>
      <c r="AC95" t="s">
        <v>2689</v>
      </c>
      <c r="AD95" t="s">
        <v>2689</v>
      </c>
      <c r="AE95" t="s">
        <v>2689</v>
      </c>
      <c r="AF95" t="s">
        <v>2689</v>
      </c>
      <c r="AH95">
        <v>144.1</v>
      </c>
      <c r="AI95" t="s">
        <v>2690</v>
      </c>
      <c r="AJ95" t="s">
        <v>2690</v>
      </c>
      <c r="AK95" t="s">
        <v>2690</v>
      </c>
      <c r="AL95" t="s">
        <v>2690</v>
      </c>
      <c r="AP95">
        <v>144.1</v>
      </c>
      <c r="AR95" s="23">
        <v>0.70288194444444441</v>
      </c>
      <c r="AS95" s="23">
        <v>2.5462962962962961E-4</v>
      </c>
      <c r="AT95" s="23">
        <v>0.70833333333333337</v>
      </c>
      <c r="AU95" s="24">
        <v>1</v>
      </c>
      <c r="AV95" t="s">
        <v>2717</v>
      </c>
      <c r="AY95">
        <v>0.59</v>
      </c>
      <c r="AZ95" t="s">
        <v>2873</v>
      </c>
      <c r="BA95" t="s">
        <v>2769</v>
      </c>
      <c r="BD95" t="s">
        <v>2508</v>
      </c>
      <c r="BE95" t="s">
        <v>2509</v>
      </c>
      <c r="BG95">
        <v>0</v>
      </c>
      <c r="BH95">
        <v>0</v>
      </c>
      <c r="BJ95">
        <v>0</v>
      </c>
    </row>
    <row r="96" spans="1:62" x14ac:dyDescent="0.2">
      <c r="A96" t="s">
        <v>2477</v>
      </c>
      <c r="B96" t="s">
        <v>2477</v>
      </c>
      <c r="C96">
        <v>100044773</v>
      </c>
      <c r="D96" t="s">
        <v>2874</v>
      </c>
      <c r="E96" t="s">
        <v>2439</v>
      </c>
      <c r="F96" t="s">
        <v>2786</v>
      </c>
      <c r="G96" t="s">
        <v>2787</v>
      </c>
      <c r="H96" s="23">
        <v>0.66666666666666663</v>
      </c>
      <c r="I96" t="s">
        <v>2696</v>
      </c>
      <c r="J96" t="s">
        <v>2504</v>
      </c>
      <c r="K96" t="s">
        <v>2526</v>
      </c>
      <c r="L96" t="s">
        <v>2477</v>
      </c>
      <c r="M96" t="s">
        <v>2480</v>
      </c>
      <c r="N96" s="6">
        <v>45999</v>
      </c>
      <c r="O96" t="s">
        <v>2455</v>
      </c>
      <c r="P96" t="s">
        <v>2445</v>
      </c>
      <c r="Q96" s="23">
        <v>0.49799768518518517</v>
      </c>
      <c r="R96" s="23">
        <v>0.84704861111111107</v>
      </c>
      <c r="S96">
        <v>22</v>
      </c>
      <c r="T96">
        <v>1</v>
      </c>
      <c r="U96" t="s">
        <v>2506</v>
      </c>
      <c r="V96">
        <v>7.88</v>
      </c>
      <c r="W96">
        <v>7.88</v>
      </c>
      <c r="X96" t="s">
        <v>2689</v>
      </c>
      <c r="Y96" t="s">
        <v>2689</v>
      </c>
      <c r="Z96" t="s">
        <v>2689</v>
      </c>
      <c r="AA96" t="s">
        <v>2689</v>
      </c>
      <c r="AC96" t="s">
        <v>2689</v>
      </c>
      <c r="AD96" t="s">
        <v>2689</v>
      </c>
      <c r="AE96" t="s">
        <v>2689</v>
      </c>
      <c r="AF96" t="s">
        <v>2689</v>
      </c>
      <c r="AH96">
        <v>173.36</v>
      </c>
      <c r="AI96" t="s">
        <v>2690</v>
      </c>
      <c r="AJ96" t="s">
        <v>2690</v>
      </c>
      <c r="AK96" t="s">
        <v>2690</v>
      </c>
      <c r="AL96" t="s">
        <v>2690</v>
      </c>
      <c r="AP96">
        <v>173.36</v>
      </c>
      <c r="AR96" s="23">
        <v>0.49799768518518517</v>
      </c>
      <c r="AS96" s="23">
        <v>0.84704861111111107</v>
      </c>
      <c r="AT96" s="23">
        <v>0.5</v>
      </c>
      <c r="AU96" s="23">
        <v>0.85416666666666663</v>
      </c>
      <c r="AV96" t="s">
        <v>2507</v>
      </c>
      <c r="AY96">
        <v>0.5</v>
      </c>
      <c r="AZ96" t="s">
        <v>2875</v>
      </c>
      <c r="BA96" t="s">
        <v>2757</v>
      </c>
      <c r="BD96" t="s">
        <v>2508</v>
      </c>
      <c r="BE96" t="s">
        <v>2509</v>
      </c>
      <c r="BG96">
        <v>0</v>
      </c>
      <c r="BH96">
        <v>0</v>
      </c>
      <c r="BJ96">
        <v>0</v>
      </c>
    </row>
    <row r="97" spans="1:62" x14ac:dyDescent="0.2">
      <c r="A97" t="s">
        <v>2469</v>
      </c>
      <c r="B97" t="s">
        <v>2477</v>
      </c>
      <c r="C97">
        <v>100047474</v>
      </c>
      <c r="D97" t="s">
        <v>2710</v>
      </c>
      <c r="E97" t="s">
        <v>2439</v>
      </c>
      <c r="F97" t="s">
        <v>2804</v>
      </c>
      <c r="G97" t="s">
        <v>2805</v>
      </c>
      <c r="H97" s="23">
        <v>0.70833333333333337</v>
      </c>
      <c r="I97" t="s">
        <v>2696</v>
      </c>
      <c r="J97" t="s">
        <v>2478</v>
      </c>
      <c r="K97" t="s">
        <v>2671</v>
      </c>
      <c r="L97" t="s">
        <v>2477</v>
      </c>
      <c r="M97" t="s">
        <v>2480</v>
      </c>
      <c r="N97" s="6">
        <v>45995</v>
      </c>
      <c r="O97" t="s">
        <v>2459</v>
      </c>
      <c r="P97" t="s">
        <v>2445</v>
      </c>
      <c r="Q97" s="23">
        <v>0.61818287037037034</v>
      </c>
      <c r="R97" s="23">
        <v>0.84050925925925923</v>
      </c>
      <c r="S97">
        <v>17.87</v>
      </c>
      <c r="T97">
        <v>1</v>
      </c>
      <c r="U97" t="s">
        <v>2472</v>
      </c>
      <c r="V97">
        <v>4.84</v>
      </c>
      <c r="W97">
        <v>4.84</v>
      </c>
      <c r="X97" t="s">
        <v>2689</v>
      </c>
      <c r="Y97" t="s">
        <v>2689</v>
      </c>
      <c r="Z97" t="s">
        <v>2689</v>
      </c>
      <c r="AA97" t="s">
        <v>2689</v>
      </c>
      <c r="AC97" t="s">
        <v>2689</v>
      </c>
      <c r="AD97" t="s">
        <v>2689</v>
      </c>
      <c r="AE97">
        <v>175</v>
      </c>
      <c r="AF97" t="s">
        <v>2689</v>
      </c>
      <c r="AH97">
        <v>86.49</v>
      </c>
      <c r="AI97" t="s">
        <v>2690</v>
      </c>
      <c r="AJ97" t="s">
        <v>2690</v>
      </c>
      <c r="AK97" t="s">
        <v>2690</v>
      </c>
      <c r="AL97" t="s">
        <v>2690</v>
      </c>
      <c r="AP97">
        <v>261.49</v>
      </c>
      <c r="AR97" s="23">
        <v>0.61818287037037034</v>
      </c>
      <c r="AS97" s="23">
        <v>0.84050925925925923</v>
      </c>
      <c r="AT97" s="23">
        <v>0.625</v>
      </c>
      <c r="AU97" s="23">
        <v>0.875</v>
      </c>
      <c r="AV97" t="s">
        <v>2706</v>
      </c>
      <c r="AY97">
        <v>0.5</v>
      </c>
      <c r="AZ97" t="s">
        <v>2876</v>
      </c>
      <c r="BA97" t="s">
        <v>2754</v>
      </c>
      <c r="BD97" t="s">
        <v>2482</v>
      </c>
      <c r="BE97" t="s">
        <v>2478</v>
      </c>
      <c r="BG97">
        <v>0</v>
      </c>
      <c r="BH97">
        <v>0</v>
      </c>
      <c r="BJ97">
        <v>0</v>
      </c>
    </row>
    <row r="98" spans="1:62" x14ac:dyDescent="0.2">
      <c r="A98" t="s">
        <v>2469</v>
      </c>
      <c r="B98" t="s">
        <v>2477</v>
      </c>
      <c r="C98">
        <v>100047474</v>
      </c>
      <c r="D98" t="s">
        <v>2710</v>
      </c>
      <c r="E98" t="s">
        <v>2439</v>
      </c>
      <c r="F98" t="s">
        <v>2791</v>
      </c>
      <c r="G98" t="s">
        <v>2792</v>
      </c>
      <c r="H98" s="23">
        <v>0.79166666666666663</v>
      </c>
      <c r="I98" t="s">
        <v>2696</v>
      </c>
      <c r="J98" t="s">
        <v>2478</v>
      </c>
      <c r="K98" t="s">
        <v>2877</v>
      </c>
      <c r="L98" t="s">
        <v>2477</v>
      </c>
      <c r="M98" t="s">
        <v>2480</v>
      </c>
      <c r="N98" s="6">
        <v>46002</v>
      </c>
      <c r="O98" t="s">
        <v>2459</v>
      </c>
      <c r="P98" t="s">
        <v>2445</v>
      </c>
      <c r="Q98" s="23">
        <v>0.68062500000000004</v>
      </c>
      <c r="R98" s="23">
        <v>0.98291666666666666</v>
      </c>
      <c r="S98">
        <v>22</v>
      </c>
      <c r="T98">
        <v>1</v>
      </c>
      <c r="U98" t="s">
        <v>2481</v>
      </c>
      <c r="V98">
        <v>6.76</v>
      </c>
      <c r="W98">
        <v>6.76</v>
      </c>
      <c r="X98" t="s">
        <v>2689</v>
      </c>
      <c r="Y98" t="s">
        <v>2689</v>
      </c>
      <c r="Z98" t="s">
        <v>2689</v>
      </c>
      <c r="AA98" t="s">
        <v>2689</v>
      </c>
      <c r="AC98" t="s">
        <v>2689</v>
      </c>
      <c r="AD98" t="s">
        <v>2689</v>
      </c>
      <c r="AE98">
        <v>160</v>
      </c>
      <c r="AF98" t="s">
        <v>2689</v>
      </c>
      <c r="AH98">
        <v>148.72</v>
      </c>
      <c r="AI98" t="s">
        <v>2690</v>
      </c>
      <c r="AJ98" t="s">
        <v>2690</v>
      </c>
      <c r="AK98" t="s">
        <v>2690</v>
      </c>
      <c r="AL98" t="s">
        <v>2690</v>
      </c>
      <c r="AP98">
        <v>308.72000000000003</v>
      </c>
      <c r="AR98" s="23">
        <v>0.68062500000000004</v>
      </c>
      <c r="AS98" s="23">
        <v>0.98291666666666666</v>
      </c>
      <c r="AT98" s="23">
        <v>0.6875</v>
      </c>
      <c r="AU98" s="24">
        <v>1</v>
      </c>
      <c r="AV98" t="s">
        <v>2706</v>
      </c>
      <c r="AY98">
        <v>0.5</v>
      </c>
      <c r="AZ98" t="s">
        <v>2878</v>
      </c>
      <c r="BA98" t="s">
        <v>2798</v>
      </c>
      <c r="BD98" t="s">
        <v>2482</v>
      </c>
      <c r="BE98" t="s">
        <v>2478</v>
      </c>
      <c r="BG98">
        <v>0</v>
      </c>
      <c r="BH98">
        <v>0</v>
      </c>
      <c r="BJ98">
        <v>0</v>
      </c>
    </row>
    <row r="99" spans="1:62" x14ac:dyDescent="0.2">
      <c r="A99" t="s">
        <v>2492</v>
      </c>
      <c r="B99" t="s">
        <v>2477</v>
      </c>
      <c r="C99">
        <v>100049312</v>
      </c>
      <c r="D99" t="s">
        <v>2748</v>
      </c>
      <c r="E99" t="s">
        <v>2439</v>
      </c>
      <c r="F99" t="s">
        <v>2791</v>
      </c>
      <c r="G99" t="s">
        <v>2792</v>
      </c>
      <c r="H99" s="23">
        <v>0.79166666666666663</v>
      </c>
      <c r="I99" t="s">
        <v>2696</v>
      </c>
      <c r="J99" t="s">
        <v>2535</v>
      </c>
      <c r="K99" t="s">
        <v>2854</v>
      </c>
      <c r="L99" t="s">
        <v>2477</v>
      </c>
      <c r="N99" s="6">
        <v>46002</v>
      </c>
      <c r="O99" t="s">
        <v>2459</v>
      </c>
      <c r="P99" t="s">
        <v>2445</v>
      </c>
      <c r="Q99" s="23">
        <v>0.625</v>
      </c>
      <c r="S99">
        <v>24</v>
      </c>
      <c r="T99" t="s">
        <v>2443</v>
      </c>
      <c r="U99" t="s">
        <v>2640</v>
      </c>
      <c r="V99">
        <v>8.5</v>
      </c>
      <c r="W99">
        <v>8</v>
      </c>
      <c r="X99">
        <v>0.5</v>
      </c>
      <c r="Y99" t="s">
        <v>2689</v>
      </c>
      <c r="Z99" t="s">
        <v>2689</v>
      </c>
      <c r="AA99" t="s">
        <v>2689</v>
      </c>
      <c r="AC99" t="s">
        <v>2689</v>
      </c>
      <c r="AD99" t="s">
        <v>2689</v>
      </c>
      <c r="AE99" t="s">
        <v>2689</v>
      </c>
      <c r="AF99" t="s">
        <v>2689</v>
      </c>
      <c r="AH99">
        <v>192</v>
      </c>
      <c r="AI99">
        <v>18</v>
      </c>
      <c r="AJ99" t="s">
        <v>2690</v>
      </c>
      <c r="AK99" t="s">
        <v>2690</v>
      </c>
      <c r="AL99" t="s">
        <v>2690</v>
      </c>
      <c r="AP99">
        <v>210</v>
      </c>
      <c r="AU99" t="s">
        <v>2689</v>
      </c>
      <c r="AV99" t="s">
        <v>2879</v>
      </c>
      <c r="AY99">
        <v>0.5</v>
      </c>
      <c r="BA99" t="s">
        <v>2759</v>
      </c>
      <c r="BD99" t="s">
        <v>2530</v>
      </c>
      <c r="BE99" t="s">
        <v>2528</v>
      </c>
      <c r="BF99" t="s">
        <v>2456</v>
      </c>
      <c r="BG99">
        <v>0</v>
      </c>
      <c r="BH99">
        <v>0</v>
      </c>
      <c r="BJ99">
        <v>0</v>
      </c>
    </row>
    <row r="100" spans="1:62" x14ac:dyDescent="0.2">
      <c r="A100" t="s">
        <v>2477</v>
      </c>
      <c r="B100" t="s">
        <v>2477</v>
      </c>
      <c r="C100">
        <v>100049344</v>
      </c>
      <c r="D100" t="s">
        <v>2711</v>
      </c>
      <c r="E100" t="s">
        <v>2439</v>
      </c>
      <c r="F100" t="s">
        <v>2782</v>
      </c>
      <c r="G100" t="s">
        <v>2783</v>
      </c>
      <c r="H100" s="23">
        <v>0.70833333333333337</v>
      </c>
      <c r="I100" t="s">
        <v>2696</v>
      </c>
      <c r="J100" t="s">
        <v>2504</v>
      </c>
      <c r="K100" t="s">
        <v>2880</v>
      </c>
      <c r="L100" t="s">
        <v>2477</v>
      </c>
      <c r="M100" t="s">
        <v>2480</v>
      </c>
      <c r="N100" s="6">
        <v>45994</v>
      </c>
      <c r="O100" t="s">
        <v>2458</v>
      </c>
      <c r="P100" t="s">
        <v>2445</v>
      </c>
      <c r="Q100" s="23">
        <v>0.57737268518518514</v>
      </c>
      <c r="R100" s="23">
        <v>0.85454861111111113</v>
      </c>
      <c r="S100">
        <v>22</v>
      </c>
      <c r="T100">
        <v>1</v>
      </c>
      <c r="U100" t="s">
        <v>2506</v>
      </c>
      <c r="V100">
        <v>6.15</v>
      </c>
      <c r="W100">
        <v>6.15</v>
      </c>
      <c r="X100" t="s">
        <v>2689</v>
      </c>
      <c r="Y100" t="s">
        <v>2689</v>
      </c>
      <c r="Z100" t="s">
        <v>2689</v>
      </c>
      <c r="AA100" t="s">
        <v>2689</v>
      </c>
      <c r="AC100" t="s">
        <v>2689</v>
      </c>
      <c r="AD100" t="s">
        <v>2689</v>
      </c>
      <c r="AE100" t="s">
        <v>2689</v>
      </c>
      <c r="AF100" t="s">
        <v>2689</v>
      </c>
      <c r="AH100">
        <v>135.30000000000001</v>
      </c>
      <c r="AI100" t="s">
        <v>2690</v>
      </c>
      <c r="AJ100" t="s">
        <v>2690</v>
      </c>
      <c r="AK100" t="s">
        <v>2690</v>
      </c>
      <c r="AL100" t="s">
        <v>2690</v>
      </c>
      <c r="AP100">
        <v>135.30000000000001</v>
      </c>
      <c r="AR100" s="23">
        <v>0.57737268518518514</v>
      </c>
      <c r="AS100" s="23">
        <v>0.85454861111111113</v>
      </c>
      <c r="AT100" s="23">
        <v>0.58333333333333337</v>
      </c>
      <c r="AU100" s="23">
        <v>0.85416666666666663</v>
      </c>
      <c r="AV100" t="s">
        <v>2507</v>
      </c>
      <c r="AY100">
        <v>0.5</v>
      </c>
      <c r="AZ100" t="s">
        <v>2881</v>
      </c>
      <c r="BA100" t="s">
        <v>2754</v>
      </c>
      <c r="BD100" t="s">
        <v>2508</v>
      </c>
      <c r="BE100" t="s">
        <v>2509</v>
      </c>
      <c r="BG100">
        <v>0</v>
      </c>
      <c r="BH100">
        <v>0</v>
      </c>
      <c r="BJ100">
        <v>0</v>
      </c>
    </row>
    <row r="101" spans="1:62" x14ac:dyDescent="0.2">
      <c r="A101" t="s">
        <v>2477</v>
      </c>
      <c r="B101" t="s">
        <v>2477</v>
      </c>
      <c r="C101">
        <v>100049344</v>
      </c>
      <c r="D101" t="s">
        <v>2711</v>
      </c>
      <c r="E101" t="s">
        <v>2439</v>
      </c>
      <c r="F101" t="s">
        <v>2786</v>
      </c>
      <c r="G101" t="s">
        <v>2787</v>
      </c>
      <c r="H101" s="23">
        <v>0.66666666666666663</v>
      </c>
      <c r="I101" t="s">
        <v>2696</v>
      </c>
      <c r="J101" t="s">
        <v>2504</v>
      </c>
      <c r="K101" t="s">
        <v>2793</v>
      </c>
      <c r="L101" t="s">
        <v>2477</v>
      </c>
      <c r="M101" t="s">
        <v>2480</v>
      </c>
      <c r="N101" s="6">
        <v>45999</v>
      </c>
      <c r="O101" t="s">
        <v>2455</v>
      </c>
      <c r="P101" t="s">
        <v>2445</v>
      </c>
      <c r="Q101" s="23">
        <v>0.49334490740740738</v>
      </c>
      <c r="R101" s="23">
        <v>0.83528935185185182</v>
      </c>
      <c r="S101">
        <v>22</v>
      </c>
      <c r="T101">
        <v>1</v>
      </c>
      <c r="U101" t="s">
        <v>2506</v>
      </c>
      <c r="V101">
        <v>7.71</v>
      </c>
      <c r="W101">
        <v>7.71</v>
      </c>
      <c r="X101" t="s">
        <v>2689</v>
      </c>
      <c r="Y101" t="s">
        <v>2689</v>
      </c>
      <c r="Z101" t="s">
        <v>2689</v>
      </c>
      <c r="AA101" t="s">
        <v>2689</v>
      </c>
      <c r="AC101" t="s">
        <v>2689</v>
      </c>
      <c r="AD101" t="s">
        <v>2689</v>
      </c>
      <c r="AE101" t="s">
        <v>2689</v>
      </c>
      <c r="AF101" t="s">
        <v>2689</v>
      </c>
      <c r="AH101">
        <v>169.62</v>
      </c>
      <c r="AI101" t="s">
        <v>2690</v>
      </c>
      <c r="AJ101" t="s">
        <v>2690</v>
      </c>
      <c r="AK101" t="s">
        <v>2690</v>
      </c>
      <c r="AL101" t="s">
        <v>2690</v>
      </c>
      <c r="AP101">
        <v>169.62</v>
      </c>
      <c r="AR101" s="23">
        <v>0.49334490740740738</v>
      </c>
      <c r="AS101" s="23">
        <v>0.83528935185185182</v>
      </c>
      <c r="AT101" s="23">
        <v>0.5</v>
      </c>
      <c r="AU101" s="23">
        <v>0.85416666666666663</v>
      </c>
      <c r="AV101" t="s">
        <v>2507</v>
      </c>
      <c r="AY101">
        <v>0.5</v>
      </c>
      <c r="AZ101" t="s">
        <v>2882</v>
      </c>
      <c r="BA101" t="s">
        <v>2757</v>
      </c>
      <c r="BD101" t="s">
        <v>2508</v>
      </c>
      <c r="BE101" t="s">
        <v>2509</v>
      </c>
      <c r="BG101">
        <v>0</v>
      </c>
      <c r="BH101">
        <v>0</v>
      </c>
      <c r="BJ101">
        <v>0</v>
      </c>
    </row>
    <row r="102" spans="1:62" x14ac:dyDescent="0.2">
      <c r="A102" t="s">
        <v>2477</v>
      </c>
      <c r="B102" t="s">
        <v>2477</v>
      </c>
      <c r="C102">
        <v>100049344</v>
      </c>
      <c r="D102" t="s">
        <v>2711</v>
      </c>
      <c r="E102" t="s">
        <v>2439</v>
      </c>
      <c r="F102" t="s">
        <v>2789</v>
      </c>
      <c r="G102" t="s">
        <v>2790</v>
      </c>
      <c r="H102" s="23">
        <v>0.375</v>
      </c>
      <c r="I102" t="s">
        <v>2696</v>
      </c>
      <c r="J102" t="s">
        <v>2504</v>
      </c>
      <c r="K102" t="s">
        <v>2864</v>
      </c>
      <c r="L102" t="s">
        <v>2477</v>
      </c>
      <c r="M102" t="s">
        <v>2480</v>
      </c>
      <c r="N102" s="6">
        <v>46000</v>
      </c>
      <c r="O102" t="s">
        <v>2457</v>
      </c>
      <c r="P102" t="s">
        <v>2445</v>
      </c>
      <c r="Q102" s="23">
        <v>0.46456018518518516</v>
      </c>
      <c r="R102" s="23">
        <v>0.70939814814814817</v>
      </c>
      <c r="S102">
        <v>22</v>
      </c>
      <c r="T102">
        <v>1</v>
      </c>
      <c r="U102" t="s">
        <v>2506</v>
      </c>
      <c r="V102">
        <v>5.88</v>
      </c>
      <c r="W102">
        <v>5.88</v>
      </c>
      <c r="X102" t="s">
        <v>2689</v>
      </c>
      <c r="Y102" t="s">
        <v>2689</v>
      </c>
      <c r="Z102" t="s">
        <v>2689</v>
      </c>
      <c r="AA102" t="s">
        <v>2689</v>
      </c>
      <c r="AC102" t="s">
        <v>2689</v>
      </c>
      <c r="AD102" t="s">
        <v>2689</v>
      </c>
      <c r="AE102" t="s">
        <v>2689</v>
      </c>
      <c r="AF102" t="s">
        <v>2689</v>
      </c>
      <c r="AH102">
        <v>129.36000000000001</v>
      </c>
      <c r="AI102" t="s">
        <v>2690</v>
      </c>
      <c r="AJ102" t="s">
        <v>2690</v>
      </c>
      <c r="AK102" t="s">
        <v>2690</v>
      </c>
      <c r="AL102" t="s">
        <v>2690</v>
      </c>
      <c r="AP102">
        <v>129.36000000000001</v>
      </c>
      <c r="AR102" s="23">
        <v>0.46456018518518516</v>
      </c>
      <c r="AS102" s="23">
        <v>0.70939814814814817</v>
      </c>
      <c r="AT102" s="23">
        <v>0.5</v>
      </c>
      <c r="AU102" s="23">
        <v>0.75</v>
      </c>
      <c r="AV102" t="s">
        <v>2507</v>
      </c>
      <c r="BA102" t="s">
        <v>2757</v>
      </c>
      <c r="BD102" t="s">
        <v>2508</v>
      </c>
      <c r="BE102" t="s">
        <v>2509</v>
      </c>
      <c r="BG102">
        <v>0</v>
      </c>
      <c r="BH102">
        <v>0</v>
      </c>
      <c r="BJ102">
        <v>0</v>
      </c>
    </row>
    <row r="103" spans="1:62" x14ac:dyDescent="0.2">
      <c r="A103" t="s">
        <v>2477</v>
      </c>
      <c r="B103" t="s">
        <v>2477</v>
      </c>
      <c r="C103">
        <v>100049344</v>
      </c>
      <c r="D103" t="s">
        <v>2711</v>
      </c>
      <c r="E103" t="s">
        <v>2439</v>
      </c>
      <c r="F103" t="s">
        <v>2791</v>
      </c>
      <c r="G103" t="s">
        <v>2792</v>
      </c>
      <c r="H103" s="23">
        <v>0.79166666666666663</v>
      </c>
      <c r="I103" t="s">
        <v>2696</v>
      </c>
      <c r="J103" t="s">
        <v>2504</v>
      </c>
      <c r="K103" t="s">
        <v>2883</v>
      </c>
      <c r="L103" t="s">
        <v>2477</v>
      </c>
      <c r="M103" t="s">
        <v>2480</v>
      </c>
      <c r="N103" s="6">
        <v>46002</v>
      </c>
      <c r="O103" t="s">
        <v>2459</v>
      </c>
      <c r="P103" t="s">
        <v>2445</v>
      </c>
      <c r="Q103" s="23">
        <v>0.7038078703703704</v>
      </c>
      <c r="R103" s="23">
        <v>0.99392361111111116</v>
      </c>
      <c r="S103">
        <v>22</v>
      </c>
      <c r="T103">
        <v>1</v>
      </c>
      <c r="U103" t="s">
        <v>2506</v>
      </c>
      <c r="V103">
        <v>6.37</v>
      </c>
      <c r="W103">
        <v>6.37</v>
      </c>
      <c r="X103" t="s">
        <v>2689</v>
      </c>
      <c r="Y103" t="s">
        <v>2689</v>
      </c>
      <c r="Z103" t="s">
        <v>2689</v>
      </c>
      <c r="AA103" t="s">
        <v>2689</v>
      </c>
      <c r="AC103" t="s">
        <v>2689</v>
      </c>
      <c r="AD103" t="s">
        <v>2689</v>
      </c>
      <c r="AE103" t="s">
        <v>2689</v>
      </c>
      <c r="AF103" t="s">
        <v>2689</v>
      </c>
      <c r="AH103">
        <v>140.13999999999999</v>
      </c>
      <c r="AI103" t="s">
        <v>2690</v>
      </c>
      <c r="AJ103" t="s">
        <v>2690</v>
      </c>
      <c r="AK103" t="s">
        <v>2690</v>
      </c>
      <c r="AL103" t="s">
        <v>2690</v>
      </c>
      <c r="AP103">
        <v>140.13999999999999</v>
      </c>
      <c r="AR103" s="23">
        <v>0.7038078703703704</v>
      </c>
      <c r="AS103" s="23">
        <v>0.99392361111111116</v>
      </c>
      <c r="AT103" s="23">
        <v>0.70833333333333337</v>
      </c>
      <c r="AU103" s="24">
        <v>1</v>
      </c>
      <c r="AV103" t="s">
        <v>2507</v>
      </c>
      <c r="AY103">
        <v>0.6</v>
      </c>
      <c r="AZ103" t="s">
        <v>2884</v>
      </c>
      <c r="BA103" t="s">
        <v>2769</v>
      </c>
      <c r="BD103" t="s">
        <v>2508</v>
      </c>
      <c r="BE103" t="s">
        <v>2509</v>
      </c>
      <c r="BG103">
        <v>0</v>
      </c>
      <c r="BH103">
        <v>0</v>
      </c>
      <c r="BJ103">
        <v>0</v>
      </c>
    </row>
    <row r="104" spans="1:62" x14ac:dyDescent="0.2">
      <c r="A104" t="s">
        <v>2477</v>
      </c>
      <c r="B104" t="s">
        <v>2477</v>
      </c>
      <c r="C104">
        <v>100049373</v>
      </c>
      <c r="D104" t="s">
        <v>2527</v>
      </c>
      <c r="E104" t="s">
        <v>2439</v>
      </c>
      <c r="F104" t="s">
        <v>2452</v>
      </c>
      <c r="G104" t="s">
        <v>2453</v>
      </c>
      <c r="H104" s="23">
        <v>0.33333333333333331</v>
      </c>
      <c r="I104" t="s">
        <v>2688</v>
      </c>
      <c r="J104" t="s">
        <v>2528</v>
      </c>
      <c r="K104" t="s">
        <v>2532</v>
      </c>
      <c r="L104" t="s">
        <v>2477</v>
      </c>
      <c r="M104" t="s">
        <v>2480</v>
      </c>
      <c r="N104" s="6">
        <v>45992</v>
      </c>
      <c r="O104" t="s">
        <v>2455</v>
      </c>
      <c r="P104" t="s">
        <v>2445</v>
      </c>
      <c r="Q104" s="23">
        <v>0.49739583333333331</v>
      </c>
      <c r="R104" s="23">
        <v>0.74011574074074071</v>
      </c>
      <c r="S104">
        <v>29.52</v>
      </c>
      <c r="T104">
        <v>1</v>
      </c>
      <c r="U104" t="s">
        <v>2529</v>
      </c>
      <c r="V104">
        <v>5.83</v>
      </c>
      <c r="W104">
        <v>5.83</v>
      </c>
      <c r="X104" t="s">
        <v>2689</v>
      </c>
      <c r="Y104" t="s">
        <v>2689</v>
      </c>
      <c r="Z104" t="s">
        <v>2689</v>
      </c>
      <c r="AA104" t="s">
        <v>2689</v>
      </c>
      <c r="AC104" t="s">
        <v>2689</v>
      </c>
      <c r="AD104" t="s">
        <v>2689</v>
      </c>
      <c r="AE104" t="s">
        <v>2689</v>
      </c>
      <c r="AF104" t="s">
        <v>2689</v>
      </c>
      <c r="AH104">
        <v>172.1</v>
      </c>
      <c r="AI104" t="s">
        <v>2690</v>
      </c>
      <c r="AJ104" t="s">
        <v>2690</v>
      </c>
      <c r="AK104" t="s">
        <v>2690</v>
      </c>
      <c r="AL104" t="s">
        <v>2690</v>
      </c>
      <c r="AP104">
        <v>172.1</v>
      </c>
      <c r="AR104" s="23">
        <v>0.49739583333333331</v>
      </c>
      <c r="AS104" s="23">
        <v>0.74011574074074071</v>
      </c>
      <c r="AT104" s="23">
        <v>0.5</v>
      </c>
      <c r="AU104" s="23">
        <v>0.70833333333333337</v>
      </c>
      <c r="AV104" t="s">
        <v>2507</v>
      </c>
      <c r="BA104" t="s">
        <v>2692</v>
      </c>
      <c r="BD104" t="s">
        <v>2530</v>
      </c>
      <c r="BE104" t="s">
        <v>2528</v>
      </c>
      <c r="BG104">
        <v>0</v>
      </c>
      <c r="BH104">
        <v>0</v>
      </c>
      <c r="BJ104">
        <v>0</v>
      </c>
    </row>
    <row r="105" spans="1:62" x14ac:dyDescent="0.2">
      <c r="A105" t="s">
        <v>2477</v>
      </c>
      <c r="B105" t="s">
        <v>2477</v>
      </c>
      <c r="C105">
        <v>100049373</v>
      </c>
      <c r="D105" t="s">
        <v>2527</v>
      </c>
      <c r="E105" t="s">
        <v>2439</v>
      </c>
      <c r="F105" t="s">
        <v>2800</v>
      </c>
      <c r="G105" t="s">
        <v>2801</v>
      </c>
      <c r="H105" s="23">
        <v>0.66666666666666663</v>
      </c>
      <c r="I105" t="s">
        <v>2696</v>
      </c>
      <c r="J105" t="s">
        <v>2528</v>
      </c>
      <c r="K105" t="s">
        <v>2885</v>
      </c>
      <c r="L105" t="s">
        <v>2477</v>
      </c>
      <c r="M105" t="s">
        <v>2480</v>
      </c>
      <c r="N105" s="6">
        <v>45993</v>
      </c>
      <c r="O105" t="s">
        <v>2457</v>
      </c>
      <c r="P105" t="s">
        <v>2445</v>
      </c>
      <c r="Q105" s="23">
        <v>0.28687499999999999</v>
      </c>
      <c r="R105" s="23">
        <v>0.68163194444444442</v>
      </c>
      <c r="S105">
        <v>29.52</v>
      </c>
      <c r="T105">
        <v>1</v>
      </c>
      <c r="U105" t="s">
        <v>2529</v>
      </c>
      <c r="V105">
        <v>8.7799999999999994</v>
      </c>
      <c r="W105">
        <v>8</v>
      </c>
      <c r="X105">
        <v>0.78</v>
      </c>
      <c r="Y105" t="s">
        <v>2689</v>
      </c>
      <c r="Z105" t="s">
        <v>2689</v>
      </c>
      <c r="AA105" t="s">
        <v>2689</v>
      </c>
      <c r="AC105" t="s">
        <v>2689</v>
      </c>
      <c r="AD105" t="s">
        <v>2689</v>
      </c>
      <c r="AE105" t="s">
        <v>2689</v>
      </c>
      <c r="AF105" t="s">
        <v>2689</v>
      </c>
      <c r="AH105">
        <v>236.16</v>
      </c>
      <c r="AI105">
        <v>34.54</v>
      </c>
      <c r="AJ105" t="s">
        <v>2690</v>
      </c>
      <c r="AK105" t="s">
        <v>2690</v>
      </c>
      <c r="AL105" t="s">
        <v>2690</v>
      </c>
      <c r="AP105">
        <v>270.7</v>
      </c>
      <c r="AR105" s="23">
        <v>0.28687499999999999</v>
      </c>
      <c r="AS105" s="23">
        <v>0.68163194444444442</v>
      </c>
      <c r="AT105" s="23">
        <v>0.29166666666666669</v>
      </c>
      <c r="AU105" s="23">
        <v>0.625</v>
      </c>
      <c r="AV105" t="s">
        <v>2507</v>
      </c>
      <c r="AY105">
        <v>0.69</v>
      </c>
      <c r="AZ105" t="s">
        <v>2886</v>
      </c>
      <c r="BA105" t="s">
        <v>2752</v>
      </c>
      <c r="BD105" t="s">
        <v>2530</v>
      </c>
      <c r="BE105" t="s">
        <v>2528</v>
      </c>
      <c r="BG105">
        <v>0</v>
      </c>
      <c r="BH105">
        <v>0</v>
      </c>
      <c r="BJ105">
        <v>0</v>
      </c>
    </row>
    <row r="106" spans="1:62" x14ac:dyDescent="0.2">
      <c r="A106" t="s">
        <v>2477</v>
      </c>
      <c r="B106" t="s">
        <v>2477</v>
      </c>
      <c r="C106">
        <v>100049373</v>
      </c>
      <c r="D106" t="s">
        <v>2527</v>
      </c>
      <c r="E106" t="s">
        <v>2439</v>
      </c>
      <c r="F106" t="s">
        <v>2782</v>
      </c>
      <c r="G106" t="s">
        <v>2783</v>
      </c>
      <c r="H106" s="23">
        <v>0.70833333333333337</v>
      </c>
      <c r="I106" t="s">
        <v>2696</v>
      </c>
      <c r="J106" t="s">
        <v>2528</v>
      </c>
      <c r="K106" t="s">
        <v>2531</v>
      </c>
      <c r="L106" t="s">
        <v>2477</v>
      </c>
      <c r="M106" t="s">
        <v>2480</v>
      </c>
      <c r="N106" s="6">
        <v>45994</v>
      </c>
      <c r="O106" t="s">
        <v>2458</v>
      </c>
      <c r="P106" t="s">
        <v>2445</v>
      </c>
      <c r="Q106" s="23">
        <v>0.54677083333333332</v>
      </c>
      <c r="R106" s="23">
        <v>0.92236111111111108</v>
      </c>
      <c r="S106">
        <v>29.52</v>
      </c>
      <c r="T106">
        <v>1</v>
      </c>
      <c r="U106" t="s">
        <v>2529</v>
      </c>
      <c r="V106">
        <v>8.51</v>
      </c>
      <c r="W106">
        <v>8</v>
      </c>
      <c r="X106">
        <v>0.51</v>
      </c>
      <c r="Y106" t="s">
        <v>2689</v>
      </c>
      <c r="Z106" t="s">
        <v>2689</v>
      </c>
      <c r="AA106" t="s">
        <v>2689</v>
      </c>
      <c r="AC106" t="s">
        <v>2689</v>
      </c>
      <c r="AD106" t="s">
        <v>2689</v>
      </c>
      <c r="AE106" t="s">
        <v>2689</v>
      </c>
      <c r="AF106" t="s">
        <v>2689</v>
      </c>
      <c r="AH106">
        <v>236.16</v>
      </c>
      <c r="AI106">
        <v>22.58</v>
      </c>
      <c r="AJ106" t="s">
        <v>2690</v>
      </c>
      <c r="AK106" t="s">
        <v>2690</v>
      </c>
      <c r="AL106" t="s">
        <v>2690</v>
      </c>
      <c r="AP106">
        <v>258.74</v>
      </c>
      <c r="AR106" s="23">
        <v>0.54677083333333332</v>
      </c>
      <c r="AS106" s="23">
        <v>0.92236111111111108</v>
      </c>
      <c r="AT106" s="23">
        <v>0.54166666666666663</v>
      </c>
      <c r="AU106" s="23">
        <v>0.91666666666666663</v>
      </c>
      <c r="AV106" t="s">
        <v>2507</v>
      </c>
      <c r="AY106">
        <v>0.5</v>
      </c>
      <c r="AZ106" t="s">
        <v>2887</v>
      </c>
      <c r="BA106" t="s">
        <v>2754</v>
      </c>
      <c r="BD106" t="s">
        <v>2530</v>
      </c>
      <c r="BE106" t="s">
        <v>2528</v>
      </c>
      <c r="BG106">
        <v>0</v>
      </c>
      <c r="BH106">
        <v>0</v>
      </c>
      <c r="BJ106">
        <v>0</v>
      </c>
    </row>
    <row r="107" spans="1:62" x14ac:dyDescent="0.2">
      <c r="A107" t="s">
        <v>2477</v>
      </c>
      <c r="B107" t="s">
        <v>2477</v>
      </c>
      <c r="C107">
        <v>100049373</v>
      </c>
      <c r="D107" t="s">
        <v>2527</v>
      </c>
      <c r="E107" t="s">
        <v>2439</v>
      </c>
      <c r="F107" t="s">
        <v>2804</v>
      </c>
      <c r="G107" t="s">
        <v>2805</v>
      </c>
      <c r="H107" s="23">
        <v>0.70833333333333337</v>
      </c>
      <c r="I107" t="s">
        <v>2696</v>
      </c>
      <c r="J107" t="s">
        <v>2528</v>
      </c>
      <c r="K107" t="s">
        <v>2531</v>
      </c>
      <c r="L107" t="s">
        <v>2477</v>
      </c>
      <c r="M107" t="s">
        <v>2480</v>
      </c>
      <c r="N107" s="6">
        <v>45995</v>
      </c>
      <c r="O107" t="s">
        <v>2459</v>
      </c>
      <c r="P107" t="s">
        <v>2445</v>
      </c>
      <c r="Q107" s="23">
        <v>0.41349537037037037</v>
      </c>
      <c r="R107" s="23">
        <v>0.8533101851851852</v>
      </c>
      <c r="S107">
        <v>29.52</v>
      </c>
      <c r="T107">
        <v>1</v>
      </c>
      <c r="U107" t="s">
        <v>2529</v>
      </c>
      <c r="V107">
        <v>10.06</v>
      </c>
      <c r="W107">
        <v>8</v>
      </c>
      <c r="X107">
        <v>2.06</v>
      </c>
      <c r="Y107" t="s">
        <v>2689</v>
      </c>
      <c r="Z107" t="s">
        <v>2689</v>
      </c>
      <c r="AA107" t="s">
        <v>2689</v>
      </c>
      <c r="AC107" t="s">
        <v>2689</v>
      </c>
      <c r="AD107" t="s">
        <v>2689</v>
      </c>
      <c r="AE107" t="s">
        <v>2689</v>
      </c>
      <c r="AF107" t="s">
        <v>2689</v>
      </c>
      <c r="AH107">
        <v>236.16</v>
      </c>
      <c r="AI107">
        <v>91.22</v>
      </c>
      <c r="AJ107" t="s">
        <v>2690</v>
      </c>
      <c r="AK107" t="s">
        <v>2690</v>
      </c>
      <c r="AL107" t="s">
        <v>2690</v>
      </c>
      <c r="AP107">
        <v>327.38</v>
      </c>
      <c r="AR107" s="23">
        <v>0.41349537037037037</v>
      </c>
      <c r="AS107" s="23">
        <v>0.8533101851851852</v>
      </c>
      <c r="AT107" s="23">
        <v>0.41666666666666669</v>
      </c>
      <c r="AU107" s="23">
        <v>0.85416666666666663</v>
      </c>
      <c r="AV107" t="s">
        <v>2507</v>
      </c>
      <c r="AY107">
        <v>0.5</v>
      </c>
      <c r="AZ107" t="s">
        <v>2888</v>
      </c>
      <c r="BA107" t="s">
        <v>2754</v>
      </c>
      <c r="BD107" t="s">
        <v>2530</v>
      </c>
      <c r="BE107" t="s">
        <v>2528</v>
      </c>
      <c r="BG107">
        <v>0</v>
      </c>
      <c r="BH107">
        <v>0</v>
      </c>
      <c r="BJ107">
        <v>0</v>
      </c>
    </row>
    <row r="108" spans="1:62" x14ac:dyDescent="0.2">
      <c r="A108" t="s">
        <v>2477</v>
      </c>
      <c r="B108" t="s">
        <v>2477</v>
      </c>
      <c r="C108">
        <v>100049373</v>
      </c>
      <c r="D108" t="s">
        <v>2527</v>
      </c>
      <c r="E108" t="s">
        <v>2439</v>
      </c>
      <c r="F108" t="s">
        <v>2452</v>
      </c>
      <c r="G108" t="s">
        <v>2453</v>
      </c>
      <c r="H108" s="23">
        <v>0.33333333333333331</v>
      </c>
      <c r="I108" t="s">
        <v>2688</v>
      </c>
      <c r="J108" t="s">
        <v>2528</v>
      </c>
      <c r="K108" t="s">
        <v>2531</v>
      </c>
      <c r="L108" t="s">
        <v>2477</v>
      </c>
      <c r="M108" t="s">
        <v>2480</v>
      </c>
      <c r="N108" s="6">
        <v>45996</v>
      </c>
      <c r="O108" t="s">
        <v>2449</v>
      </c>
      <c r="P108" t="s">
        <v>2445</v>
      </c>
      <c r="Q108" s="23">
        <v>0.48541666666666666</v>
      </c>
      <c r="R108" s="23">
        <v>0.66826388888888888</v>
      </c>
      <c r="S108">
        <v>29.52</v>
      </c>
      <c r="T108">
        <v>1</v>
      </c>
      <c r="U108" t="s">
        <v>2529</v>
      </c>
      <c r="V108">
        <v>4.3899999999999997</v>
      </c>
      <c r="W108">
        <v>4.3899999999999997</v>
      </c>
      <c r="X108" t="s">
        <v>2689</v>
      </c>
      <c r="Y108" t="s">
        <v>2689</v>
      </c>
      <c r="Z108" t="s">
        <v>2689</v>
      </c>
      <c r="AA108" t="s">
        <v>2689</v>
      </c>
      <c r="AC108" t="s">
        <v>2689</v>
      </c>
      <c r="AD108" t="s">
        <v>2689</v>
      </c>
      <c r="AE108" t="s">
        <v>2689</v>
      </c>
      <c r="AF108" t="s">
        <v>2689</v>
      </c>
      <c r="AH108">
        <v>129.59</v>
      </c>
      <c r="AI108" t="s">
        <v>2690</v>
      </c>
      <c r="AJ108" t="s">
        <v>2690</v>
      </c>
      <c r="AK108" t="s">
        <v>2690</v>
      </c>
      <c r="AL108" t="s">
        <v>2690</v>
      </c>
      <c r="AP108">
        <v>129.59</v>
      </c>
      <c r="AR108" s="23">
        <v>0.48541666666666666</v>
      </c>
      <c r="AS108" s="23">
        <v>0.66826388888888888</v>
      </c>
      <c r="AT108" s="23">
        <v>0.48541666666666666</v>
      </c>
      <c r="AU108" t="s">
        <v>2689</v>
      </c>
      <c r="AV108" t="s">
        <v>2507</v>
      </c>
      <c r="BA108" t="s">
        <v>2754</v>
      </c>
      <c r="BD108" t="s">
        <v>2530</v>
      </c>
      <c r="BE108" t="s">
        <v>2528</v>
      </c>
      <c r="BG108">
        <v>0</v>
      </c>
      <c r="BH108">
        <v>0</v>
      </c>
      <c r="BJ108">
        <v>0</v>
      </c>
    </row>
    <row r="109" spans="1:62" x14ac:dyDescent="0.2">
      <c r="A109" t="s">
        <v>2477</v>
      </c>
      <c r="B109" t="s">
        <v>2477</v>
      </c>
      <c r="C109">
        <v>100049373</v>
      </c>
      <c r="D109" t="s">
        <v>2527</v>
      </c>
      <c r="E109" t="s">
        <v>2439</v>
      </c>
      <c r="F109" t="s">
        <v>2452</v>
      </c>
      <c r="G109" t="s">
        <v>2453</v>
      </c>
      <c r="H109" s="23">
        <v>0.33333333333333331</v>
      </c>
      <c r="I109" t="s">
        <v>2688</v>
      </c>
      <c r="J109" t="s">
        <v>2528</v>
      </c>
      <c r="K109" t="s">
        <v>2531</v>
      </c>
      <c r="L109" t="s">
        <v>2477</v>
      </c>
      <c r="M109" t="s">
        <v>2480</v>
      </c>
      <c r="N109" s="6">
        <v>45998</v>
      </c>
      <c r="O109" t="s">
        <v>2461</v>
      </c>
      <c r="P109" t="s">
        <v>2442</v>
      </c>
      <c r="Q109" s="23">
        <v>0.36984953703703705</v>
      </c>
      <c r="R109" s="23">
        <v>0.61754629629629632</v>
      </c>
      <c r="S109">
        <v>29.52</v>
      </c>
      <c r="T109">
        <v>1</v>
      </c>
      <c r="U109" t="s">
        <v>2529</v>
      </c>
      <c r="V109">
        <v>5.94</v>
      </c>
      <c r="W109">
        <v>5.94</v>
      </c>
      <c r="X109" t="s">
        <v>2689</v>
      </c>
      <c r="Y109" t="s">
        <v>2689</v>
      </c>
      <c r="Z109" t="s">
        <v>2689</v>
      </c>
      <c r="AA109" t="s">
        <v>2689</v>
      </c>
      <c r="AC109" t="s">
        <v>2689</v>
      </c>
      <c r="AD109" t="s">
        <v>2689</v>
      </c>
      <c r="AE109" t="s">
        <v>2689</v>
      </c>
      <c r="AF109" t="s">
        <v>2689</v>
      </c>
      <c r="AH109">
        <v>175.35</v>
      </c>
      <c r="AI109" t="s">
        <v>2690</v>
      </c>
      <c r="AJ109" t="s">
        <v>2690</v>
      </c>
      <c r="AK109" t="s">
        <v>2690</v>
      </c>
      <c r="AL109" t="s">
        <v>2690</v>
      </c>
      <c r="AP109">
        <v>175.35</v>
      </c>
      <c r="AR109" s="23">
        <v>0.36984953703703705</v>
      </c>
      <c r="AS109" s="23">
        <v>0.61754629629629632</v>
      </c>
      <c r="AT109" s="23">
        <v>0.375</v>
      </c>
      <c r="AU109" s="23">
        <v>0.625</v>
      </c>
      <c r="AV109" t="s">
        <v>2507</v>
      </c>
      <c r="BA109" t="s">
        <v>2754</v>
      </c>
      <c r="BD109" t="s">
        <v>2530</v>
      </c>
      <c r="BE109" t="s">
        <v>2528</v>
      </c>
      <c r="BG109">
        <v>0</v>
      </c>
      <c r="BH109">
        <v>0</v>
      </c>
      <c r="BJ109">
        <v>0</v>
      </c>
    </row>
    <row r="110" spans="1:62" x14ac:dyDescent="0.2">
      <c r="A110" t="s">
        <v>2477</v>
      </c>
      <c r="B110" t="s">
        <v>2477</v>
      </c>
      <c r="C110">
        <v>100049373</v>
      </c>
      <c r="D110" t="s">
        <v>2527</v>
      </c>
      <c r="E110" t="s">
        <v>2439</v>
      </c>
      <c r="F110" t="s">
        <v>2786</v>
      </c>
      <c r="G110" t="s">
        <v>2787</v>
      </c>
      <c r="H110" s="23">
        <v>0.66666666666666663</v>
      </c>
      <c r="I110" t="s">
        <v>2696</v>
      </c>
      <c r="J110" t="s">
        <v>2528</v>
      </c>
      <c r="K110" t="s">
        <v>2676</v>
      </c>
      <c r="L110" t="s">
        <v>2477</v>
      </c>
      <c r="M110" t="s">
        <v>2480</v>
      </c>
      <c r="N110" s="6">
        <v>45999</v>
      </c>
      <c r="O110" t="s">
        <v>2455</v>
      </c>
      <c r="P110" t="s">
        <v>2445</v>
      </c>
      <c r="Q110" s="23">
        <v>0.30707175925925928</v>
      </c>
      <c r="R110" s="23">
        <v>0.86186342592592591</v>
      </c>
      <c r="S110">
        <v>29.52</v>
      </c>
      <c r="T110">
        <v>1</v>
      </c>
      <c r="U110" t="s">
        <v>2529</v>
      </c>
      <c r="V110">
        <v>13.82</v>
      </c>
      <c r="W110">
        <v>8</v>
      </c>
      <c r="X110">
        <v>4</v>
      </c>
      <c r="Y110">
        <v>0.82</v>
      </c>
      <c r="Z110" t="s">
        <v>2689</v>
      </c>
      <c r="AA110">
        <v>1</v>
      </c>
      <c r="AC110" t="s">
        <v>2689</v>
      </c>
      <c r="AD110" t="s">
        <v>2689</v>
      </c>
      <c r="AE110" t="s">
        <v>2689</v>
      </c>
      <c r="AF110" t="s">
        <v>2689</v>
      </c>
      <c r="AH110">
        <v>236.16</v>
      </c>
      <c r="AI110">
        <v>177.12</v>
      </c>
      <c r="AJ110">
        <v>48.41</v>
      </c>
      <c r="AK110" t="s">
        <v>2690</v>
      </c>
      <c r="AL110">
        <v>29.52</v>
      </c>
      <c r="AP110">
        <v>491.21</v>
      </c>
      <c r="AR110" s="23">
        <v>0.30707175925925928</v>
      </c>
      <c r="AS110" s="23">
        <v>0.86186342592592591</v>
      </c>
      <c r="AT110" s="23">
        <v>0.3125</v>
      </c>
      <c r="AU110" s="23">
        <v>0.875</v>
      </c>
      <c r="AV110" t="s">
        <v>2507</v>
      </c>
      <c r="AY110">
        <v>0.5</v>
      </c>
      <c r="AZ110" t="s">
        <v>2889</v>
      </c>
      <c r="BA110" t="s">
        <v>2757</v>
      </c>
      <c r="BD110" t="s">
        <v>2530</v>
      </c>
      <c r="BE110" t="s">
        <v>2528</v>
      </c>
      <c r="BF110" t="s">
        <v>2842</v>
      </c>
      <c r="BG110">
        <v>0</v>
      </c>
      <c r="BH110">
        <v>0</v>
      </c>
      <c r="BJ110">
        <v>0</v>
      </c>
    </row>
    <row r="111" spans="1:62" x14ac:dyDescent="0.2">
      <c r="A111" t="s">
        <v>2477</v>
      </c>
      <c r="B111" t="s">
        <v>2477</v>
      </c>
      <c r="C111">
        <v>100049373</v>
      </c>
      <c r="D111" t="s">
        <v>2527</v>
      </c>
      <c r="E111" t="s">
        <v>2439</v>
      </c>
      <c r="F111" t="s">
        <v>2789</v>
      </c>
      <c r="G111" t="s">
        <v>2790</v>
      </c>
      <c r="H111" s="23">
        <v>0.375</v>
      </c>
      <c r="I111" t="s">
        <v>2696</v>
      </c>
      <c r="J111" t="s">
        <v>2528</v>
      </c>
      <c r="K111" t="s">
        <v>2885</v>
      </c>
      <c r="L111" t="s">
        <v>2477</v>
      </c>
      <c r="M111" t="s">
        <v>2480</v>
      </c>
      <c r="N111" s="6">
        <v>46000</v>
      </c>
      <c r="O111" t="s">
        <v>2457</v>
      </c>
      <c r="P111" t="s">
        <v>2445</v>
      </c>
      <c r="Q111" s="23">
        <v>0.28577546296296297</v>
      </c>
      <c r="R111" s="23">
        <v>0.79275462962962961</v>
      </c>
      <c r="S111">
        <v>29.52</v>
      </c>
      <c r="T111">
        <v>1</v>
      </c>
      <c r="U111" t="s">
        <v>2529</v>
      </c>
      <c r="V111">
        <v>11.67</v>
      </c>
      <c r="W111">
        <v>5.67</v>
      </c>
      <c r="X111">
        <v>6</v>
      </c>
      <c r="Y111" t="s">
        <v>2689</v>
      </c>
      <c r="Z111" t="s">
        <v>2689</v>
      </c>
      <c r="AA111" t="s">
        <v>2689</v>
      </c>
      <c r="AC111" t="s">
        <v>2689</v>
      </c>
      <c r="AD111" t="s">
        <v>2689</v>
      </c>
      <c r="AE111" t="s">
        <v>2689</v>
      </c>
      <c r="AF111" t="s">
        <v>2689</v>
      </c>
      <c r="AH111">
        <v>167.38</v>
      </c>
      <c r="AI111">
        <v>265.68</v>
      </c>
      <c r="AJ111" t="s">
        <v>2690</v>
      </c>
      <c r="AK111" t="s">
        <v>2690</v>
      </c>
      <c r="AL111" t="s">
        <v>2690</v>
      </c>
      <c r="AP111">
        <v>433.06</v>
      </c>
      <c r="AR111" s="23">
        <v>0.28577546296296297</v>
      </c>
      <c r="AS111" s="23">
        <v>0.79275462962962961</v>
      </c>
      <c r="AT111" s="23">
        <v>0.29166666666666669</v>
      </c>
      <c r="AU111" s="23">
        <v>0.625</v>
      </c>
      <c r="AV111" t="s">
        <v>2507</v>
      </c>
      <c r="AY111">
        <v>0.5</v>
      </c>
      <c r="AZ111" t="s">
        <v>2890</v>
      </c>
      <c r="BA111" t="s">
        <v>2757</v>
      </c>
      <c r="BD111" t="s">
        <v>2530</v>
      </c>
      <c r="BE111" t="s">
        <v>2528</v>
      </c>
      <c r="BF111" t="s">
        <v>2456</v>
      </c>
      <c r="BG111">
        <v>0</v>
      </c>
      <c r="BH111">
        <v>0</v>
      </c>
      <c r="BJ111">
        <v>0</v>
      </c>
    </row>
    <row r="112" spans="1:62" x14ac:dyDescent="0.2">
      <c r="A112" t="s">
        <v>2477</v>
      </c>
      <c r="B112" t="s">
        <v>2477</v>
      </c>
      <c r="C112">
        <v>100049373</v>
      </c>
      <c r="D112" t="s">
        <v>2527</v>
      </c>
      <c r="E112" t="s">
        <v>2439</v>
      </c>
      <c r="F112" t="s">
        <v>2452</v>
      </c>
      <c r="G112" t="s">
        <v>2453</v>
      </c>
      <c r="H112" s="23">
        <v>0.33333333333333331</v>
      </c>
      <c r="I112" t="s">
        <v>2688</v>
      </c>
      <c r="J112" t="s">
        <v>2528</v>
      </c>
      <c r="K112" t="s">
        <v>2891</v>
      </c>
      <c r="L112" t="s">
        <v>2477</v>
      </c>
      <c r="M112" t="s">
        <v>2480</v>
      </c>
      <c r="N112" s="6">
        <v>46001</v>
      </c>
      <c r="O112" t="s">
        <v>2458</v>
      </c>
      <c r="P112" t="s">
        <v>2445</v>
      </c>
      <c r="Q112" s="23">
        <v>0.49398148148148147</v>
      </c>
      <c r="R112" s="23">
        <v>0.76388888888888884</v>
      </c>
      <c r="S112">
        <v>29.52</v>
      </c>
      <c r="T112">
        <v>1</v>
      </c>
      <c r="U112" t="s">
        <v>2529</v>
      </c>
      <c r="V112">
        <v>5.98</v>
      </c>
      <c r="W112">
        <v>5.98</v>
      </c>
      <c r="X112" t="s">
        <v>2689</v>
      </c>
      <c r="Y112" t="s">
        <v>2689</v>
      </c>
      <c r="Z112" t="s">
        <v>2689</v>
      </c>
      <c r="AA112" t="s">
        <v>2689</v>
      </c>
      <c r="AC112" t="s">
        <v>2689</v>
      </c>
      <c r="AD112" t="s">
        <v>2689</v>
      </c>
      <c r="AE112" t="s">
        <v>2689</v>
      </c>
      <c r="AF112" t="s">
        <v>2689</v>
      </c>
      <c r="AH112">
        <v>176.53</v>
      </c>
      <c r="AI112" t="s">
        <v>2690</v>
      </c>
      <c r="AJ112" t="s">
        <v>2690</v>
      </c>
      <c r="AK112" t="s">
        <v>2690</v>
      </c>
      <c r="AL112" t="s">
        <v>2690</v>
      </c>
      <c r="AP112">
        <v>176.53</v>
      </c>
      <c r="AR112" s="23">
        <v>0.49398148148148147</v>
      </c>
      <c r="AT112" s="23">
        <v>0.5</v>
      </c>
      <c r="AU112" s="23">
        <v>0.75</v>
      </c>
      <c r="AV112" t="s">
        <v>2507</v>
      </c>
      <c r="AY112">
        <v>0.5</v>
      </c>
      <c r="BA112" t="s">
        <v>2769</v>
      </c>
      <c r="BD112" t="s">
        <v>2530</v>
      </c>
      <c r="BE112" t="s">
        <v>2528</v>
      </c>
      <c r="BF112" t="s">
        <v>2460</v>
      </c>
      <c r="BG112">
        <v>0</v>
      </c>
      <c r="BH112">
        <v>0</v>
      </c>
      <c r="BJ112">
        <v>0</v>
      </c>
    </row>
    <row r="113" spans="1:62" x14ac:dyDescent="0.2">
      <c r="A113" t="s">
        <v>2477</v>
      </c>
      <c r="B113" t="s">
        <v>2477</v>
      </c>
      <c r="C113">
        <v>100049373</v>
      </c>
      <c r="D113" t="s">
        <v>2527</v>
      </c>
      <c r="E113" t="s">
        <v>2439</v>
      </c>
      <c r="F113" t="s">
        <v>2791</v>
      </c>
      <c r="G113" t="s">
        <v>2792</v>
      </c>
      <c r="H113" s="23">
        <v>0.79166666666666663</v>
      </c>
      <c r="I113" t="s">
        <v>2696</v>
      </c>
      <c r="J113" t="s">
        <v>2528</v>
      </c>
      <c r="K113" t="s">
        <v>2531</v>
      </c>
      <c r="L113" t="s">
        <v>2477</v>
      </c>
      <c r="M113" t="s">
        <v>2480</v>
      </c>
      <c r="N113" s="6">
        <v>46002</v>
      </c>
      <c r="O113" t="s">
        <v>2459</v>
      </c>
      <c r="P113" t="s">
        <v>2445</v>
      </c>
      <c r="Q113" s="23">
        <v>0.62053240740740745</v>
      </c>
      <c r="R113" s="23">
        <v>2.0972222222222222E-2</v>
      </c>
      <c r="S113">
        <v>29.52</v>
      </c>
      <c r="T113">
        <v>1</v>
      </c>
      <c r="U113" t="s">
        <v>2529</v>
      </c>
      <c r="V113">
        <v>8.92</v>
      </c>
      <c r="W113">
        <v>8</v>
      </c>
      <c r="X113">
        <v>0.92</v>
      </c>
      <c r="Y113" t="s">
        <v>2689</v>
      </c>
      <c r="Z113" t="s">
        <v>2689</v>
      </c>
      <c r="AA113" t="s">
        <v>2689</v>
      </c>
      <c r="AC113" t="s">
        <v>2689</v>
      </c>
      <c r="AD113" t="s">
        <v>2689</v>
      </c>
      <c r="AE113" t="s">
        <v>2689</v>
      </c>
      <c r="AF113" t="s">
        <v>2689</v>
      </c>
      <c r="AH113">
        <v>236.16</v>
      </c>
      <c r="AI113">
        <v>40.74</v>
      </c>
      <c r="AJ113" t="s">
        <v>2690</v>
      </c>
      <c r="AK113" t="s">
        <v>2690</v>
      </c>
      <c r="AL113" t="s">
        <v>2690</v>
      </c>
      <c r="AP113">
        <v>276.89999999999998</v>
      </c>
      <c r="AR113" s="23">
        <v>0.62053240740740745</v>
      </c>
      <c r="AS113" s="23">
        <v>2.0972222222222222E-2</v>
      </c>
      <c r="AT113" s="23">
        <v>0.625</v>
      </c>
      <c r="AU113" s="24">
        <v>1</v>
      </c>
      <c r="AV113" t="s">
        <v>2507</v>
      </c>
      <c r="AY113">
        <v>0.69</v>
      </c>
      <c r="AZ113" t="s">
        <v>2892</v>
      </c>
      <c r="BA113" t="s">
        <v>2769</v>
      </c>
      <c r="BD113" t="s">
        <v>2530</v>
      </c>
      <c r="BE113" t="s">
        <v>2528</v>
      </c>
      <c r="BG113">
        <v>0</v>
      </c>
      <c r="BH113">
        <v>0</v>
      </c>
      <c r="BJ113">
        <v>0</v>
      </c>
    </row>
    <row r="114" spans="1:62" x14ac:dyDescent="0.2">
      <c r="A114" t="s">
        <v>2477</v>
      </c>
      <c r="B114" t="s">
        <v>2477</v>
      </c>
      <c r="C114">
        <v>100049373</v>
      </c>
      <c r="D114" t="s">
        <v>2527</v>
      </c>
      <c r="E114" t="s">
        <v>2439</v>
      </c>
      <c r="F114" t="s">
        <v>2794</v>
      </c>
      <c r="G114" t="s">
        <v>2795</v>
      </c>
      <c r="H114" s="23">
        <v>0.79166666666666663</v>
      </c>
      <c r="I114" t="s">
        <v>2696</v>
      </c>
      <c r="J114" t="s">
        <v>2528</v>
      </c>
      <c r="K114" t="s">
        <v>2676</v>
      </c>
      <c r="L114" t="s">
        <v>2477</v>
      </c>
      <c r="M114" t="s">
        <v>2480</v>
      </c>
      <c r="N114" s="6">
        <v>46003</v>
      </c>
      <c r="O114" t="s">
        <v>2449</v>
      </c>
      <c r="P114" t="s">
        <v>2445</v>
      </c>
      <c r="Q114" s="23">
        <v>0.57959490740740738</v>
      </c>
      <c r="R114" s="23">
        <v>0.99690972222222218</v>
      </c>
      <c r="S114">
        <v>29.52</v>
      </c>
      <c r="T114">
        <v>1</v>
      </c>
      <c r="U114" t="s">
        <v>2529</v>
      </c>
      <c r="V114">
        <v>9.52</v>
      </c>
      <c r="W114">
        <v>8</v>
      </c>
      <c r="X114">
        <v>1.52</v>
      </c>
      <c r="Y114" t="s">
        <v>2689</v>
      </c>
      <c r="Z114" t="s">
        <v>2689</v>
      </c>
      <c r="AA114" t="s">
        <v>2689</v>
      </c>
      <c r="AC114" t="s">
        <v>2689</v>
      </c>
      <c r="AD114" t="s">
        <v>2689</v>
      </c>
      <c r="AE114" t="s">
        <v>2689</v>
      </c>
      <c r="AF114" t="s">
        <v>2689</v>
      </c>
      <c r="AH114">
        <v>236.16</v>
      </c>
      <c r="AI114">
        <v>67.31</v>
      </c>
      <c r="AJ114" t="s">
        <v>2690</v>
      </c>
      <c r="AK114" t="s">
        <v>2690</v>
      </c>
      <c r="AL114" t="s">
        <v>2690</v>
      </c>
      <c r="AP114">
        <v>303.47000000000003</v>
      </c>
      <c r="AR114" s="23">
        <v>0.57959490740740738</v>
      </c>
      <c r="AS114" s="23">
        <v>0.99690972222222218</v>
      </c>
      <c r="AT114" s="23">
        <v>0.58333333333333337</v>
      </c>
      <c r="AU114" s="23">
        <v>0.97916666666666663</v>
      </c>
      <c r="AV114" t="s">
        <v>2507</v>
      </c>
      <c r="AY114">
        <v>0.5</v>
      </c>
      <c r="AZ114" t="s">
        <v>2893</v>
      </c>
      <c r="BA114" t="s">
        <v>2769</v>
      </c>
      <c r="BD114" t="s">
        <v>2530</v>
      </c>
      <c r="BE114" t="s">
        <v>2528</v>
      </c>
      <c r="BG114">
        <v>0</v>
      </c>
      <c r="BH114">
        <v>0</v>
      </c>
      <c r="BJ114">
        <v>0</v>
      </c>
    </row>
    <row r="115" spans="1:62" x14ac:dyDescent="0.2">
      <c r="A115" t="s">
        <v>2477</v>
      </c>
      <c r="B115" t="s">
        <v>2477</v>
      </c>
      <c r="C115">
        <v>100049373</v>
      </c>
      <c r="D115" t="s">
        <v>2527</v>
      </c>
      <c r="E115" t="s">
        <v>2439</v>
      </c>
      <c r="F115" t="s">
        <v>2811</v>
      </c>
      <c r="G115" t="s">
        <v>2812</v>
      </c>
      <c r="H115" s="23">
        <v>0.6875</v>
      </c>
      <c r="I115" t="s">
        <v>2696</v>
      </c>
      <c r="J115" t="s">
        <v>2528</v>
      </c>
      <c r="K115" t="s">
        <v>2531</v>
      </c>
      <c r="L115" t="s">
        <v>2477</v>
      </c>
      <c r="M115" t="s">
        <v>2480</v>
      </c>
      <c r="N115" s="6">
        <v>46005</v>
      </c>
      <c r="O115" t="s">
        <v>2461</v>
      </c>
      <c r="P115" t="s">
        <v>2442</v>
      </c>
      <c r="Q115" s="23">
        <v>0.53804398148148147</v>
      </c>
      <c r="R115" s="23">
        <v>0.913599537037037</v>
      </c>
      <c r="S115">
        <v>29.52</v>
      </c>
      <c r="T115">
        <v>1</v>
      </c>
      <c r="U115" t="s">
        <v>2529</v>
      </c>
      <c r="V115">
        <v>8.4</v>
      </c>
      <c r="W115">
        <v>8</v>
      </c>
      <c r="X115">
        <v>0.4</v>
      </c>
      <c r="Y115" t="s">
        <v>2689</v>
      </c>
      <c r="Z115" t="s">
        <v>2689</v>
      </c>
      <c r="AA115" t="s">
        <v>2689</v>
      </c>
      <c r="AC115" t="s">
        <v>2689</v>
      </c>
      <c r="AD115" t="s">
        <v>2689</v>
      </c>
      <c r="AE115" t="s">
        <v>2689</v>
      </c>
      <c r="AF115" t="s">
        <v>2689</v>
      </c>
      <c r="AH115">
        <v>236.16</v>
      </c>
      <c r="AI115">
        <v>17.71</v>
      </c>
      <c r="AJ115" t="s">
        <v>2690</v>
      </c>
      <c r="AK115" t="s">
        <v>2690</v>
      </c>
      <c r="AL115" t="s">
        <v>2690</v>
      </c>
      <c r="AP115">
        <v>253.87</v>
      </c>
      <c r="AR115" s="23">
        <v>0.53804398148148147</v>
      </c>
      <c r="AS115" s="23">
        <v>0.913599537037037</v>
      </c>
      <c r="AT115" s="23">
        <v>0.54166666666666663</v>
      </c>
      <c r="AU115" s="23">
        <v>0.89583333333333337</v>
      </c>
      <c r="AV115" t="s">
        <v>2507</v>
      </c>
      <c r="AY115">
        <v>0.61</v>
      </c>
      <c r="AZ115" t="s">
        <v>2894</v>
      </c>
      <c r="BA115" t="s">
        <v>2769</v>
      </c>
      <c r="BD115" t="s">
        <v>2530</v>
      </c>
      <c r="BE115" t="s">
        <v>2528</v>
      </c>
      <c r="BG115">
        <v>0</v>
      </c>
      <c r="BH115">
        <v>0</v>
      </c>
      <c r="BJ115">
        <v>0</v>
      </c>
    </row>
    <row r="116" spans="1:62" x14ac:dyDescent="0.2">
      <c r="A116" t="s">
        <v>2477</v>
      </c>
      <c r="B116" t="s">
        <v>2477</v>
      </c>
      <c r="C116">
        <v>100049373</v>
      </c>
      <c r="D116" t="s">
        <v>2527</v>
      </c>
      <c r="E116" t="s">
        <v>2439</v>
      </c>
      <c r="F116" t="s">
        <v>2814</v>
      </c>
      <c r="G116" t="s">
        <v>2815</v>
      </c>
      <c r="H116" s="23">
        <v>0.47916666666666669</v>
      </c>
      <c r="I116" t="s">
        <v>2696</v>
      </c>
      <c r="J116" t="s">
        <v>2528</v>
      </c>
      <c r="K116" t="s">
        <v>2531</v>
      </c>
      <c r="L116" t="s">
        <v>2477</v>
      </c>
      <c r="M116" t="s">
        <v>2480</v>
      </c>
      <c r="N116" s="6">
        <v>46006</v>
      </c>
      <c r="O116" t="s">
        <v>2455</v>
      </c>
      <c r="P116" t="s">
        <v>2445</v>
      </c>
      <c r="Q116" s="23">
        <v>0.52269675925925929</v>
      </c>
      <c r="R116" s="23">
        <v>0.70688657407407407</v>
      </c>
      <c r="S116">
        <v>29.52</v>
      </c>
      <c r="T116">
        <v>1</v>
      </c>
      <c r="U116" t="s">
        <v>2529</v>
      </c>
      <c r="V116">
        <v>4.42</v>
      </c>
      <c r="W116">
        <v>4.42</v>
      </c>
      <c r="X116" t="s">
        <v>2689</v>
      </c>
      <c r="Y116" t="s">
        <v>2689</v>
      </c>
      <c r="Z116" t="s">
        <v>2689</v>
      </c>
      <c r="AA116" t="s">
        <v>2689</v>
      </c>
      <c r="AC116" t="s">
        <v>2689</v>
      </c>
      <c r="AD116" t="s">
        <v>2689</v>
      </c>
      <c r="AE116" t="s">
        <v>2689</v>
      </c>
      <c r="AF116" t="s">
        <v>2689</v>
      </c>
      <c r="AH116">
        <v>130.47999999999999</v>
      </c>
      <c r="AI116" t="s">
        <v>2690</v>
      </c>
      <c r="AJ116" t="s">
        <v>2690</v>
      </c>
      <c r="AK116" t="s">
        <v>2690</v>
      </c>
      <c r="AL116" t="s">
        <v>2690</v>
      </c>
      <c r="AP116">
        <v>130.47999999999999</v>
      </c>
      <c r="AR116" s="23">
        <v>0.52269675925925929</v>
      </c>
      <c r="AS116" s="23">
        <v>0.70688657407407407</v>
      </c>
      <c r="AT116" s="23">
        <v>0.54166666666666663</v>
      </c>
      <c r="AU116" s="23">
        <v>0.70833333333333337</v>
      </c>
      <c r="AV116" t="s">
        <v>2507</v>
      </c>
      <c r="BA116" t="s">
        <v>2769</v>
      </c>
      <c r="BD116" t="s">
        <v>2530</v>
      </c>
      <c r="BE116" t="s">
        <v>2528</v>
      </c>
      <c r="BG116">
        <v>0</v>
      </c>
      <c r="BH116">
        <v>0</v>
      </c>
      <c r="BJ116">
        <v>0</v>
      </c>
    </row>
    <row r="117" spans="1:62" x14ac:dyDescent="0.2">
      <c r="A117" t="s">
        <v>2477</v>
      </c>
      <c r="B117" t="s">
        <v>2477</v>
      </c>
      <c r="C117">
        <v>100049373</v>
      </c>
      <c r="D117" t="s">
        <v>2527</v>
      </c>
      <c r="E117" t="s">
        <v>2439</v>
      </c>
      <c r="F117" t="s">
        <v>2452</v>
      </c>
      <c r="G117" t="s">
        <v>2453</v>
      </c>
      <c r="H117" s="23">
        <v>0.33333333333333331</v>
      </c>
      <c r="I117" t="s">
        <v>2688</v>
      </c>
      <c r="J117" t="s">
        <v>2528</v>
      </c>
      <c r="K117" t="s">
        <v>2895</v>
      </c>
      <c r="L117" t="s">
        <v>2477</v>
      </c>
      <c r="M117" t="s">
        <v>2480</v>
      </c>
      <c r="N117" s="6">
        <v>46007</v>
      </c>
      <c r="O117" t="s">
        <v>2457</v>
      </c>
      <c r="P117" t="s">
        <v>2445</v>
      </c>
      <c r="Q117" s="23">
        <v>0.41020833333333334</v>
      </c>
      <c r="R117" s="23">
        <v>0.71751157407407407</v>
      </c>
      <c r="S117">
        <v>29.52</v>
      </c>
      <c r="T117">
        <v>1</v>
      </c>
      <c r="U117" t="s">
        <v>2529</v>
      </c>
      <c r="V117">
        <v>6.88</v>
      </c>
      <c r="W117">
        <v>5.6</v>
      </c>
      <c r="X117">
        <v>1.28</v>
      </c>
      <c r="Y117" t="s">
        <v>2689</v>
      </c>
      <c r="Z117" t="s">
        <v>2689</v>
      </c>
      <c r="AA117" t="s">
        <v>2689</v>
      </c>
      <c r="AC117" t="s">
        <v>2689</v>
      </c>
      <c r="AD117" t="s">
        <v>2689</v>
      </c>
      <c r="AE117" t="s">
        <v>2689</v>
      </c>
      <c r="AF117" t="s">
        <v>2689</v>
      </c>
      <c r="AH117">
        <v>165.31</v>
      </c>
      <c r="AI117">
        <v>56.68</v>
      </c>
      <c r="AJ117" t="s">
        <v>2690</v>
      </c>
      <c r="AK117" t="s">
        <v>2690</v>
      </c>
      <c r="AL117" t="s">
        <v>2690</v>
      </c>
      <c r="AP117">
        <v>221.99</v>
      </c>
      <c r="AR117" s="23">
        <v>0.41020833333333334</v>
      </c>
      <c r="AS117" s="23">
        <v>0.71751157407407407</v>
      </c>
      <c r="AT117" s="23">
        <v>0.41666666666666669</v>
      </c>
      <c r="AU117" s="23">
        <v>0.70833333333333337</v>
      </c>
      <c r="AV117" t="s">
        <v>2507</v>
      </c>
      <c r="AY117">
        <v>0.5</v>
      </c>
      <c r="AZ117" t="s">
        <v>2896</v>
      </c>
      <c r="BA117" t="s">
        <v>2761</v>
      </c>
      <c r="BD117" t="s">
        <v>2530</v>
      </c>
      <c r="BE117" t="s">
        <v>2528</v>
      </c>
      <c r="BG117">
        <v>0</v>
      </c>
      <c r="BH117">
        <v>0</v>
      </c>
      <c r="BJ117">
        <v>0</v>
      </c>
    </row>
    <row r="118" spans="1:62" x14ac:dyDescent="0.2">
      <c r="A118" t="s">
        <v>2477</v>
      </c>
      <c r="B118" t="s">
        <v>2477</v>
      </c>
      <c r="C118">
        <v>100049373</v>
      </c>
      <c r="D118" t="s">
        <v>2527</v>
      </c>
      <c r="E118" t="s">
        <v>2439</v>
      </c>
      <c r="F118" t="s">
        <v>2452</v>
      </c>
      <c r="G118" t="s">
        <v>2453</v>
      </c>
      <c r="H118" s="23">
        <v>0.33333333333333331</v>
      </c>
      <c r="I118" t="s">
        <v>2688</v>
      </c>
      <c r="J118" t="s">
        <v>2528</v>
      </c>
      <c r="K118" t="s">
        <v>2532</v>
      </c>
      <c r="L118" t="s">
        <v>2477</v>
      </c>
      <c r="M118" t="s">
        <v>2480</v>
      </c>
      <c r="N118" s="6">
        <v>46009</v>
      </c>
      <c r="O118" t="s">
        <v>2459</v>
      </c>
      <c r="P118" t="s">
        <v>2445</v>
      </c>
      <c r="Q118" s="23">
        <v>0.41119212962962964</v>
      </c>
      <c r="R118" s="23">
        <v>0.63932870370370365</v>
      </c>
      <c r="S118">
        <v>29.52</v>
      </c>
      <c r="T118">
        <v>1</v>
      </c>
      <c r="U118" t="s">
        <v>2529</v>
      </c>
      <c r="V118">
        <v>5.48</v>
      </c>
      <c r="W118">
        <v>5.48</v>
      </c>
      <c r="X118" t="s">
        <v>2689</v>
      </c>
      <c r="Y118" t="s">
        <v>2689</v>
      </c>
      <c r="Z118" t="s">
        <v>2689</v>
      </c>
      <c r="AA118" t="s">
        <v>2689</v>
      </c>
      <c r="AC118" t="s">
        <v>2689</v>
      </c>
      <c r="AD118" t="s">
        <v>2689</v>
      </c>
      <c r="AE118" t="s">
        <v>2689</v>
      </c>
      <c r="AF118" t="s">
        <v>2689</v>
      </c>
      <c r="AH118">
        <v>161.77000000000001</v>
      </c>
      <c r="AI118" t="s">
        <v>2690</v>
      </c>
      <c r="AJ118" t="s">
        <v>2690</v>
      </c>
      <c r="AK118" t="s">
        <v>2690</v>
      </c>
      <c r="AL118" t="s">
        <v>2690</v>
      </c>
      <c r="AP118">
        <v>161.77000000000001</v>
      </c>
      <c r="AR118" s="23">
        <v>0.41119212962962964</v>
      </c>
      <c r="AS118" s="23">
        <v>0.63932870370370365</v>
      </c>
      <c r="AT118" s="23">
        <v>0.41666666666666669</v>
      </c>
      <c r="AU118" s="23">
        <v>0.66666666666666663</v>
      </c>
      <c r="AV118" t="s">
        <v>2507</v>
      </c>
      <c r="BA118" t="s">
        <v>2765</v>
      </c>
      <c r="BD118" t="s">
        <v>2530</v>
      </c>
      <c r="BE118" t="s">
        <v>2528</v>
      </c>
      <c r="BG118">
        <v>0</v>
      </c>
      <c r="BH118">
        <v>0</v>
      </c>
      <c r="BJ118">
        <v>0</v>
      </c>
    </row>
    <row r="119" spans="1:62" x14ac:dyDescent="0.2">
      <c r="A119" t="s">
        <v>2469</v>
      </c>
      <c r="B119" t="s">
        <v>2477</v>
      </c>
      <c r="C119">
        <v>100052657</v>
      </c>
      <c r="D119" t="s">
        <v>2698</v>
      </c>
      <c r="E119" t="s">
        <v>2439</v>
      </c>
      <c r="F119" t="s">
        <v>2782</v>
      </c>
      <c r="G119" t="s">
        <v>2783</v>
      </c>
      <c r="H119" s="23">
        <v>0.70833333333333337</v>
      </c>
      <c r="I119" t="s">
        <v>2696</v>
      </c>
      <c r="J119" t="s">
        <v>2478</v>
      </c>
      <c r="K119" t="s">
        <v>2489</v>
      </c>
      <c r="L119" t="s">
        <v>2477</v>
      </c>
      <c r="M119" t="s">
        <v>2480</v>
      </c>
      <c r="N119" s="6">
        <v>45994</v>
      </c>
      <c r="O119" t="s">
        <v>2458</v>
      </c>
      <c r="P119" t="s">
        <v>2445</v>
      </c>
      <c r="Q119" s="23">
        <v>0.62011574074074072</v>
      </c>
      <c r="R119" s="23">
        <v>0.85908564814814814</v>
      </c>
      <c r="S119">
        <v>22</v>
      </c>
      <c r="T119">
        <v>1</v>
      </c>
      <c r="U119" t="s">
        <v>2481</v>
      </c>
      <c r="V119">
        <v>5.74</v>
      </c>
      <c r="W119">
        <v>5.74</v>
      </c>
      <c r="X119" t="s">
        <v>2689</v>
      </c>
      <c r="Y119" t="s">
        <v>2689</v>
      </c>
      <c r="Z119" t="s">
        <v>2689</v>
      </c>
      <c r="AA119" t="s">
        <v>2689</v>
      </c>
      <c r="AC119" t="s">
        <v>2689</v>
      </c>
      <c r="AD119" t="s">
        <v>2689</v>
      </c>
      <c r="AE119">
        <v>175</v>
      </c>
      <c r="AF119" t="s">
        <v>2689</v>
      </c>
      <c r="AH119">
        <v>126.28</v>
      </c>
      <c r="AI119" t="s">
        <v>2690</v>
      </c>
      <c r="AJ119" t="s">
        <v>2690</v>
      </c>
      <c r="AK119" t="s">
        <v>2690</v>
      </c>
      <c r="AL119" t="s">
        <v>2690</v>
      </c>
      <c r="AP119">
        <v>301.27999999999997</v>
      </c>
      <c r="AR119" s="23">
        <v>0.62011574074074072</v>
      </c>
      <c r="AS119" s="23">
        <v>0.85908564814814814</v>
      </c>
      <c r="AT119" s="23">
        <v>0.625</v>
      </c>
      <c r="AU119" s="23">
        <v>0.89583333333333337</v>
      </c>
      <c r="AV119" t="s">
        <v>2706</v>
      </c>
      <c r="BA119" t="s">
        <v>2754</v>
      </c>
      <c r="BD119" t="s">
        <v>2482</v>
      </c>
      <c r="BE119" t="s">
        <v>2478</v>
      </c>
      <c r="BG119">
        <v>0</v>
      </c>
      <c r="BH119">
        <v>0</v>
      </c>
      <c r="BJ119">
        <v>0</v>
      </c>
    </row>
    <row r="120" spans="1:62" x14ac:dyDescent="0.2">
      <c r="A120" t="s">
        <v>2469</v>
      </c>
      <c r="B120" t="s">
        <v>2477</v>
      </c>
      <c r="C120">
        <v>100052657</v>
      </c>
      <c r="D120" t="s">
        <v>2698</v>
      </c>
      <c r="E120" t="s">
        <v>2439</v>
      </c>
      <c r="F120" t="s">
        <v>2786</v>
      </c>
      <c r="G120" t="s">
        <v>2787</v>
      </c>
      <c r="H120" s="23">
        <v>0.66666666666666663</v>
      </c>
      <c r="I120" t="s">
        <v>2696</v>
      </c>
      <c r="J120" t="s">
        <v>2478</v>
      </c>
      <c r="K120" t="s">
        <v>2675</v>
      </c>
      <c r="L120" t="s">
        <v>2477</v>
      </c>
      <c r="M120" t="s">
        <v>2480</v>
      </c>
      <c r="N120" s="6">
        <v>45999</v>
      </c>
      <c r="O120" t="s">
        <v>2455</v>
      </c>
      <c r="P120" t="s">
        <v>2445</v>
      </c>
      <c r="Q120" s="23">
        <v>0.62652777777777779</v>
      </c>
      <c r="R120" s="23">
        <v>0.82733796296296291</v>
      </c>
      <c r="S120">
        <v>22</v>
      </c>
      <c r="T120">
        <v>1</v>
      </c>
      <c r="U120" t="s">
        <v>2481</v>
      </c>
      <c r="V120">
        <v>4.82</v>
      </c>
      <c r="W120">
        <v>4.82</v>
      </c>
      <c r="X120" t="s">
        <v>2689</v>
      </c>
      <c r="Y120" t="s">
        <v>2689</v>
      </c>
      <c r="Z120" t="s">
        <v>2689</v>
      </c>
      <c r="AA120" t="s">
        <v>2689</v>
      </c>
      <c r="AC120" t="s">
        <v>2689</v>
      </c>
      <c r="AD120" t="s">
        <v>2689</v>
      </c>
      <c r="AE120">
        <v>175</v>
      </c>
      <c r="AF120" t="s">
        <v>2689</v>
      </c>
      <c r="AH120">
        <v>106.04</v>
      </c>
      <c r="AI120" t="s">
        <v>2690</v>
      </c>
      <c r="AJ120" t="s">
        <v>2690</v>
      </c>
      <c r="AK120" t="s">
        <v>2690</v>
      </c>
      <c r="AL120" t="s">
        <v>2690</v>
      </c>
      <c r="AP120">
        <v>281.04000000000002</v>
      </c>
      <c r="AR120" s="23">
        <v>0.62652777777777779</v>
      </c>
      <c r="AS120" s="23">
        <v>0.82733796296296291</v>
      </c>
      <c r="AT120" s="23">
        <v>0.625</v>
      </c>
      <c r="AU120" s="23">
        <v>0.85416666666666663</v>
      </c>
      <c r="AV120" t="s">
        <v>2706</v>
      </c>
      <c r="BA120" t="s">
        <v>2861</v>
      </c>
      <c r="BD120" t="s">
        <v>2482</v>
      </c>
      <c r="BE120" t="s">
        <v>2478</v>
      </c>
      <c r="BG120">
        <v>0</v>
      </c>
      <c r="BH120">
        <v>0</v>
      </c>
      <c r="BJ120">
        <v>0</v>
      </c>
    </row>
    <row r="121" spans="1:62" x14ac:dyDescent="0.2">
      <c r="A121" t="s">
        <v>2469</v>
      </c>
      <c r="B121" t="s">
        <v>2477</v>
      </c>
      <c r="C121">
        <v>100052657</v>
      </c>
      <c r="D121" t="s">
        <v>2698</v>
      </c>
      <c r="E121" t="s">
        <v>2439</v>
      </c>
      <c r="F121" t="s">
        <v>2791</v>
      </c>
      <c r="G121" t="s">
        <v>2792</v>
      </c>
      <c r="H121" s="23">
        <v>0.79166666666666663</v>
      </c>
      <c r="I121" t="s">
        <v>2696</v>
      </c>
      <c r="J121" t="s">
        <v>2478</v>
      </c>
      <c r="K121" t="s">
        <v>2674</v>
      </c>
      <c r="L121" t="s">
        <v>2477</v>
      </c>
      <c r="M121" t="s">
        <v>2480</v>
      </c>
      <c r="N121" s="6">
        <v>46002</v>
      </c>
      <c r="O121" t="s">
        <v>2459</v>
      </c>
      <c r="P121" t="s">
        <v>2445</v>
      </c>
      <c r="Q121" s="23">
        <v>0.69263888888888892</v>
      </c>
      <c r="R121" s="23">
        <v>0.96273148148148147</v>
      </c>
      <c r="S121">
        <v>22</v>
      </c>
      <c r="T121">
        <v>1</v>
      </c>
      <c r="U121" t="s">
        <v>2481</v>
      </c>
      <c r="V121">
        <v>5.98</v>
      </c>
      <c r="W121">
        <v>5.98</v>
      </c>
      <c r="X121" t="s">
        <v>2689</v>
      </c>
      <c r="Y121" t="s">
        <v>2689</v>
      </c>
      <c r="Z121" t="s">
        <v>2689</v>
      </c>
      <c r="AA121" t="s">
        <v>2689</v>
      </c>
      <c r="AC121" t="s">
        <v>2689</v>
      </c>
      <c r="AD121" t="s">
        <v>2689</v>
      </c>
      <c r="AE121">
        <v>155</v>
      </c>
      <c r="AF121" t="s">
        <v>2689</v>
      </c>
      <c r="AH121">
        <v>131.56</v>
      </c>
      <c r="AI121" t="s">
        <v>2690</v>
      </c>
      <c r="AJ121" t="s">
        <v>2690</v>
      </c>
      <c r="AK121" t="s">
        <v>2690</v>
      </c>
      <c r="AL121" t="s">
        <v>2690</v>
      </c>
      <c r="AP121">
        <v>286.56</v>
      </c>
      <c r="AR121" s="23">
        <v>0.69263888888888892</v>
      </c>
      <c r="AS121" s="23">
        <v>0.96273148148148147</v>
      </c>
      <c r="AT121" s="23">
        <v>0.6875</v>
      </c>
      <c r="AU121" s="23">
        <v>2.0833333333333332E-2</v>
      </c>
      <c r="AV121" t="s">
        <v>2706</v>
      </c>
      <c r="AY121">
        <v>0.5</v>
      </c>
      <c r="BA121" t="s">
        <v>2798</v>
      </c>
      <c r="BD121" t="s">
        <v>2482</v>
      </c>
      <c r="BE121" t="s">
        <v>2478</v>
      </c>
      <c r="BF121" t="s">
        <v>2446</v>
      </c>
      <c r="BG121">
        <v>0</v>
      </c>
      <c r="BH121">
        <v>0</v>
      </c>
      <c r="BJ121">
        <v>0</v>
      </c>
    </row>
    <row r="122" spans="1:62" x14ac:dyDescent="0.2">
      <c r="A122" t="s">
        <v>2469</v>
      </c>
      <c r="B122" t="s">
        <v>2477</v>
      </c>
      <c r="C122">
        <v>100052660</v>
      </c>
      <c r="D122" t="s">
        <v>2897</v>
      </c>
      <c r="E122" t="s">
        <v>2439</v>
      </c>
      <c r="F122" t="s">
        <v>2791</v>
      </c>
      <c r="G122" t="s">
        <v>2792</v>
      </c>
      <c r="H122" s="23">
        <v>0.79166666666666663</v>
      </c>
      <c r="I122" t="s">
        <v>2696</v>
      </c>
      <c r="J122" t="s">
        <v>2478</v>
      </c>
      <c r="K122" t="s">
        <v>2898</v>
      </c>
      <c r="L122" t="s">
        <v>2477</v>
      </c>
      <c r="M122" t="s">
        <v>2480</v>
      </c>
      <c r="N122" s="6">
        <v>46002</v>
      </c>
      <c r="O122" t="s">
        <v>2459</v>
      </c>
      <c r="P122" t="s">
        <v>2445</v>
      </c>
      <c r="Q122" s="23">
        <v>0.69292824074074078</v>
      </c>
      <c r="R122" s="23">
        <v>0.97898148148148145</v>
      </c>
      <c r="S122">
        <v>22</v>
      </c>
      <c r="T122">
        <v>1</v>
      </c>
      <c r="U122" t="s">
        <v>2481</v>
      </c>
      <c r="V122">
        <v>6.37</v>
      </c>
      <c r="W122">
        <v>6.37</v>
      </c>
      <c r="X122" t="s">
        <v>2689</v>
      </c>
      <c r="Y122" t="s">
        <v>2689</v>
      </c>
      <c r="Z122" t="s">
        <v>2689</v>
      </c>
      <c r="AA122" t="s">
        <v>2689</v>
      </c>
      <c r="AC122" t="s">
        <v>2689</v>
      </c>
      <c r="AD122" t="s">
        <v>2689</v>
      </c>
      <c r="AE122">
        <v>175</v>
      </c>
      <c r="AF122" t="s">
        <v>2689</v>
      </c>
      <c r="AH122">
        <v>140.13999999999999</v>
      </c>
      <c r="AI122" t="s">
        <v>2690</v>
      </c>
      <c r="AJ122" t="s">
        <v>2690</v>
      </c>
      <c r="AK122" t="s">
        <v>2690</v>
      </c>
      <c r="AL122" t="s">
        <v>2690</v>
      </c>
      <c r="AP122">
        <v>315.14</v>
      </c>
      <c r="AR122" s="23">
        <v>0.69292824074074078</v>
      </c>
      <c r="AS122" s="23">
        <v>0.97898148148148145</v>
      </c>
      <c r="AT122" s="23">
        <v>0.6875</v>
      </c>
      <c r="AU122" s="24">
        <v>1</v>
      </c>
      <c r="AV122" t="s">
        <v>2706</v>
      </c>
      <c r="AY122">
        <v>0.5</v>
      </c>
      <c r="AZ122" t="s">
        <v>2899</v>
      </c>
      <c r="BA122" t="s">
        <v>2798</v>
      </c>
      <c r="BD122" t="s">
        <v>2482</v>
      </c>
      <c r="BE122" t="s">
        <v>2478</v>
      </c>
      <c r="BG122">
        <v>0</v>
      </c>
      <c r="BH122">
        <v>0</v>
      </c>
      <c r="BJ122">
        <v>0</v>
      </c>
    </row>
    <row r="123" spans="1:62" x14ac:dyDescent="0.2">
      <c r="A123" t="s">
        <v>2469</v>
      </c>
      <c r="B123" t="s">
        <v>2477</v>
      </c>
      <c r="C123">
        <v>100054466</v>
      </c>
      <c r="D123" t="s">
        <v>2900</v>
      </c>
      <c r="E123" t="s">
        <v>2439</v>
      </c>
      <c r="F123" t="s">
        <v>2791</v>
      </c>
      <c r="G123" t="s">
        <v>2792</v>
      </c>
      <c r="H123" s="23">
        <v>0.79166666666666663</v>
      </c>
      <c r="I123" t="s">
        <v>2696</v>
      </c>
      <c r="J123" t="s">
        <v>2478</v>
      </c>
      <c r="K123" t="s">
        <v>2901</v>
      </c>
      <c r="L123" t="s">
        <v>2477</v>
      </c>
      <c r="M123" t="s">
        <v>2480</v>
      </c>
      <c r="N123" s="6">
        <v>46002</v>
      </c>
      <c r="O123" t="s">
        <v>2459</v>
      </c>
      <c r="P123" t="s">
        <v>2445</v>
      </c>
      <c r="Q123" s="23">
        <v>0.71057870370370368</v>
      </c>
      <c r="R123" s="23">
        <v>0.96292824074074079</v>
      </c>
      <c r="S123">
        <v>22</v>
      </c>
      <c r="T123">
        <v>1</v>
      </c>
      <c r="U123" t="s">
        <v>2481</v>
      </c>
      <c r="V123">
        <v>5.45</v>
      </c>
      <c r="W123">
        <v>5.45</v>
      </c>
      <c r="X123" t="s">
        <v>2689</v>
      </c>
      <c r="Y123" t="s">
        <v>2689</v>
      </c>
      <c r="Z123" t="s">
        <v>2689</v>
      </c>
      <c r="AA123" t="s">
        <v>2689</v>
      </c>
      <c r="AC123" t="s">
        <v>2689</v>
      </c>
      <c r="AD123" t="s">
        <v>2689</v>
      </c>
      <c r="AE123">
        <v>175</v>
      </c>
      <c r="AF123" t="s">
        <v>2689</v>
      </c>
      <c r="AH123">
        <v>119.9</v>
      </c>
      <c r="AI123" t="s">
        <v>2690</v>
      </c>
      <c r="AJ123" t="s">
        <v>2690</v>
      </c>
      <c r="AK123" t="s">
        <v>2690</v>
      </c>
      <c r="AL123" t="s">
        <v>2690</v>
      </c>
      <c r="AP123">
        <v>294.89999999999998</v>
      </c>
      <c r="AQ123" t="s">
        <v>2442</v>
      </c>
      <c r="AR123" s="23">
        <v>0.71057870370370368</v>
      </c>
      <c r="AS123" s="23">
        <v>0.96292824074074079</v>
      </c>
      <c r="AT123" s="23">
        <v>0.6875</v>
      </c>
      <c r="AU123" s="24">
        <v>1</v>
      </c>
      <c r="AV123" t="s">
        <v>2706</v>
      </c>
      <c r="AY123">
        <v>0.6</v>
      </c>
      <c r="AZ123" t="s">
        <v>2902</v>
      </c>
      <c r="BA123" t="s">
        <v>2798</v>
      </c>
      <c r="BD123" t="s">
        <v>2482</v>
      </c>
      <c r="BE123" t="s">
        <v>2478</v>
      </c>
      <c r="BG123">
        <v>0</v>
      </c>
      <c r="BH123">
        <v>0</v>
      </c>
      <c r="BJ123">
        <v>0</v>
      </c>
    </row>
    <row r="124" spans="1:62" x14ac:dyDescent="0.2">
      <c r="A124" t="s">
        <v>2469</v>
      </c>
      <c r="B124" t="s">
        <v>2477</v>
      </c>
      <c r="C124">
        <v>100054466</v>
      </c>
      <c r="D124" t="s">
        <v>2900</v>
      </c>
      <c r="E124" t="s">
        <v>2439</v>
      </c>
      <c r="F124" t="s">
        <v>2811</v>
      </c>
      <c r="G124" t="s">
        <v>2812</v>
      </c>
      <c r="H124" s="23">
        <v>0.6875</v>
      </c>
      <c r="I124" t="s">
        <v>2696</v>
      </c>
      <c r="J124" t="s">
        <v>2478</v>
      </c>
      <c r="K124" t="s">
        <v>2491</v>
      </c>
      <c r="L124" t="s">
        <v>2477</v>
      </c>
      <c r="M124" t="s">
        <v>2480</v>
      </c>
      <c r="N124" s="6">
        <v>46005</v>
      </c>
      <c r="O124" t="s">
        <v>2461</v>
      </c>
      <c r="P124" t="s">
        <v>2442</v>
      </c>
      <c r="Q124" s="23">
        <v>0.61922453703703706</v>
      </c>
      <c r="R124" s="23">
        <v>0.8739351851851852</v>
      </c>
      <c r="S124">
        <v>17.87</v>
      </c>
      <c r="T124">
        <v>1</v>
      </c>
      <c r="U124" t="s">
        <v>2472</v>
      </c>
      <c r="V124">
        <v>5.61</v>
      </c>
      <c r="W124">
        <v>5.61</v>
      </c>
      <c r="X124" t="s">
        <v>2689</v>
      </c>
      <c r="Y124" t="s">
        <v>2689</v>
      </c>
      <c r="Z124" t="s">
        <v>2689</v>
      </c>
      <c r="AA124" t="s">
        <v>2689</v>
      </c>
      <c r="AC124" t="s">
        <v>2689</v>
      </c>
      <c r="AD124" t="s">
        <v>2689</v>
      </c>
      <c r="AE124">
        <v>175</v>
      </c>
      <c r="AF124" t="s">
        <v>2689</v>
      </c>
      <c r="AH124">
        <v>100.25</v>
      </c>
      <c r="AI124" t="s">
        <v>2690</v>
      </c>
      <c r="AJ124" t="s">
        <v>2690</v>
      </c>
      <c r="AK124" t="s">
        <v>2690</v>
      </c>
      <c r="AL124" t="s">
        <v>2690</v>
      </c>
      <c r="AP124">
        <v>275.25</v>
      </c>
      <c r="AQ124" t="s">
        <v>2442</v>
      </c>
      <c r="AR124" s="23">
        <v>0.61922453703703706</v>
      </c>
      <c r="AS124" s="23">
        <v>0.8739351851851852</v>
      </c>
      <c r="AT124" s="23">
        <v>0.60416666666666663</v>
      </c>
      <c r="AU124" s="23">
        <v>0.89583333333333337</v>
      </c>
      <c r="AV124" t="s">
        <v>2706</v>
      </c>
      <c r="AY124">
        <v>0.5</v>
      </c>
      <c r="AZ124" t="s">
        <v>2903</v>
      </c>
      <c r="BA124" t="s">
        <v>2798</v>
      </c>
      <c r="BD124" t="s">
        <v>2482</v>
      </c>
      <c r="BE124" t="s">
        <v>2478</v>
      </c>
      <c r="BG124">
        <v>0</v>
      </c>
      <c r="BH124">
        <v>0</v>
      </c>
      <c r="BJ124">
        <v>0</v>
      </c>
    </row>
    <row r="125" spans="1:62" x14ac:dyDescent="0.2">
      <c r="A125" t="s">
        <v>2469</v>
      </c>
      <c r="B125" t="s">
        <v>2477</v>
      </c>
      <c r="C125">
        <v>100054540</v>
      </c>
      <c r="D125" t="s">
        <v>2904</v>
      </c>
      <c r="E125" t="s">
        <v>2439</v>
      </c>
      <c r="F125" t="s">
        <v>2791</v>
      </c>
      <c r="G125" t="s">
        <v>2792</v>
      </c>
      <c r="H125" s="23">
        <v>0.79166666666666663</v>
      </c>
      <c r="I125" t="s">
        <v>2696</v>
      </c>
      <c r="J125" t="s">
        <v>2478</v>
      </c>
      <c r="K125" t="s">
        <v>2719</v>
      </c>
      <c r="L125" t="s">
        <v>2477</v>
      </c>
      <c r="M125" t="s">
        <v>2480</v>
      </c>
      <c r="N125" s="6">
        <v>46002</v>
      </c>
      <c r="O125" t="s">
        <v>2459</v>
      </c>
      <c r="P125" t="s">
        <v>2445</v>
      </c>
      <c r="Q125" s="23">
        <v>0.68094907407407412</v>
      </c>
      <c r="R125" s="23">
        <v>0.98496527777777776</v>
      </c>
      <c r="S125">
        <v>22</v>
      </c>
      <c r="T125">
        <v>1</v>
      </c>
      <c r="U125" t="s">
        <v>2481</v>
      </c>
      <c r="V125">
        <v>6.8</v>
      </c>
      <c r="W125">
        <v>6.8</v>
      </c>
      <c r="X125" t="s">
        <v>2689</v>
      </c>
      <c r="Y125" t="s">
        <v>2689</v>
      </c>
      <c r="Z125" t="s">
        <v>2689</v>
      </c>
      <c r="AA125" t="s">
        <v>2689</v>
      </c>
      <c r="AC125" t="s">
        <v>2689</v>
      </c>
      <c r="AD125" t="s">
        <v>2689</v>
      </c>
      <c r="AE125">
        <v>175</v>
      </c>
      <c r="AF125" t="s">
        <v>2689</v>
      </c>
      <c r="AH125">
        <v>149.6</v>
      </c>
      <c r="AI125" t="s">
        <v>2690</v>
      </c>
      <c r="AJ125" t="s">
        <v>2690</v>
      </c>
      <c r="AK125" t="s">
        <v>2690</v>
      </c>
      <c r="AL125" t="s">
        <v>2690</v>
      </c>
      <c r="AP125">
        <v>324.60000000000002</v>
      </c>
      <c r="AR125" s="23">
        <v>0.68094907407407412</v>
      </c>
      <c r="AS125" s="23">
        <v>0.98496527777777776</v>
      </c>
      <c r="AT125" s="23">
        <v>0.6875</v>
      </c>
      <c r="AU125" s="23">
        <v>2.0833333333333332E-2</v>
      </c>
      <c r="AV125" t="s">
        <v>2706</v>
      </c>
      <c r="AY125">
        <v>0.5</v>
      </c>
      <c r="AZ125" t="s">
        <v>2905</v>
      </c>
      <c r="BA125" t="s">
        <v>2798</v>
      </c>
      <c r="BD125" t="s">
        <v>2482</v>
      </c>
      <c r="BE125" t="s">
        <v>2478</v>
      </c>
      <c r="BG125">
        <v>0</v>
      </c>
      <c r="BH125">
        <v>0</v>
      </c>
      <c r="BJ125">
        <v>0</v>
      </c>
    </row>
    <row r="126" spans="1:62" x14ac:dyDescent="0.2">
      <c r="A126" t="s">
        <v>2469</v>
      </c>
      <c r="B126" t="s">
        <v>2477</v>
      </c>
      <c r="C126">
        <v>100059508</v>
      </c>
      <c r="D126" t="s">
        <v>2494</v>
      </c>
      <c r="E126" t="s">
        <v>2439</v>
      </c>
      <c r="F126" t="s">
        <v>2791</v>
      </c>
      <c r="G126" t="s">
        <v>2792</v>
      </c>
      <c r="H126" s="23">
        <v>0.79166666666666663</v>
      </c>
      <c r="I126" t="s">
        <v>2696</v>
      </c>
      <c r="J126" t="s">
        <v>2478</v>
      </c>
      <c r="K126" t="s">
        <v>2906</v>
      </c>
      <c r="L126" t="s">
        <v>2477</v>
      </c>
      <c r="M126" t="s">
        <v>2480</v>
      </c>
      <c r="N126" s="6">
        <v>46002</v>
      </c>
      <c r="O126" t="s">
        <v>2459</v>
      </c>
      <c r="P126" t="s">
        <v>2445</v>
      </c>
      <c r="Q126" s="23">
        <v>0.68137731481481478</v>
      </c>
      <c r="R126" s="23">
        <v>0.96322916666666669</v>
      </c>
      <c r="S126">
        <v>22</v>
      </c>
      <c r="T126">
        <v>1</v>
      </c>
      <c r="U126" t="s">
        <v>2481</v>
      </c>
      <c r="V126">
        <v>6.26</v>
      </c>
      <c r="W126">
        <v>6.26</v>
      </c>
      <c r="X126" t="s">
        <v>2689</v>
      </c>
      <c r="Y126" t="s">
        <v>2689</v>
      </c>
      <c r="Z126" t="s">
        <v>2689</v>
      </c>
      <c r="AA126" t="s">
        <v>2689</v>
      </c>
      <c r="AC126" t="s">
        <v>2689</v>
      </c>
      <c r="AD126" t="s">
        <v>2689</v>
      </c>
      <c r="AE126">
        <v>175</v>
      </c>
      <c r="AF126" t="s">
        <v>2689</v>
      </c>
      <c r="AH126">
        <v>137.72</v>
      </c>
      <c r="AI126" t="s">
        <v>2690</v>
      </c>
      <c r="AJ126" t="s">
        <v>2690</v>
      </c>
      <c r="AK126" t="s">
        <v>2690</v>
      </c>
      <c r="AL126" t="s">
        <v>2690</v>
      </c>
      <c r="AP126">
        <v>312.72000000000003</v>
      </c>
      <c r="AR126" s="23">
        <v>0.68137731481481478</v>
      </c>
      <c r="AS126" s="23">
        <v>0.96322916666666669</v>
      </c>
      <c r="AT126" s="23">
        <v>0.6875</v>
      </c>
      <c r="AU126" s="24">
        <v>1</v>
      </c>
      <c r="AV126" t="s">
        <v>2706</v>
      </c>
      <c r="AY126">
        <v>0.5</v>
      </c>
      <c r="AZ126" t="s">
        <v>2907</v>
      </c>
      <c r="BA126" t="s">
        <v>2798</v>
      </c>
      <c r="BD126" t="s">
        <v>2482</v>
      </c>
      <c r="BE126" t="s">
        <v>2478</v>
      </c>
      <c r="BG126">
        <v>0</v>
      </c>
      <c r="BH126">
        <v>0</v>
      </c>
      <c r="BJ126">
        <v>0</v>
      </c>
    </row>
    <row r="127" spans="1:62" x14ac:dyDescent="0.2">
      <c r="A127" t="s">
        <v>2469</v>
      </c>
      <c r="B127" t="s">
        <v>2477</v>
      </c>
      <c r="C127">
        <v>100059520</v>
      </c>
      <c r="D127" t="s">
        <v>2908</v>
      </c>
      <c r="E127" t="s">
        <v>2439</v>
      </c>
      <c r="F127" t="s">
        <v>2791</v>
      </c>
      <c r="G127" t="s">
        <v>2792</v>
      </c>
      <c r="H127" s="23">
        <v>0.79166666666666663</v>
      </c>
      <c r="I127" t="s">
        <v>2696</v>
      </c>
      <c r="J127" t="s">
        <v>2478</v>
      </c>
      <c r="K127" t="s">
        <v>2489</v>
      </c>
      <c r="L127" t="s">
        <v>2477</v>
      </c>
      <c r="M127" t="s">
        <v>2480</v>
      </c>
      <c r="N127" s="6">
        <v>46002</v>
      </c>
      <c r="O127" t="s">
        <v>2459</v>
      </c>
      <c r="P127" t="s">
        <v>2445</v>
      </c>
      <c r="Q127" s="23">
        <v>0.69590277777777776</v>
      </c>
      <c r="R127" s="23">
        <v>0.94765046296296296</v>
      </c>
      <c r="S127">
        <v>22</v>
      </c>
      <c r="T127">
        <v>1</v>
      </c>
      <c r="U127" t="s">
        <v>2481</v>
      </c>
      <c r="V127">
        <v>5.54</v>
      </c>
      <c r="W127">
        <v>5.54</v>
      </c>
      <c r="X127" t="s">
        <v>2689</v>
      </c>
      <c r="Y127" t="s">
        <v>2689</v>
      </c>
      <c r="Z127" t="s">
        <v>2689</v>
      </c>
      <c r="AA127" t="s">
        <v>2689</v>
      </c>
      <c r="AC127" t="s">
        <v>2689</v>
      </c>
      <c r="AD127" t="s">
        <v>2689</v>
      </c>
      <c r="AE127">
        <v>155</v>
      </c>
      <c r="AF127" t="s">
        <v>2689</v>
      </c>
      <c r="AH127">
        <v>121.88</v>
      </c>
      <c r="AI127" t="s">
        <v>2690</v>
      </c>
      <c r="AJ127" t="s">
        <v>2690</v>
      </c>
      <c r="AK127" t="s">
        <v>2690</v>
      </c>
      <c r="AL127" t="s">
        <v>2690</v>
      </c>
      <c r="AP127">
        <v>276.88</v>
      </c>
      <c r="AQ127" t="s">
        <v>2442</v>
      </c>
      <c r="AR127" s="23">
        <v>0.69590277777777776</v>
      </c>
      <c r="AS127" s="23">
        <v>0.94765046296296296</v>
      </c>
      <c r="AT127" s="23">
        <v>0.6875</v>
      </c>
      <c r="AU127" s="23">
        <v>2.0833333333333332E-2</v>
      </c>
      <c r="AV127" t="s">
        <v>2706</v>
      </c>
      <c r="AY127">
        <v>0.5</v>
      </c>
      <c r="AZ127" t="s">
        <v>2909</v>
      </c>
      <c r="BA127" t="s">
        <v>2798</v>
      </c>
      <c r="BD127" t="s">
        <v>2482</v>
      </c>
      <c r="BE127" t="s">
        <v>2478</v>
      </c>
      <c r="BG127">
        <v>0</v>
      </c>
      <c r="BH127">
        <v>0</v>
      </c>
      <c r="BJ127">
        <v>0</v>
      </c>
    </row>
    <row r="128" spans="1:62" x14ac:dyDescent="0.2">
      <c r="A128" t="s">
        <v>2469</v>
      </c>
      <c r="B128" t="s">
        <v>2477</v>
      </c>
      <c r="C128">
        <v>100064556</v>
      </c>
      <c r="D128" t="s">
        <v>2713</v>
      </c>
      <c r="E128" t="s">
        <v>2439</v>
      </c>
      <c r="F128" t="s">
        <v>2804</v>
      </c>
      <c r="G128" t="s">
        <v>2805</v>
      </c>
      <c r="H128" s="23">
        <v>0.70833333333333337</v>
      </c>
      <c r="I128" t="s">
        <v>2696</v>
      </c>
      <c r="J128" t="s">
        <v>2535</v>
      </c>
      <c r="K128" t="s">
        <v>2536</v>
      </c>
      <c r="L128" t="s">
        <v>2477</v>
      </c>
      <c r="M128" t="s">
        <v>2537</v>
      </c>
      <c r="N128" s="6">
        <v>45995</v>
      </c>
      <c r="O128" t="s">
        <v>2459</v>
      </c>
      <c r="P128" t="s">
        <v>2445</v>
      </c>
      <c r="Q128" s="23">
        <v>0.53577546296296297</v>
      </c>
      <c r="R128" s="23">
        <v>0.84255787037037033</v>
      </c>
      <c r="S128">
        <v>20</v>
      </c>
      <c r="T128" t="s">
        <v>2443</v>
      </c>
      <c r="U128" t="s">
        <v>2496</v>
      </c>
      <c r="V128">
        <v>6.86</v>
      </c>
      <c r="W128">
        <v>6.86</v>
      </c>
      <c r="X128" t="s">
        <v>2689</v>
      </c>
      <c r="Y128" t="s">
        <v>2689</v>
      </c>
      <c r="Z128" t="s">
        <v>2689</v>
      </c>
      <c r="AA128" t="s">
        <v>2689</v>
      </c>
      <c r="AC128" t="s">
        <v>2689</v>
      </c>
      <c r="AD128" t="s">
        <v>2689</v>
      </c>
      <c r="AE128" t="s">
        <v>2689</v>
      </c>
      <c r="AF128" t="s">
        <v>2689</v>
      </c>
      <c r="AH128">
        <v>137.19999999999999</v>
      </c>
      <c r="AI128" t="s">
        <v>2690</v>
      </c>
      <c r="AJ128" t="s">
        <v>2690</v>
      </c>
      <c r="AK128" t="s">
        <v>2690</v>
      </c>
      <c r="AL128" t="s">
        <v>2690</v>
      </c>
      <c r="AP128">
        <v>137.19999999999999</v>
      </c>
      <c r="AR128" s="23">
        <v>0.53577546296296297</v>
      </c>
      <c r="AS128" s="23">
        <v>0.84255787037037033</v>
      </c>
      <c r="AT128" s="23">
        <v>0.54166666666666663</v>
      </c>
      <c r="AU128" s="23">
        <v>0.875</v>
      </c>
      <c r="AV128" t="s">
        <v>2706</v>
      </c>
      <c r="AY128">
        <v>0.5</v>
      </c>
      <c r="BA128" t="s">
        <v>2754</v>
      </c>
      <c r="BD128" t="s">
        <v>2530</v>
      </c>
      <c r="BE128" t="s">
        <v>2528</v>
      </c>
      <c r="BF128" t="s">
        <v>2446</v>
      </c>
      <c r="BG128">
        <v>0</v>
      </c>
      <c r="BH128">
        <v>0</v>
      </c>
      <c r="BJ128">
        <v>0</v>
      </c>
    </row>
    <row r="129" spans="1:62" x14ac:dyDescent="0.2">
      <c r="A129" t="s">
        <v>2469</v>
      </c>
      <c r="B129" t="s">
        <v>2477</v>
      </c>
      <c r="C129">
        <v>100064556</v>
      </c>
      <c r="D129" t="s">
        <v>2713</v>
      </c>
      <c r="E129" t="s">
        <v>2439</v>
      </c>
      <c r="F129" t="s">
        <v>2791</v>
      </c>
      <c r="G129" t="s">
        <v>2792</v>
      </c>
      <c r="H129" s="23">
        <v>0.79166666666666663</v>
      </c>
      <c r="I129" t="s">
        <v>2696</v>
      </c>
      <c r="J129" t="s">
        <v>2535</v>
      </c>
      <c r="K129" t="s">
        <v>2854</v>
      </c>
      <c r="L129" t="s">
        <v>2477</v>
      </c>
      <c r="N129" s="6">
        <v>46002</v>
      </c>
      <c r="O129" t="s">
        <v>2459</v>
      </c>
      <c r="P129" t="s">
        <v>2445</v>
      </c>
      <c r="Q129" s="23">
        <v>0.66258101851851847</v>
      </c>
      <c r="R129" s="23">
        <v>6.9444444444444447E-4</v>
      </c>
      <c r="S129">
        <v>20</v>
      </c>
      <c r="T129" t="s">
        <v>2443</v>
      </c>
      <c r="U129" t="s">
        <v>2496</v>
      </c>
      <c r="V129">
        <v>7.61</v>
      </c>
      <c r="W129">
        <v>7.61</v>
      </c>
      <c r="X129" t="s">
        <v>2689</v>
      </c>
      <c r="Y129" t="s">
        <v>2689</v>
      </c>
      <c r="Z129" t="s">
        <v>2689</v>
      </c>
      <c r="AA129" t="s">
        <v>2689</v>
      </c>
      <c r="AC129" t="s">
        <v>2689</v>
      </c>
      <c r="AD129" t="s">
        <v>2689</v>
      </c>
      <c r="AE129" t="s">
        <v>2689</v>
      </c>
      <c r="AF129" t="s">
        <v>2689</v>
      </c>
      <c r="AH129">
        <v>152.19999999999999</v>
      </c>
      <c r="AI129" t="s">
        <v>2690</v>
      </c>
      <c r="AJ129" t="s">
        <v>2690</v>
      </c>
      <c r="AK129" t="s">
        <v>2690</v>
      </c>
      <c r="AL129" t="s">
        <v>2690</v>
      </c>
      <c r="AP129">
        <v>152.19999999999999</v>
      </c>
      <c r="AR129" s="23">
        <v>0.66258101851851847</v>
      </c>
      <c r="AT129" s="23">
        <v>0.66666666666666663</v>
      </c>
      <c r="AU129" s="24">
        <v>1</v>
      </c>
      <c r="AV129" t="s">
        <v>2706</v>
      </c>
      <c r="AY129">
        <v>0.5</v>
      </c>
      <c r="BA129" t="s">
        <v>2798</v>
      </c>
      <c r="BD129" t="s">
        <v>2530</v>
      </c>
      <c r="BE129" t="s">
        <v>2528</v>
      </c>
      <c r="BF129" t="s">
        <v>2446</v>
      </c>
      <c r="BG129">
        <v>0</v>
      </c>
      <c r="BH129">
        <v>0</v>
      </c>
      <c r="BJ129">
        <v>0</v>
      </c>
    </row>
    <row r="130" spans="1:62" x14ac:dyDescent="0.2">
      <c r="A130" t="s">
        <v>2469</v>
      </c>
      <c r="B130" t="s">
        <v>2477</v>
      </c>
      <c r="C130">
        <v>100064556</v>
      </c>
      <c r="D130" t="s">
        <v>2713</v>
      </c>
      <c r="E130" t="s">
        <v>2439</v>
      </c>
      <c r="F130" t="s">
        <v>2811</v>
      </c>
      <c r="G130" t="s">
        <v>2812</v>
      </c>
      <c r="H130" s="23">
        <v>0.6875</v>
      </c>
      <c r="I130" t="s">
        <v>2696</v>
      </c>
      <c r="J130" t="s">
        <v>2535</v>
      </c>
      <c r="K130" t="s">
        <v>2536</v>
      </c>
      <c r="L130" t="s">
        <v>2477</v>
      </c>
      <c r="M130" t="s">
        <v>2537</v>
      </c>
      <c r="N130" s="6">
        <v>46005</v>
      </c>
      <c r="O130" t="s">
        <v>2461</v>
      </c>
      <c r="P130" t="s">
        <v>2442</v>
      </c>
      <c r="Q130" s="23">
        <v>0.56723379629629633</v>
      </c>
      <c r="R130" s="23">
        <v>0.89087962962962963</v>
      </c>
      <c r="S130">
        <v>20</v>
      </c>
      <c r="T130" t="s">
        <v>2443</v>
      </c>
      <c r="U130" t="s">
        <v>2496</v>
      </c>
      <c r="V130">
        <v>7.27</v>
      </c>
      <c r="W130">
        <v>7.27</v>
      </c>
      <c r="X130" t="s">
        <v>2689</v>
      </c>
      <c r="Y130" t="s">
        <v>2689</v>
      </c>
      <c r="Z130" t="s">
        <v>2689</v>
      </c>
      <c r="AA130" t="s">
        <v>2689</v>
      </c>
      <c r="AC130" t="s">
        <v>2689</v>
      </c>
      <c r="AD130" t="s">
        <v>2689</v>
      </c>
      <c r="AE130" t="s">
        <v>2689</v>
      </c>
      <c r="AF130" t="s">
        <v>2689</v>
      </c>
      <c r="AH130">
        <v>145.4</v>
      </c>
      <c r="AI130" t="s">
        <v>2690</v>
      </c>
      <c r="AJ130" t="s">
        <v>2690</v>
      </c>
      <c r="AK130" t="s">
        <v>2690</v>
      </c>
      <c r="AL130" t="s">
        <v>2690</v>
      </c>
      <c r="AP130">
        <v>145.4</v>
      </c>
      <c r="AR130" s="23">
        <v>0.56723379629629633</v>
      </c>
      <c r="AS130" s="23">
        <v>0.89087962962962963</v>
      </c>
      <c r="AT130" s="23">
        <v>0.5625</v>
      </c>
      <c r="AU130" s="23">
        <v>0.89583333333333337</v>
      </c>
      <c r="AV130" t="s">
        <v>2706</v>
      </c>
      <c r="AY130">
        <v>0.5</v>
      </c>
      <c r="AZ130" t="s">
        <v>2910</v>
      </c>
      <c r="BA130" t="s">
        <v>2798</v>
      </c>
      <c r="BD130" t="s">
        <v>2530</v>
      </c>
      <c r="BE130" t="s">
        <v>2528</v>
      </c>
      <c r="BF130" t="s">
        <v>2446</v>
      </c>
      <c r="BG130">
        <v>0</v>
      </c>
      <c r="BH130">
        <v>0</v>
      </c>
      <c r="BJ130">
        <v>0</v>
      </c>
    </row>
    <row r="131" spans="1:62" x14ac:dyDescent="0.2">
      <c r="A131" t="s">
        <v>2477</v>
      </c>
      <c r="B131" t="s">
        <v>2477</v>
      </c>
      <c r="C131">
        <v>100064800</v>
      </c>
      <c r="D131" t="s">
        <v>2715</v>
      </c>
      <c r="E131" t="s">
        <v>2439</v>
      </c>
      <c r="F131" t="s">
        <v>2452</v>
      </c>
      <c r="G131" t="s">
        <v>2453</v>
      </c>
      <c r="H131" s="23">
        <v>0.33333333333333331</v>
      </c>
      <c r="I131" t="s">
        <v>2688</v>
      </c>
      <c r="J131" t="s">
        <v>2518</v>
      </c>
      <c r="K131" t="s">
        <v>2519</v>
      </c>
      <c r="L131" t="s">
        <v>2477</v>
      </c>
      <c r="M131" t="s">
        <v>2480</v>
      </c>
      <c r="N131" s="6">
        <v>45992</v>
      </c>
      <c r="O131" t="s">
        <v>2455</v>
      </c>
      <c r="P131" t="s">
        <v>2445</v>
      </c>
      <c r="Q131" s="23">
        <v>0.41723379629629631</v>
      </c>
      <c r="R131" s="23">
        <v>0.66652777777777783</v>
      </c>
      <c r="S131">
        <v>22.5</v>
      </c>
      <c r="T131">
        <v>1</v>
      </c>
      <c r="U131" t="s">
        <v>2520</v>
      </c>
      <c r="V131">
        <v>5.98</v>
      </c>
      <c r="W131">
        <v>5.98</v>
      </c>
      <c r="X131" t="s">
        <v>2689</v>
      </c>
      <c r="Y131" t="s">
        <v>2689</v>
      </c>
      <c r="Z131" t="s">
        <v>2689</v>
      </c>
      <c r="AA131" t="s">
        <v>2689</v>
      </c>
      <c r="AC131" t="s">
        <v>2689</v>
      </c>
      <c r="AD131" t="s">
        <v>2689</v>
      </c>
      <c r="AE131" t="s">
        <v>2689</v>
      </c>
      <c r="AF131" t="s">
        <v>2689</v>
      </c>
      <c r="AH131">
        <v>134.55000000000001</v>
      </c>
      <c r="AI131" t="s">
        <v>2690</v>
      </c>
      <c r="AJ131" t="s">
        <v>2690</v>
      </c>
      <c r="AK131" t="s">
        <v>2690</v>
      </c>
      <c r="AL131" t="s">
        <v>2690</v>
      </c>
      <c r="AP131">
        <v>134.55000000000001</v>
      </c>
      <c r="AR131" s="23">
        <v>0.41723379629629631</v>
      </c>
      <c r="AS131" s="23">
        <v>0.66652777777777783</v>
      </c>
      <c r="AT131" s="23">
        <v>0.41666666666666669</v>
      </c>
      <c r="AU131" s="23">
        <v>0.66666666666666663</v>
      </c>
      <c r="AV131" t="s">
        <v>2507</v>
      </c>
      <c r="BA131" t="s">
        <v>2692</v>
      </c>
      <c r="BD131" t="s">
        <v>2521</v>
      </c>
      <c r="BE131" t="s">
        <v>2522</v>
      </c>
      <c r="BG131">
        <v>0</v>
      </c>
      <c r="BH131">
        <v>0</v>
      </c>
      <c r="BJ131">
        <v>0</v>
      </c>
    </row>
    <row r="132" spans="1:62" x14ac:dyDescent="0.2">
      <c r="A132" t="s">
        <v>2477</v>
      </c>
      <c r="B132" t="s">
        <v>2477</v>
      </c>
      <c r="C132">
        <v>100064800</v>
      </c>
      <c r="D132" t="s">
        <v>2715</v>
      </c>
      <c r="E132" t="s">
        <v>2439</v>
      </c>
      <c r="F132" t="s">
        <v>2800</v>
      </c>
      <c r="G132" t="s">
        <v>2801</v>
      </c>
      <c r="H132" s="23">
        <v>0.66666666666666663</v>
      </c>
      <c r="I132" t="s">
        <v>2696</v>
      </c>
      <c r="J132" t="s">
        <v>2518</v>
      </c>
      <c r="K132" t="s">
        <v>2519</v>
      </c>
      <c r="L132" t="s">
        <v>2477</v>
      </c>
      <c r="M132" t="s">
        <v>2480</v>
      </c>
      <c r="N132" s="6">
        <v>45993</v>
      </c>
      <c r="O132" t="s">
        <v>2457</v>
      </c>
      <c r="P132" t="s">
        <v>2445</v>
      </c>
      <c r="Q132" s="23">
        <v>0.36917824074074074</v>
      </c>
      <c r="R132" s="23">
        <v>0.61861111111111111</v>
      </c>
      <c r="S132">
        <v>22.5</v>
      </c>
      <c r="T132">
        <v>1</v>
      </c>
      <c r="U132" t="s">
        <v>2520</v>
      </c>
      <c r="V132">
        <v>5.99</v>
      </c>
      <c r="W132">
        <v>5.99</v>
      </c>
      <c r="X132" t="s">
        <v>2689</v>
      </c>
      <c r="Y132" t="s">
        <v>2689</v>
      </c>
      <c r="Z132" t="s">
        <v>2689</v>
      </c>
      <c r="AA132" t="s">
        <v>2689</v>
      </c>
      <c r="AC132" t="s">
        <v>2689</v>
      </c>
      <c r="AD132" t="s">
        <v>2689</v>
      </c>
      <c r="AE132" t="s">
        <v>2689</v>
      </c>
      <c r="AF132" t="s">
        <v>2689</v>
      </c>
      <c r="AH132">
        <v>134.78</v>
      </c>
      <c r="AI132" t="s">
        <v>2690</v>
      </c>
      <c r="AJ132" t="s">
        <v>2690</v>
      </c>
      <c r="AK132" t="s">
        <v>2690</v>
      </c>
      <c r="AL132" t="s">
        <v>2690</v>
      </c>
      <c r="AP132">
        <v>134.78</v>
      </c>
      <c r="AR132" s="23">
        <v>0.36917824074074074</v>
      </c>
      <c r="AS132" s="23">
        <v>0.61861111111111111</v>
      </c>
      <c r="AT132" s="23">
        <v>0.375</v>
      </c>
      <c r="AU132" s="23">
        <v>0.625</v>
      </c>
      <c r="AV132" t="s">
        <v>2507</v>
      </c>
      <c r="BA132" t="s">
        <v>2752</v>
      </c>
      <c r="BD132" t="s">
        <v>2521</v>
      </c>
      <c r="BE132" t="s">
        <v>2522</v>
      </c>
      <c r="BG132">
        <v>0</v>
      </c>
      <c r="BH132">
        <v>0</v>
      </c>
      <c r="BJ132">
        <v>0</v>
      </c>
    </row>
    <row r="133" spans="1:62" x14ac:dyDescent="0.2">
      <c r="A133" t="s">
        <v>2477</v>
      </c>
      <c r="B133" t="s">
        <v>2477</v>
      </c>
      <c r="C133">
        <v>100064800</v>
      </c>
      <c r="D133" t="s">
        <v>2715</v>
      </c>
      <c r="E133" t="s">
        <v>2439</v>
      </c>
      <c r="F133" t="s">
        <v>2782</v>
      </c>
      <c r="G133" t="s">
        <v>2783</v>
      </c>
      <c r="H133" s="23">
        <v>0.70833333333333337</v>
      </c>
      <c r="I133" t="s">
        <v>2696</v>
      </c>
      <c r="J133" t="s">
        <v>2518</v>
      </c>
      <c r="K133" t="s">
        <v>2523</v>
      </c>
      <c r="L133" t="s">
        <v>2477</v>
      </c>
      <c r="M133" t="s">
        <v>2480</v>
      </c>
      <c r="N133" s="6">
        <v>45994</v>
      </c>
      <c r="O133" t="s">
        <v>2458</v>
      </c>
      <c r="P133" t="s">
        <v>2445</v>
      </c>
      <c r="Q133" s="23">
        <v>0.58356481481481481</v>
      </c>
      <c r="R133" s="23">
        <v>0.89583333333333337</v>
      </c>
      <c r="S133">
        <v>22.5</v>
      </c>
      <c r="T133">
        <v>1</v>
      </c>
      <c r="U133" t="s">
        <v>2520</v>
      </c>
      <c r="V133">
        <v>6.99</v>
      </c>
      <c r="W133">
        <v>6.99</v>
      </c>
      <c r="X133" t="s">
        <v>2689</v>
      </c>
      <c r="Y133" t="s">
        <v>2689</v>
      </c>
      <c r="Z133" t="s">
        <v>2689</v>
      </c>
      <c r="AA133" t="s">
        <v>2689</v>
      </c>
      <c r="AC133" t="s">
        <v>2689</v>
      </c>
      <c r="AD133" t="s">
        <v>2689</v>
      </c>
      <c r="AE133" t="s">
        <v>2689</v>
      </c>
      <c r="AF133" t="s">
        <v>2689</v>
      </c>
      <c r="AH133">
        <v>157.28</v>
      </c>
      <c r="AI133" t="s">
        <v>2690</v>
      </c>
      <c r="AJ133" t="s">
        <v>2690</v>
      </c>
      <c r="AK133" t="s">
        <v>2690</v>
      </c>
      <c r="AL133" t="s">
        <v>2690</v>
      </c>
      <c r="AP133">
        <v>157.28</v>
      </c>
      <c r="AR133" s="23">
        <v>0.58356481481481481</v>
      </c>
      <c r="AT133" s="23">
        <v>0.58333333333333337</v>
      </c>
      <c r="AU133" s="23">
        <v>0.875</v>
      </c>
      <c r="AV133" t="s">
        <v>2507</v>
      </c>
      <c r="AY133">
        <v>0.5</v>
      </c>
      <c r="AZ133" t="s">
        <v>2911</v>
      </c>
      <c r="BA133" t="s">
        <v>2754</v>
      </c>
      <c r="BD133" t="s">
        <v>2521</v>
      </c>
      <c r="BE133" t="s">
        <v>2522</v>
      </c>
      <c r="BF133" t="s">
        <v>2456</v>
      </c>
      <c r="BG133">
        <v>0</v>
      </c>
      <c r="BH133">
        <v>0</v>
      </c>
      <c r="BJ133">
        <v>0</v>
      </c>
    </row>
    <row r="134" spans="1:62" x14ac:dyDescent="0.2">
      <c r="A134" t="s">
        <v>2477</v>
      </c>
      <c r="B134" t="s">
        <v>2477</v>
      </c>
      <c r="C134">
        <v>100064800</v>
      </c>
      <c r="D134" t="s">
        <v>2715</v>
      </c>
      <c r="E134" t="s">
        <v>2439</v>
      </c>
      <c r="F134" t="s">
        <v>2452</v>
      </c>
      <c r="G134" t="s">
        <v>2453</v>
      </c>
      <c r="H134" s="23">
        <v>0.33333333333333331</v>
      </c>
      <c r="I134" t="s">
        <v>2688</v>
      </c>
      <c r="J134" t="s">
        <v>2518</v>
      </c>
      <c r="K134" t="s">
        <v>2524</v>
      </c>
      <c r="L134" t="s">
        <v>2477</v>
      </c>
      <c r="M134" t="s">
        <v>2480</v>
      </c>
      <c r="N134" s="6">
        <v>45998</v>
      </c>
      <c r="O134" t="s">
        <v>2461</v>
      </c>
      <c r="P134" t="s">
        <v>2442</v>
      </c>
      <c r="Q134" s="23">
        <v>0.4098148148148148</v>
      </c>
      <c r="R134" s="23">
        <v>0.62678240740740743</v>
      </c>
      <c r="S134">
        <v>22.5</v>
      </c>
      <c r="T134">
        <v>1</v>
      </c>
      <c r="U134" t="s">
        <v>2520</v>
      </c>
      <c r="V134">
        <v>5.21</v>
      </c>
      <c r="W134">
        <v>5.21</v>
      </c>
      <c r="X134" t="s">
        <v>2689</v>
      </c>
      <c r="Y134" t="s">
        <v>2689</v>
      </c>
      <c r="Z134" t="s">
        <v>2689</v>
      </c>
      <c r="AA134" t="s">
        <v>2689</v>
      </c>
      <c r="AC134" t="s">
        <v>2689</v>
      </c>
      <c r="AD134" t="s">
        <v>2689</v>
      </c>
      <c r="AE134" t="s">
        <v>2689</v>
      </c>
      <c r="AF134" t="s">
        <v>2689</v>
      </c>
      <c r="AH134">
        <v>117.23</v>
      </c>
      <c r="AI134" t="s">
        <v>2690</v>
      </c>
      <c r="AJ134" t="s">
        <v>2690</v>
      </c>
      <c r="AK134" t="s">
        <v>2690</v>
      </c>
      <c r="AL134" t="s">
        <v>2690</v>
      </c>
      <c r="AP134">
        <v>117.23</v>
      </c>
      <c r="AR134" s="23">
        <v>0.4098148148148148</v>
      </c>
      <c r="AS134" s="23">
        <v>0.62678240740740743</v>
      </c>
      <c r="AT134" s="23">
        <v>0.41666666666666669</v>
      </c>
      <c r="AU134" s="23">
        <v>0.625</v>
      </c>
      <c r="AV134" t="s">
        <v>2507</v>
      </c>
      <c r="BA134" t="s">
        <v>2754</v>
      </c>
      <c r="BD134" t="s">
        <v>2521</v>
      </c>
      <c r="BE134" t="s">
        <v>2522</v>
      </c>
      <c r="BG134">
        <v>0</v>
      </c>
      <c r="BH134">
        <v>0</v>
      </c>
      <c r="BJ134">
        <v>0</v>
      </c>
    </row>
    <row r="135" spans="1:62" x14ac:dyDescent="0.2">
      <c r="A135" t="s">
        <v>2477</v>
      </c>
      <c r="B135" t="s">
        <v>2477</v>
      </c>
      <c r="C135">
        <v>100064800</v>
      </c>
      <c r="D135" t="s">
        <v>2715</v>
      </c>
      <c r="E135" t="s">
        <v>2439</v>
      </c>
      <c r="F135" t="s">
        <v>2786</v>
      </c>
      <c r="G135" t="s">
        <v>2787</v>
      </c>
      <c r="H135" s="23">
        <v>0.66666666666666663</v>
      </c>
      <c r="I135" t="s">
        <v>2696</v>
      </c>
      <c r="J135" t="s">
        <v>2518</v>
      </c>
      <c r="K135" t="s">
        <v>2519</v>
      </c>
      <c r="L135" t="s">
        <v>2477</v>
      </c>
      <c r="M135" t="s">
        <v>2480</v>
      </c>
      <c r="N135" s="6">
        <v>45999</v>
      </c>
      <c r="O135" t="s">
        <v>2455</v>
      </c>
      <c r="P135" t="s">
        <v>2445</v>
      </c>
      <c r="Q135" s="23">
        <v>0.375</v>
      </c>
      <c r="R135" s="23">
        <v>0.86111111111111116</v>
      </c>
      <c r="S135">
        <v>22.5</v>
      </c>
      <c r="T135">
        <v>1</v>
      </c>
      <c r="U135" t="s">
        <v>2520</v>
      </c>
      <c r="V135">
        <v>11.17</v>
      </c>
      <c r="W135">
        <v>8</v>
      </c>
      <c r="X135">
        <v>3.17</v>
      </c>
      <c r="Y135" t="s">
        <v>2689</v>
      </c>
      <c r="Z135" t="s">
        <v>2689</v>
      </c>
      <c r="AA135" t="s">
        <v>2689</v>
      </c>
      <c r="AC135" t="s">
        <v>2689</v>
      </c>
      <c r="AD135" t="s">
        <v>2689</v>
      </c>
      <c r="AE135" t="s">
        <v>2689</v>
      </c>
      <c r="AF135" t="s">
        <v>2689</v>
      </c>
      <c r="AH135">
        <v>180</v>
      </c>
      <c r="AI135">
        <v>106.99</v>
      </c>
      <c r="AJ135" t="s">
        <v>2690</v>
      </c>
      <c r="AK135" t="s">
        <v>2690</v>
      </c>
      <c r="AL135" t="s">
        <v>2690</v>
      </c>
      <c r="AP135">
        <v>286.99</v>
      </c>
      <c r="AU135" t="s">
        <v>2689</v>
      </c>
      <c r="AV135" t="s">
        <v>2507</v>
      </c>
      <c r="AY135">
        <v>0.5</v>
      </c>
      <c r="BA135" t="s">
        <v>2757</v>
      </c>
      <c r="BD135" t="s">
        <v>2521</v>
      </c>
      <c r="BE135" t="s">
        <v>2522</v>
      </c>
      <c r="BF135" t="s">
        <v>2456</v>
      </c>
      <c r="BG135">
        <v>0</v>
      </c>
      <c r="BH135">
        <v>0</v>
      </c>
      <c r="BJ135">
        <v>0</v>
      </c>
    </row>
    <row r="136" spans="1:62" x14ac:dyDescent="0.2">
      <c r="A136" t="s">
        <v>2477</v>
      </c>
      <c r="B136" t="s">
        <v>2477</v>
      </c>
      <c r="C136">
        <v>100064800</v>
      </c>
      <c r="D136" t="s">
        <v>2715</v>
      </c>
      <c r="E136" t="s">
        <v>2439</v>
      </c>
      <c r="F136" t="s">
        <v>2789</v>
      </c>
      <c r="G136" t="s">
        <v>2790</v>
      </c>
      <c r="H136" s="23">
        <v>0.375</v>
      </c>
      <c r="I136" t="s">
        <v>2696</v>
      </c>
      <c r="J136" t="s">
        <v>2518</v>
      </c>
      <c r="K136" t="s">
        <v>2519</v>
      </c>
      <c r="L136" t="s">
        <v>2477</v>
      </c>
      <c r="M136" t="s">
        <v>2480</v>
      </c>
      <c r="N136" s="6">
        <v>46000</v>
      </c>
      <c r="O136" t="s">
        <v>2457</v>
      </c>
      <c r="P136" t="s">
        <v>2445</v>
      </c>
      <c r="Q136" s="23">
        <v>0.36839120370370371</v>
      </c>
      <c r="R136" s="23">
        <v>0.75711805555555556</v>
      </c>
      <c r="S136">
        <v>22.5</v>
      </c>
      <c r="T136">
        <v>1</v>
      </c>
      <c r="U136" t="s">
        <v>2520</v>
      </c>
      <c r="V136">
        <v>8.83</v>
      </c>
      <c r="W136">
        <v>8</v>
      </c>
      <c r="X136">
        <v>0.83</v>
      </c>
      <c r="Y136" t="s">
        <v>2689</v>
      </c>
      <c r="Z136" t="s">
        <v>2689</v>
      </c>
      <c r="AA136" t="s">
        <v>2689</v>
      </c>
      <c r="AC136" t="s">
        <v>2689</v>
      </c>
      <c r="AD136" t="s">
        <v>2689</v>
      </c>
      <c r="AE136" t="s">
        <v>2689</v>
      </c>
      <c r="AF136" t="s">
        <v>2689</v>
      </c>
      <c r="AH136">
        <v>180</v>
      </c>
      <c r="AI136">
        <v>28.01</v>
      </c>
      <c r="AJ136" t="s">
        <v>2690</v>
      </c>
      <c r="AK136" t="s">
        <v>2690</v>
      </c>
      <c r="AL136" t="s">
        <v>2690</v>
      </c>
      <c r="AP136">
        <v>208.01</v>
      </c>
      <c r="AR136" s="23">
        <v>0.36839120370370371</v>
      </c>
      <c r="AS136" s="23">
        <v>0.75711805555555556</v>
      </c>
      <c r="AT136" s="23">
        <v>0.375</v>
      </c>
      <c r="AU136" s="23">
        <v>0.70833333333333337</v>
      </c>
      <c r="AV136" t="s">
        <v>2507</v>
      </c>
      <c r="AY136">
        <v>0.5</v>
      </c>
      <c r="AZ136" t="s">
        <v>2912</v>
      </c>
      <c r="BA136" t="s">
        <v>2757</v>
      </c>
      <c r="BD136" t="s">
        <v>2521</v>
      </c>
      <c r="BE136" t="s">
        <v>2522</v>
      </c>
      <c r="BG136">
        <v>0</v>
      </c>
      <c r="BH136">
        <v>0</v>
      </c>
      <c r="BJ136">
        <v>0</v>
      </c>
    </row>
    <row r="137" spans="1:62" x14ac:dyDescent="0.2">
      <c r="A137" t="s">
        <v>2477</v>
      </c>
      <c r="B137" t="s">
        <v>2477</v>
      </c>
      <c r="C137">
        <v>100064800</v>
      </c>
      <c r="D137" t="s">
        <v>2715</v>
      </c>
      <c r="E137" t="s">
        <v>2439</v>
      </c>
      <c r="F137" t="s">
        <v>2452</v>
      </c>
      <c r="G137" t="s">
        <v>2453</v>
      </c>
      <c r="H137" s="23">
        <v>0.33333333333333331</v>
      </c>
      <c r="I137" t="s">
        <v>2688</v>
      </c>
      <c r="J137" t="s">
        <v>2518</v>
      </c>
      <c r="K137" t="s">
        <v>2519</v>
      </c>
      <c r="L137" t="s">
        <v>2477</v>
      </c>
      <c r="M137" t="s">
        <v>2480</v>
      </c>
      <c r="N137" s="6">
        <v>46001</v>
      </c>
      <c r="O137" t="s">
        <v>2458</v>
      </c>
      <c r="P137" t="s">
        <v>2445</v>
      </c>
      <c r="Q137" s="23">
        <v>0.57638888888888884</v>
      </c>
      <c r="R137" s="23">
        <v>0.76388888888888884</v>
      </c>
      <c r="S137">
        <v>22.5</v>
      </c>
      <c r="T137">
        <v>1</v>
      </c>
      <c r="U137" t="s">
        <v>2520</v>
      </c>
      <c r="V137">
        <v>4.5</v>
      </c>
      <c r="W137">
        <v>4.5</v>
      </c>
      <c r="X137" t="s">
        <v>2689</v>
      </c>
      <c r="Y137" t="s">
        <v>2689</v>
      </c>
      <c r="Z137" t="s">
        <v>2689</v>
      </c>
      <c r="AA137" t="s">
        <v>2689</v>
      </c>
      <c r="AC137" t="s">
        <v>2689</v>
      </c>
      <c r="AD137" t="s">
        <v>2689</v>
      </c>
      <c r="AE137" t="s">
        <v>2689</v>
      </c>
      <c r="AF137" t="s">
        <v>2689</v>
      </c>
      <c r="AH137">
        <v>101.25</v>
      </c>
      <c r="AI137" t="s">
        <v>2690</v>
      </c>
      <c r="AJ137" t="s">
        <v>2690</v>
      </c>
      <c r="AK137" t="s">
        <v>2690</v>
      </c>
      <c r="AL137" t="s">
        <v>2690</v>
      </c>
      <c r="AP137">
        <v>101.25</v>
      </c>
      <c r="AT137" s="23">
        <v>0.45833333333333331</v>
      </c>
      <c r="AU137" s="23">
        <v>0.75</v>
      </c>
      <c r="AV137" t="s">
        <v>2507</v>
      </c>
      <c r="BA137" t="s">
        <v>2798</v>
      </c>
      <c r="BD137" t="s">
        <v>2521</v>
      </c>
      <c r="BE137" t="s">
        <v>2522</v>
      </c>
      <c r="BF137" t="s">
        <v>2456</v>
      </c>
      <c r="BG137">
        <v>0</v>
      </c>
      <c r="BH137">
        <v>0</v>
      </c>
      <c r="BJ137">
        <v>0</v>
      </c>
    </row>
    <row r="138" spans="1:62" x14ac:dyDescent="0.2">
      <c r="A138" t="s">
        <v>2477</v>
      </c>
      <c r="B138" t="s">
        <v>2477</v>
      </c>
      <c r="C138">
        <v>100064800</v>
      </c>
      <c r="D138" t="s">
        <v>2715</v>
      </c>
      <c r="E138" t="s">
        <v>2439</v>
      </c>
      <c r="F138" t="s">
        <v>2791</v>
      </c>
      <c r="G138" t="s">
        <v>2792</v>
      </c>
      <c r="H138" s="23">
        <v>0.79166666666666663</v>
      </c>
      <c r="I138" t="s">
        <v>2696</v>
      </c>
      <c r="J138" t="s">
        <v>2518</v>
      </c>
      <c r="K138" t="s">
        <v>2524</v>
      </c>
      <c r="L138" t="s">
        <v>2477</v>
      </c>
      <c r="M138" t="s">
        <v>2480</v>
      </c>
      <c r="N138" s="6">
        <v>46002</v>
      </c>
      <c r="O138" t="s">
        <v>2459</v>
      </c>
      <c r="P138" t="s">
        <v>2445</v>
      </c>
      <c r="Q138" s="23">
        <v>0.66021990740740744</v>
      </c>
      <c r="R138" s="23">
        <v>2.1122685185185185E-2</v>
      </c>
      <c r="S138">
        <v>22.5</v>
      </c>
      <c r="T138">
        <v>1</v>
      </c>
      <c r="U138" t="s">
        <v>2520</v>
      </c>
      <c r="V138">
        <v>8.16</v>
      </c>
      <c r="W138">
        <v>8</v>
      </c>
      <c r="X138">
        <v>0.16</v>
      </c>
      <c r="Y138" t="s">
        <v>2689</v>
      </c>
      <c r="Z138" t="s">
        <v>2689</v>
      </c>
      <c r="AA138" t="s">
        <v>2689</v>
      </c>
      <c r="AC138" t="s">
        <v>2689</v>
      </c>
      <c r="AD138" t="s">
        <v>2689</v>
      </c>
      <c r="AE138" t="s">
        <v>2689</v>
      </c>
      <c r="AF138" t="s">
        <v>2689</v>
      </c>
      <c r="AH138">
        <v>180</v>
      </c>
      <c r="AI138">
        <v>5.4</v>
      </c>
      <c r="AJ138" t="s">
        <v>2690</v>
      </c>
      <c r="AK138" t="s">
        <v>2690</v>
      </c>
      <c r="AL138" t="s">
        <v>2690</v>
      </c>
      <c r="AP138">
        <v>185.4</v>
      </c>
      <c r="AR138" s="23">
        <v>0.66021990740740744</v>
      </c>
      <c r="AS138" s="23">
        <v>2.1122685185185185E-2</v>
      </c>
      <c r="AT138" s="23">
        <v>0.66666666666666663</v>
      </c>
      <c r="AU138" s="24">
        <v>1</v>
      </c>
      <c r="AV138" t="s">
        <v>2507</v>
      </c>
      <c r="AY138">
        <v>0.5</v>
      </c>
      <c r="AZ138" t="s">
        <v>2913</v>
      </c>
      <c r="BA138" t="s">
        <v>2769</v>
      </c>
      <c r="BD138" t="s">
        <v>2521</v>
      </c>
      <c r="BE138" t="s">
        <v>2522</v>
      </c>
      <c r="BG138">
        <v>0</v>
      </c>
      <c r="BH138">
        <v>0</v>
      </c>
      <c r="BJ138">
        <v>0</v>
      </c>
    </row>
    <row r="139" spans="1:62" x14ac:dyDescent="0.2">
      <c r="A139" t="s">
        <v>2477</v>
      </c>
      <c r="B139" t="s">
        <v>2477</v>
      </c>
      <c r="C139">
        <v>100064800</v>
      </c>
      <c r="D139" t="s">
        <v>2715</v>
      </c>
      <c r="E139" t="s">
        <v>2439</v>
      </c>
      <c r="F139" t="s">
        <v>2794</v>
      </c>
      <c r="G139" t="s">
        <v>2795</v>
      </c>
      <c r="H139" s="23">
        <v>0.79166666666666663</v>
      </c>
      <c r="I139" t="s">
        <v>2696</v>
      </c>
      <c r="J139" t="s">
        <v>2518</v>
      </c>
      <c r="K139" t="s">
        <v>2519</v>
      </c>
      <c r="L139" t="s">
        <v>2477</v>
      </c>
      <c r="M139" t="s">
        <v>2480</v>
      </c>
      <c r="N139" s="6">
        <v>46003</v>
      </c>
      <c r="O139" t="s">
        <v>2449</v>
      </c>
      <c r="P139" t="s">
        <v>2445</v>
      </c>
      <c r="Q139" s="23">
        <v>0.57643518518518522</v>
      </c>
      <c r="R139" s="23">
        <v>0.9971875</v>
      </c>
      <c r="S139">
        <v>22.5</v>
      </c>
      <c r="T139">
        <v>1</v>
      </c>
      <c r="U139" t="s">
        <v>2520</v>
      </c>
      <c r="V139">
        <v>9.6</v>
      </c>
      <c r="W139">
        <v>8</v>
      </c>
      <c r="X139">
        <v>1.6</v>
      </c>
      <c r="Y139" t="s">
        <v>2689</v>
      </c>
      <c r="Z139" t="s">
        <v>2689</v>
      </c>
      <c r="AA139" t="s">
        <v>2689</v>
      </c>
      <c r="AC139" t="s">
        <v>2689</v>
      </c>
      <c r="AD139" t="s">
        <v>2689</v>
      </c>
      <c r="AE139" t="s">
        <v>2689</v>
      </c>
      <c r="AF139" t="s">
        <v>2689</v>
      </c>
      <c r="AH139">
        <v>180</v>
      </c>
      <c r="AI139">
        <v>54</v>
      </c>
      <c r="AJ139" t="s">
        <v>2690</v>
      </c>
      <c r="AK139" t="s">
        <v>2690</v>
      </c>
      <c r="AL139" t="s">
        <v>2690</v>
      </c>
      <c r="AP139">
        <v>234</v>
      </c>
      <c r="AR139" s="23">
        <v>0.57643518518518522</v>
      </c>
      <c r="AS139" s="23">
        <v>0.9971875</v>
      </c>
      <c r="AT139" s="23">
        <v>0.58333333333333337</v>
      </c>
      <c r="AU139" s="23">
        <v>0.97916666666666663</v>
      </c>
      <c r="AV139" t="s">
        <v>2507</v>
      </c>
      <c r="AY139">
        <v>0.5</v>
      </c>
      <c r="AZ139" t="s">
        <v>2914</v>
      </c>
      <c r="BA139" t="s">
        <v>2769</v>
      </c>
      <c r="BD139" t="s">
        <v>2521</v>
      </c>
      <c r="BE139" t="s">
        <v>2522</v>
      </c>
      <c r="BG139">
        <v>0</v>
      </c>
      <c r="BH139">
        <v>0</v>
      </c>
      <c r="BJ139">
        <v>0</v>
      </c>
    </row>
    <row r="140" spans="1:62" x14ac:dyDescent="0.2">
      <c r="A140" t="s">
        <v>2477</v>
      </c>
      <c r="B140" t="s">
        <v>2477</v>
      </c>
      <c r="C140">
        <v>100064800</v>
      </c>
      <c r="D140" t="s">
        <v>2715</v>
      </c>
      <c r="E140" t="s">
        <v>2439</v>
      </c>
      <c r="F140" t="s">
        <v>2811</v>
      </c>
      <c r="G140" t="s">
        <v>2812</v>
      </c>
      <c r="H140" s="23">
        <v>0.6875</v>
      </c>
      <c r="I140" t="s">
        <v>2696</v>
      </c>
      <c r="J140" t="s">
        <v>2518</v>
      </c>
      <c r="K140" t="s">
        <v>2524</v>
      </c>
      <c r="L140" t="s">
        <v>2477</v>
      </c>
      <c r="M140" t="s">
        <v>2480</v>
      </c>
      <c r="N140" s="6">
        <v>46005</v>
      </c>
      <c r="O140" t="s">
        <v>2461</v>
      </c>
      <c r="P140" t="s">
        <v>2442</v>
      </c>
      <c r="Q140" s="23">
        <v>0.5768402777777778</v>
      </c>
      <c r="R140" s="23">
        <v>0.91398148148148151</v>
      </c>
      <c r="S140">
        <v>22.5</v>
      </c>
      <c r="T140">
        <v>1</v>
      </c>
      <c r="U140" t="s">
        <v>2520</v>
      </c>
      <c r="V140">
        <v>7.59</v>
      </c>
      <c r="W140">
        <v>7.59</v>
      </c>
      <c r="X140" t="s">
        <v>2689</v>
      </c>
      <c r="Y140" t="s">
        <v>2689</v>
      </c>
      <c r="Z140" t="s">
        <v>2689</v>
      </c>
      <c r="AA140" t="s">
        <v>2689</v>
      </c>
      <c r="AC140" t="s">
        <v>2689</v>
      </c>
      <c r="AD140" t="s">
        <v>2689</v>
      </c>
      <c r="AE140" t="s">
        <v>2689</v>
      </c>
      <c r="AF140" t="s">
        <v>2689</v>
      </c>
      <c r="AH140">
        <v>170.78</v>
      </c>
      <c r="AI140" t="s">
        <v>2690</v>
      </c>
      <c r="AJ140" t="s">
        <v>2690</v>
      </c>
      <c r="AK140" t="s">
        <v>2690</v>
      </c>
      <c r="AL140" t="s">
        <v>2690</v>
      </c>
      <c r="AP140">
        <v>170.78</v>
      </c>
      <c r="AR140" s="23">
        <v>0.5768402777777778</v>
      </c>
      <c r="AS140" s="23">
        <v>0.91398148148148151</v>
      </c>
      <c r="AT140" s="23">
        <v>0.58333333333333337</v>
      </c>
      <c r="AU140" s="23">
        <v>0.89583333333333337</v>
      </c>
      <c r="AV140" t="s">
        <v>2507</v>
      </c>
      <c r="AY140">
        <v>0.5</v>
      </c>
      <c r="AZ140" t="s">
        <v>2915</v>
      </c>
      <c r="BA140" t="s">
        <v>2769</v>
      </c>
      <c r="BD140" t="s">
        <v>2521</v>
      </c>
      <c r="BE140" t="s">
        <v>2522</v>
      </c>
      <c r="BG140">
        <v>0</v>
      </c>
      <c r="BH140">
        <v>0</v>
      </c>
      <c r="BJ140">
        <v>0</v>
      </c>
    </row>
    <row r="141" spans="1:62" x14ac:dyDescent="0.2">
      <c r="A141" t="s">
        <v>2477</v>
      </c>
      <c r="B141" t="s">
        <v>2477</v>
      </c>
      <c r="C141">
        <v>100064800</v>
      </c>
      <c r="D141" t="s">
        <v>2715</v>
      </c>
      <c r="E141" t="s">
        <v>2439</v>
      </c>
      <c r="F141" t="s">
        <v>2814</v>
      </c>
      <c r="G141" t="s">
        <v>2815</v>
      </c>
      <c r="H141" s="23">
        <v>0.47916666666666669</v>
      </c>
      <c r="I141" t="s">
        <v>2696</v>
      </c>
      <c r="J141" t="s">
        <v>2518</v>
      </c>
      <c r="K141" t="s">
        <v>2523</v>
      </c>
      <c r="L141" t="s">
        <v>2477</v>
      </c>
      <c r="M141" t="s">
        <v>2480</v>
      </c>
      <c r="N141" s="6">
        <v>46006</v>
      </c>
      <c r="O141" t="s">
        <v>2455</v>
      </c>
      <c r="P141" t="s">
        <v>2445</v>
      </c>
      <c r="Q141" s="23">
        <v>0.36820601851851853</v>
      </c>
      <c r="R141" s="23">
        <v>0.61512731481481486</v>
      </c>
      <c r="S141">
        <v>22.5</v>
      </c>
      <c r="T141">
        <v>1</v>
      </c>
      <c r="U141" t="s">
        <v>2520</v>
      </c>
      <c r="V141">
        <v>5.93</v>
      </c>
      <c r="W141">
        <v>5.93</v>
      </c>
      <c r="X141" t="s">
        <v>2689</v>
      </c>
      <c r="Y141" t="s">
        <v>2689</v>
      </c>
      <c r="Z141" t="s">
        <v>2689</v>
      </c>
      <c r="AA141" t="s">
        <v>2689</v>
      </c>
      <c r="AC141" t="s">
        <v>2689</v>
      </c>
      <c r="AD141" t="s">
        <v>2689</v>
      </c>
      <c r="AE141" t="s">
        <v>2689</v>
      </c>
      <c r="AF141" t="s">
        <v>2689</v>
      </c>
      <c r="AH141">
        <v>133.43</v>
      </c>
      <c r="AI141" t="s">
        <v>2690</v>
      </c>
      <c r="AJ141" t="s">
        <v>2690</v>
      </c>
      <c r="AK141" t="s">
        <v>2690</v>
      </c>
      <c r="AL141" t="s">
        <v>2690</v>
      </c>
      <c r="AP141">
        <v>133.43</v>
      </c>
      <c r="AR141" s="23">
        <v>0.36820601851851853</v>
      </c>
      <c r="AS141" s="23">
        <v>0.61512731481481486</v>
      </c>
      <c r="AT141" s="23">
        <v>0.375</v>
      </c>
      <c r="AU141" s="23">
        <v>0.625</v>
      </c>
      <c r="AV141" t="s">
        <v>2507</v>
      </c>
      <c r="BA141" t="s">
        <v>2769</v>
      </c>
      <c r="BD141" t="s">
        <v>2521</v>
      </c>
      <c r="BE141" t="s">
        <v>2522</v>
      </c>
      <c r="BG141">
        <v>0</v>
      </c>
      <c r="BH141">
        <v>0</v>
      </c>
      <c r="BJ141">
        <v>0</v>
      </c>
    </row>
    <row r="142" spans="1:62" x14ac:dyDescent="0.2">
      <c r="A142" t="s">
        <v>2538</v>
      </c>
      <c r="B142" t="s">
        <v>2477</v>
      </c>
      <c r="C142">
        <v>100064879</v>
      </c>
      <c r="D142" t="s">
        <v>2716</v>
      </c>
      <c r="E142" t="s">
        <v>2439</v>
      </c>
      <c r="F142" t="s">
        <v>2791</v>
      </c>
      <c r="G142" t="s">
        <v>2792</v>
      </c>
      <c r="H142" s="23">
        <v>0.79166666666666663</v>
      </c>
      <c r="I142" t="s">
        <v>2696</v>
      </c>
      <c r="J142" t="s">
        <v>2504</v>
      </c>
      <c r="K142" t="s">
        <v>2505</v>
      </c>
      <c r="L142" t="s">
        <v>2477</v>
      </c>
      <c r="M142" t="s">
        <v>2480</v>
      </c>
      <c r="N142" s="6">
        <v>46002</v>
      </c>
      <c r="O142" t="s">
        <v>2459</v>
      </c>
      <c r="P142" t="s">
        <v>2445</v>
      </c>
      <c r="Q142" s="23">
        <v>0.70320601851851849</v>
      </c>
      <c r="R142" s="23">
        <v>1.8518518518518518E-4</v>
      </c>
      <c r="S142">
        <v>22</v>
      </c>
      <c r="T142">
        <v>1</v>
      </c>
      <c r="U142" t="s">
        <v>2506</v>
      </c>
      <c r="V142">
        <v>6.54</v>
      </c>
      <c r="W142">
        <v>6.54</v>
      </c>
      <c r="X142" t="s">
        <v>2689</v>
      </c>
      <c r="Y142" t="s">
        <v>2689</v>
      </c>
      <c r="Z142" t="s">
        <v>2689</v>
      </c>
      <c r="AA142" t="s">
        <v>2689</v>
      </c>
      <c r="AC142" t="s">
        <v>2689</v>
      </c>
      <c r="AD142" t="s">
        <v>2689</v>
      </c>
      <c r="AE142" t="s">
        <v>2689</v>
      </c>
      <c r="AF142" t="s">
        <v>2689</v>
      </c>
      <c r="AH142">
        <v>143.88</v>
      </c>
      <c r="AI142" t="s">
        <v>2690</v>
      </c>
      <c r="AJ142" t="s">
        <v>2690</v>
      </c>
      <c r="AK142" t="s">
        <v>2690</v>
      </c>
      <c r="AL142" t="s">
        <v>2690</v>
      </c>
      <c r="AP142">
        <v>143.88</v>
      </c>
      <c r="AR142" s="23">
        <v>0.70320601851851849</v>
      </c>
      <c r="AS142" s="23">
        <v>1.8518518518518518E-4</v>
      </c>
      <c r="AT142" s="23">
        <v>0.70833333333333337</v>
      </c>
      <c r="AU142" s="24">
        <v>1</v>
      </c>
      <c r="AV142" t="s">
        <v>2717</v>
      </c>
      <c r="AY142">
        <v>0.59</v>
      </c>
      <c r="AZ142" t="s">
        <v>2916</v>
      </c>
      <c r="BA142" t="s">
        <v>2769</v>
      </c>
      <c r="BD142" t="s">
        <v>2508</v>
      </c>
      <c r="BE142" t="s">
        <v>2509</v>
      </c>
      <c r="BG142">
        <v>0</v>
      </c>
      <c r="BH142">
        <v>0</v>
      </c>
      <c r="BJ142">
        <v>0</v>
      </c>
    </row>
    <row r="143" spans="1:62" x14ac:dyDescent="0.2">
      <c r="A143" t="s">
        <v>2469</v>
      </c>
      <c r="B143" t="s">
        <v>2477</v>
      </c>
      <c r="C143">
        <v>100067151</v>
      </c>
      <c r="D143" t="s">
        <v>2917</v>
      </c>
      <c r="E143" t="s">
        <v>2439</v>
      </c>
      <c r="F143" t="s">
        <v>2791</v>
      </c>
      <c r="G143" t="s">
        <v>2792</v>
      </c>
      <c r="H143" s="23">
        <v>0.79166666666666663</v>
      </c>
      <c r="I143" t="s">
        <v>2696</v>
      </c>
      <c r="J143" t="s">
        <v>2478</v>
      </c>
      <c r="K143" t="s">
        <v>2712</v>
      </c>
      <c r="L143" t="s">
        <v>2477</v>
      </c>
      <c r="M143" t="s">
        <v>2480</v>
      </c>
      <c r="N143" s="6">
        <v>46002</v>
      </c>
      <c r="O143" t="s">
        <v>2459</v>
      </c>
      <c r="P143" t="s">
        <v>2445</v>
      </c>
      <c r="Q143" s="23">
        <v>0.68077546296296299</v>
      </c>
      <c r="R143" s="23">
        <v>0.96384259259259264</v>
      </c>
      <c r="S143">
        <v>22</v>
      </c>
      <c r="T143">
        <v>1</v>
      </c>
      <c r="U143" t="s">
        <v>2481</v>
      </c>
      <c r="V143">
        <v>6.29</v>
      </c>
      <c r="W143">
        <v>6.29</v>
      </c>
      <c r="X143" t="s">
        <v>2689</v>
      </c>
      <c r="Y143" t="s">
        <v>2689</v>
      </c>
      <c r="Z143" t="s">
        <v>2689</v>
      </c>
      <c r="AA143" t="s">
        <v>2689</v>
      </c>
      <c r="AC143" t="s">
        <v>2689</v>
      </c>
      <c r="AD143" t="s">
        <v>2689</v>
      </c>
      <c r="AE143">
        <v>145</v>
      </c>
      <c r="AF143" t="s">
        <v>2689</v>
      </c>
      <c r="AH143">
        <v>138.38</v>
      </c>
      <c r="AI143" t="s">
        <v>2690</v>
      </c>
      <c r="AJ143" t="s">
        <v>2690</v>
      </c>
      <c r="AK143" t="s">
        <v>2690</v>
      </c>
      <c r="AL143" t="s">
        <v>2690</v>
      </c>
      <c r="AP143">
        <v>283.38</v>
      </c>
      <c r="AR143" s="23">
        <v>0.68077546296296299</v>
      </c>
      <c r="AS143" s="23">
        <v>0.96384259259259264</v>
      </c>
      <c r="AT143" s="23">
        <v>0.6875</v>
      </c>
      <c r="AU143" s="23">
        <v>2.0833333333333332E-2</v>
      </c>
      <c r="AV143" t="s">
        <v>2706</v>
      </c>
      <c r="AY143">
        <v>0.5</v>
      </c>
      <c r="AZ143" t="s">
        <v>2918</v>
      </c>
      <c r="BA143" t="s">
        <v>2798</v>
      </c>
      <c r="BD143" t="s">
        <v>2482</v>
      </c>
      <c r="BE143" t="s">
        <v>2478</v>
      </c>
      <c r="BG143">
        <v>0</v>
      </c>
      <c r="BH143">
        <v>0</v>
      </c>
      <c r="BJ143">
        <v>0</v>
      </c>
    </row>
    <row r="144" spans="1:62" x14ac:dyDescent="0.2">
      <c r="A144" t="s">
        <v>2469</v>
      </c>
      <c r="B144" t="s">
        <v>2477</v>
      </c>
      <c r="C144">
        <v>100067154</v>
      </c>
      <c r="D144" t="s">
        <v>2919</v>
      </c>
      <c r="E144" t="s">
        <v>2439</v>
      </c>
      <c r="F144" t="s">
        <v>2791</v>
      </c>
      <c r="G144" t="s">
        <v>2792</v>
      </c>
      <c r="H144" s="23">
        <v>0.79166666666666663</v>
      </c>
      <c r="I144" t="s">
        <v>2696</v>
      </c>
      <c r="J144" t="s">
        <v>2478</v>
      </c>
      <c r="K144" t="s">
        <v>2655</v>
      </c>
      <c r="L144" t="s">
        <v>2477</v>
      </c>
      <c r="M144" t="s">
        <v>2480</v>
      </c>
      <c r="N144" s="6">
        <v>46002</v>
      </c>
      <c r="O144" t="s">
        <v>2459</v>
      </c>
      <c r="P144" t="s">
        <v>2445</v>
      </c>
      <c r="Q144" s="23">
        <v>0.70672453703703708</v>
      </c>
      <c r="R144" s="23">
        <v>0.94502314814814814</v>
      </c>
      <c r="S144">
        <v>22</v>
      </c>
      <c r="T144">
        <v>1</v>
      </c>
      <c r="U144" t="s">
        <v>2481</v>
      </c>
      <c r="V144">
        <v>5.72</v>
      </c>
      <c r="W144">
        <v>5.72</v>
      </c>
      <c r="X144" t="s">
        <v>2689</v>
      </c>
      <c r="Y144" t="s">
        <v>2689</v>
      </c>
      <c r="Z144" t="s">
        <v>2689</v>
      </c>
      <c r="AA144" t="s">
        <v>2689</v>
      </c>
      <c r="AC144" t="s">
        <v>2689</v>
      </c>
      <c r="AD144" t="s">
        <v>2689</v>
      </c>
      <c r="AE144">
        <v>155</v>
      </c>
      <c r="AF144" t="s">
        <v>2689</v>
      </c>
      <c r="AH144">
        <v>125.84</v>
      </c>
      <c r="AI144" t="s">
        <v>2690</v>
      </c>
      <c r="AJ144" t="s">
        <v>2690</v>
      </c>
      <c r="AK144" t="s">
        <v>2690</v>
      </c>
      <c r="AL144" t="s">
        <v>2690</v>
      </c>
      <c r="AP144">
        <v>280.83999999999997</v>
      </c>
      <c r="AQ144" t="s">
        <v>2442</v>
      </c>
      <c r="AR144" s="23">
        <v>0.70672453703703708</v>
      </c>
      <c r="AS144" s="23">
        <v>0.94502314814814814</v>
      </c>
      <c r="AT144" s="23">
        <v>0.6875</v>
      </c>
      <c r="AU144" s="23">
        <v>2.0833333333333332E-2</v>
      </c>
      <c r="AV144" t="s">
        <v>2706</v>
      </c>
      <c r="BA144" t="s">
        <v>2798</v>
      </c>
      <c r="BD144" t="s">
        <v>2482</v>
      </c>
      <c r="BE144" t="s">
        <v>2478</v>
      </c>
      <c r="BG144">
        <v>0</v>
      </c>
      <c r="BH144">
        <v>0</v>
      </c>
      <c r="BJ144">
        <v>0</v>
      </c>
    </row>
    <row r="145" spans="1:62" x14ac:dyDescent="0.2">
      <c r="A145" t="s">
        <v>2469</v>
      </c>
      <c r="B145" t="s">
        <v>2477</v>
      </c>
      <c r="C145">
        <v>100084243</v>
      </c>
      <c r="D145" t="s">
        <v>2699</v>
      </c>
      <c r="E145" t="s">
        <v>2439</v>
      </c>
      <c r="F145" t="s">
        <v>2791</v>
      </c>
      <c r="G145" t="s">
        <v>2792</v>
      </c>
      <c r="H145" s="23">
        <v>0.79166666666666663</v>
      </c>
      <c r="I145" t="s">
        <v>2696</v>
      </c>
      <c r="J145" t="s">
        <v>2656</v>
      </c>
      <c r="K145" t="s">
        <v>2672</v>
      </c>
      <c r="L145" t="s">
        <v>2477</v>
      </c>
      <c r="M145" t="s">
        <v>2480</v>
      </c>
      <c r="N145" s="6">
        <v>46002</v>
      </c>
      <c r="O145" t="s">
        <v>2459</v>
      </c>
      <c r="P145" t="s">
        <v>2445</v>
      </c>
      <c r="Q145" s="23">
        <v>0.67709490740740741</v>
      </c>
      <c r="R145" s="23">
        <v>0.9952199074074074</v>
      </c>
      <c r="S145">
        <v>17.87</v>
      </c>
      <c r="T145">
        <v>1</v>
      </c>
      <c r="U145" t="s">
        <v>2920</v>
      </c>
      <c r="V145">
        <v>7.14</v>
      </c>
      <c r="W145">
        <v>7.14</v>
      </c>
      <c r="X145" t="s">
        <v>2689</v>
      </c>
      <c r="Y145" t="s">
        <v>2689</v>
      </c>
      <c r="Z145" t="s">
        <v>2689</v>
      </c>
      <c r="AA145" t="s">
        <v>2689</v>
      </c>
      <c r="AC145" t="s">
        <v>2689</v>
      </c>
      <c r="AD145" t="s">
        <v>2689</v>
      </c>
      <c r="AE145">
        <v>40</v>
      </c>
      <c r="AF145" t="s">
        <v>2689</v>
      </c>
      <c r="AH145">
        <v>127.59</v>
      </c>
      <c r="AI145" t="s">
        <v>2690</v>
      </c>
      <c r="AJ145" t="s">
        <v>2690</v>
      </c>
      <c r="AK145" t="s">
        <v>2690</v>
      </c>
      <c r="AL145" t="s">
        <v>2690</v>
      </c>
      <c r="AP145">
        <v>167.59</v>
      </c>
      <c r="AQ145" t="s">
        <v>2442</v>
      </c>
      <c r="AR145" s="23">
        <v>0.67709490740740741</v>
      </c>
      <c r="AS145" s="23">
        <v>0.9952199074074074</v>
      </c>
      <c r="AT145" s="23">
        <v>0.66666666666666663</v>
      </c>
      <c r="AU145" s="23">
        <v>2.0833333333333332E-2</v>
      </c>
      <c r="AV145" t="s">
        <v>2706</v>
      </c>
      <c r="AY145">
        <v>0.5</v>
      </c>
      <c r="BA145" t="s">
        <v>2798</v>
      </c>
      <c r="BD145" t="s">
        <v>2658</v>
      </c>
      <c r="BE145" t="s">
        <v>2656</v>
      </c>
      <c r="BF145" t="s">
        <v>2446</v>
      </c>
      <c r="BG145">
        <v>0</v>
      </c>
      <c r="BH145">
        <v>0</v>
      </c>
      <c r="BJ145">
        <v>0</v>
      </c>
    </row>
    <row r="146" spans="1:62" x14ac:dyDescent="0.2">
      <c r="A146" t="s">
        <v>2469</v>
      </c>
      <c r="B146" t="s">
        <v>2477</v>
      </c>
      <c r="C146">
        <v>100084246</v>
      </c>
      <c r="D146" t="s">
        <v>2700</v>
      </c>
      <c r="E146" t="s">
        <v>2439</v>
      </c>
      <c r="F146" t="s">
        <v>2782</v>
      </c>
      <c r="G146" t="s">
        <v>2783</v>
      </c>
      <c r="H146" s="23">
        <v>0.70833333333333337</v>
      </c>
      <c r="I146" t="s">
        <v>2696</v>
      </c>
      <c r="J146" t="s">
        <v>2535</v>
      </c>
      <c r="K146" t="s">
        <v>2536</v>
      </c>
      <c r="L146" t="s">
        <v>2477</v>
      </c>
      <c r="M146" t="s">
        <v>2537</v>
      </c>
      <c r="N146" s="6">
        <v>45994</v>
      </c>
      <c r="O146" t="s">
        <v>2458</v>
      </c>
      <c r="P146" t="s">
        <v>2445</v>
      </c>
      <c r="Q146" s="23">
        <v>0.58578703703703705</v>
      </c>
      <c r="R146" s="23">
        <v>0.87047453703703703</v>
      </c>
      <c r="S146">
        <v>20</v>
      </c>
      <c r="T146" t="s">
        <v>2443</v>
      </c>
      <c r="U146" t="s">
        <v>2496</v>
      </c>
      <c r="V146">
        <v>6.33</v>
      </c>
      <c r="W146">
        <v>6.33</v>
      </c>
      <c r="X146" t="s">
        <v>2689</v>
      </c>
      <c r="Y146" t="s">
        <v>2689</v>
      </c>
      <c r="Z146" t="s">
        <v>2689</v>
      </c>
      <c r="AA146" t="s">
        <v>2689</v>
      </c>
      <c r="AC146" t="s">
        <v>2689</v>
      </c>
      <c r="AD146" t="s">
        <v>2689</v>
      </c>
      <c r="AE146" t="s">
        <v>2689</v>
      </c>
      <c r="AF146" t="s">
        <v>2689</v>
      </c>
      <c r="AH146">
        <v>126.6</v>
      </c>
      <c r="AI146" t="s">
        <v>2690</v>
      </c>
      <c r="AJ146" t="s">
        <v>2690</v>
      </c>
      <c r="AK146" t="s">
        <v>2690</v>
      </c>
      <c r="AL146" t="s">
        <v>2690</v>
      </c>
      <c r="AP146">
        <v>126.6</v>
      </c>
      <c r="AR146" s="23">
        <v>0.58578703703703705</v>
      </c>
      <c r="AS146" s="23">
        <v>0.87047453703703703</v>
      </c>
      <c r="AT146" s="23">
        <v>0.58333333333333337</v>
      </c>
      <c r="AU146" s="23">
        <v>0.91666666666666663</v>
      </c>
      <c r="AV146" t="s">
        <v>2706</v>
      </c>
      <c r="AY146">
        <v>0.5</v>
      </c>
      <c r="BA146" t="s">
        <v>2754</v>
      </c>
      <c r="BD146" t="s">
        <v>2530</v>
      </c>
      <c r="BE146" t="s">
        <v>2528</v>
      </c>
      <c r="BF146" t="s">
        <v>2446</v>
      </c>
      <c r="BG146">
        <v>0</v>
      </c>
      <c r="BH146">
        <v>0</v>
      </c>
      <c r="BJ146">
        <v>0</v>
      </c>
    </row>
    <row r="147" spans="1:62" x14ac:dyDescent="0.2">
      <c r="A147" t="s">
        <v>2469</v>
      </c>
      <c r="B147" t="s">
        <v>2477</v>
      </c>
      <c r="C147">
        <v>100084246</v>
      </c>
      <c r="D147" t="s">
        <v>2700</v>
      </c>
      <c r="E147" t="s">
        <v>2439</v>
      </c>
      <c r="F147" t="s">
        <v>2786</v>
      </c>
      <c r="G147" t="s">
        <v>2787</v>
      </c>
      <c r="H147" s="23">
        <v>0.66666666666666663</v>
      </c>
      <c r="I147" t="s">
        <v>2696</v>
      </c>
      <c r="J147" t="s">
        <v>2535</v>
      </c>
      <c r="K147" t="s">
        <v>2536</v>
      </c>
      <c r="L147" t="s">
        <v>2477</v>
      </c>
      <c r="M147" t="s">
        <v>2537</v>
      </c>
      <c r="N147" s="6">
        <v>45999</v>
      </c>
      <c r="O147" t="s">
        <v>2455</v>
      </c>
      <c r="P147" t="s">
        <v>2445</v>
      </c>
      <c r="Q147" s="23">
        <v>0.56008101851851855</v>
      </c>
      <c r="R147" s="23">
        <v>0.87259259259259259</v>
      </c>
      <c r="S147">
        <v>20</v>
      </c>
      <c r="T147" t="s">
        <v>2443</v>
      </c>
      <c r="U147" t="s">
        <v>2496</v>
      </c>
      <c r="V147">
        <v>7</v>
      </c>
      <c r="W147">
        <v>7</v>
      </c>
      <c r="X147" t="s">
        <v>2689</v>
      </c>
      <c r="Y147" t="s">
        <v>2689</v>
      </c>
      <c r="Z147" t="s">
        <v>2689</v>
      </c>
      <c r="AA147" t="s">
        <v>2689</v>
      </c>
      <c r="AC147" t="s">
        <v>2689</v>
      </c>
      <c r="AD147" t="s">
        <v>2689</v>
      </c>
      <c r="AE147" t="s">
        <v>2689</v>
      </c>
      <c r="AF147" t="s">
        <v>2689</v>
      </c>
      <c r="AH147">
        <v>140</v>
      </c>
      <c r="AI147" t="s">
        <v>2690</v>
      </c>
      <c r="AJ147" t="s">
        <v>2690</v>
      </c>
      <c r="AK147" t="s">
        <v>2690</v>
      </c>
      <c r="AL147" t="s">
        <v>2690</v>
      </c>
      <c r="AP147">
        <v>140</v>
      </c>
      <c r="AQ147" t="s">
        <v>2442</v>
      </c>
      <c r="AR147" s="23">
        <v>0.56008101851851855</v>
      </c>
      <c r="AS147" s="23">
        <v>0.87259259259259259</v>
      </c>
      <c r="AT147" s="23">
        <v>0.54166666666666663</v>
      </c>
      <c r="AU147" s="23">
        <v>0.85416666666666663</v>
      </c>
      <c r="AV147" t="s">
        <v>2706</v>
      </c>
      <c r="AY147">
        <v>0.5</v>
      </c>
      <c r="BA147" t="s">
        <v>2861</v>
      </c>
      <c r="BD147" t="s">
        <v>2530</v>
      </c>
      <c r="BE147" t="s">
        <v>2528</v>
      </c>
      <c r="BF147" t="s">
        <v>2446</v>
      </c>
      <c r="BG147">
        <v>0</v>
      </c>
      <c r="BH147">
        <v>0</v>
      </c>
      <c r="BJ147">
        <v>0</v>
      </c>
    </row>
    <row r="148" spans="1:62" x14ac:dyDescent="0.2">
      <c r="A148" t="s">
        <v>2469</v>
      </c>
      <c r="B148" t="s">
        <v>2477</v>
      </c>
      <c r="C148">
        <v>100084246</v>
      </c>
      <c r="D148" t="s">
        <v>2700</v>
      </c>
      <c r="E148" t="s">
        <v>2439</v>
      </c>
      <c r="F148" t="s">
        <v>2452</v>
      </c>
      <c r="G148" t="s">
        <v>2453</v>
      </c>
      <c r="H148" s="23">
        <v>0.33333333333333331</v>
      </c>
      <c r="I148" t="s">
        <v>2688</v>
      </c>
      <c r="J148" t="s">
        <v>2535</v>
      </c>
      <c r="K148" t="s">
        <v>2536</v>
      </c>
      <c r="L148" t="s">
        <v>2477</v>
      </c>
      <c r="M148" t="s">
        <v>2537</v>
      </c>
      <c r="N148" s="6">
        <v>46001</v>
      </c>
      <c r="O148" t="s">
        <v>2458</v>
      </c>
      <c r="P148" t="s">
        <v>2445</v>
      </c>
      <c r="Q148" s="23">
        <v>0.47375</v>
      </c>
      <c r="R148" s="23">
        <v>0.7384722222222222</v>
      </c>
      <c r="S148">
        <v>20</v>
      </c>
      <c r="T148" t="s">
        <v>2443</v>
      </c>
      <c r="U148" t="s">
        <v>2496</v>
      </c>
      <c r="V148">
        <v>7.35</v>
      </c>
      <c r="W148">
        <v>6.35</v>
      </c>
      <c r="X148" t="s">
        <v>2689</v>
      </c>
      <c r="Y148" t="s">
        <v>2689</v>
      </c>
      <c r="Z148" t="s">
        <v>2689</v>
      </c>
      <c r="AA148">
        <v>1</v>
      </c>
      <c r="AC148" t="s">
        <v>2689</v>
      </c>
      <c r="AD148" t="s">
        <v>2689</v>
      </c>
      <c r="AE148" t="s">
        <v>2689</v>
      </c>
      <c r="AF148" t="s">
        <v>2689</v>
      </c>
      <c r="AH148">
        <v>127</v>
      </c>
      <c r="AI148" t="s">
        <v>2690</v>
      </c>
      <c r="AJ148" t="s">
        <v>2690</v>
      </c>
      <c r="AK148" t="s">
        <v>2690</v>
      </c>
      <c r="AL148">
        <v>20</v>
      </c>
      <c r="AP148">
        <v>147</v>
      </c>
      <c r="AQ148" t="s">
        <v>2442</v>
      </c>
      <c r="AR148" s="23">
        <v>0.47375</v>
      </c>
      <c r="AS148" s="23">
        <v>0.7384722222222222</v>
      </c>
      <c r="AT148" s="23">
        <v>0.45833333333333331</v>
      </c>
      <c r="AU148" s="23">
        <v>0.70833333333333337</v>
      </c>
      <c r="AV148" t="s">
        <v>2706</v>
      </c>
      <c r="BA148" t="s">
        <v>2798</v>
      </c>
      <c r="BD148" t="s">
        <v>2530</v>
      </c>
      <c r="BE148" t="s">
        <v>2528</v>
      </c>
      <c r="BF148" t="s">
        <v>2516</v>
      </c>
      <c r="BG148">
        <v>0</v>
      </c>
      <c r="BH148">
        <v>0</v>
      </c>
      <c r="BJ148">
        <v>0</v>
      </c>
    </row>
    <row r="149" spans="1:62" x14ac:dyDescent="0.2">
      <c r="A149" t="s">
        <v>2469</v>
      </c>
      <c r="B149" t="s">
        <v>2477</v>
      </c>
      <c r="C149">
        <v>100084246</v>
      </c>
      <c r="D149" t="s">
        <v>2700</v>
      </c>
      <c r="E149" t="s">
        <v>2439</v>
      </c>
      <c r="F149" t="s">
        <v>2794</v>
      </c>
      <c r="G149" t="s">
        <v>2795</v>
      </c>
      <c r="H149" s="23">
        <v>0.79166666666666663</v>
      </c>
      <c r="I149" t="s">
        <v>2696</v>
      </c>
      <c r="J149" t="s">
        <v>2535</v>
      </c>
      <c r="K149" t="s">
        <v>2714</v>
      </c>
      <c r="L149" t="s">
        <v>2477</v>
      </c>
      <c r="M149" t="s">
        <v>2480</v>
      </c>
      <c r="N149" s="6">
        <v>46003</v>
      </c>
      <c r="O149" t="s">
        <v>2449</v>
      </c>
      <c r="P149" t="s">
        <v>2445</v>
      </c>
      <c r="Q149" s="23">
        <v>0.6221875</v>
      </c>
      <c r="R149" s="23">
        <v>0.9909027777777778</v>
      </c>
      <c r="S149">
        <v>20</v>
      </c>
      <c r="T149" t="s">
        <v>2443</v>
      </c>
      <c r="U149" t="s">
        <v>2496</v>
      </c>
      <c r="V149">
        <v>8.35</v>
      </c>
      <c r="W149">
        <v>8</v>
      </c>
      <c r="X149">
        <v>0.35</v>
      </c>
      <c r="Y149" t="s">
        <v>2689</v>
      </c>
      <c r="Z149" t="s">
        <v>2689</v>
      </c>
      <c r="AA149" t="s">
        <v>2689</v>
      </c>
      <c r="AC149" t="s">
        <v>2689</v>
      </c>
      <c r="AD149" t="s">
        <v>2689</v>
      </c>
      <c r="AE149" t="s">
        <v>2689</v>
      </c>
      <c r="AF149" t="s">
        <v>2689</v>
      </c>
      <c r="AH149">
        <v>160</v>
      </c>
      <c r="AI149">
        <v>10.5</v>
      </c>
      <c r="AJ149" t="s">
        <v>2690</v>
      </c>
      <c r="AK149" t="s">
        <v>2690</v>
      </c>
      <c r="AL149" t="s">
        <v>2690</v>
      </c>
      <c r="AP149">
        <v>170.5</v>
      </c>
      <c r="AR149" s="23">
        <v>0.6221875</v>
      </c>
      <c r="AS149" s="23">
        <v>0.9909027777777778</v>
      </c>
      <c r="AT149" s="23">
        <v>0.625</v>
      </c>
      <c r="AU149" s="23">
        <v>0.95833333333333337</v>
      </c>
      <c r="AV149" t="s">
        <v>2706</v>
      </c>
      <c r="AY149">
        <v>0.5</v>
      </c>
      <c r="BA149" t="s">
        <v>2798</v>
      </c>
      <c r="BD149" t="s">
        <v>2530</v>
      </c>
      <c r="BE149" t="s">
        <v>2528</v>
      </c>
      <c r="BF149" t="s">
        <v>2446</v>
      </c>
      <c r="BG149">
        <v>0</v>
      </c>
      <c r="BH149">
        <v>0</v>
      </c>
      <c r="BJ149">
        <v>0</v>
      </c>
    </row>
    <row r="150" spans="1:62" x14ac:dyDescent="0.2">
      <c r="A150" t="s">
        <v>2469</v>
      </c>
      <c r="B150" t="s">
        <v>2477</v>
      </c>
      <c r="C150">
        <v>100087211</v>
      </c>
      <c r="D150" t="s">
        <v>2501</v>
      </c>
      <c r="E150" t="s">
        <v>2439</v>
      </c>
      <c r="F150" t="s">
        <v>2782</v>
      </c>
      <c r="G150" t="s">
        <v>2783</v>
      </c>
      <c r="H150" s="23">
        <v>0.70833333333333337</v>
      </c>
      <c r="I150" t="s">
        <v>2696</v>
      </c>
      <c r="J150" t="s">
        <v>2656</v>
      </c>
      <c r="K150" t="s">
        <v>2657</v>
      </c>
      <c r="L150" t="s">
        <v>2477</v>
      </c>
      <c r="M150" t="s">
        <v>2480</v>
      </c>
      <c r="N150" s="6">
        <v>45994</v>
      </c>
      <c r="O150" t="s">
        <v>2458</v>
      </c>
      <c r="P150" t="s">
        <v>2445</v>
      </c>
      <c r="Q150" s="23">
        <v>0.58709490740740744</v>
      </c>
      <c r="R150" s="23">
        <v>0.8684722222222222</v>
      </c>
      <c r="S150">
        <v>17.87</v>
      </c>
      <c r="T150">
        <v>1</v>
      </c>
      <c r="U150" t="s">
        <v>2490</v>
      </c>
      <c r="V150">
        <v>6.25</v>
      </c>
      <c r="W150">
        <v>6.25</v>
      </c>
      <c r="X150" t="s">
        <v>2689</v>
      </c>
      <c r="Y150" t="s">
        <v>2689</v>
      </c>
      <c r="Z150" t="s">
        <v>2689</v>
      </c>
      <c r="AA150" t="s">
        <v>2689</v>
      </c>
      <c r="AC150" t="s">
        <v>2689</v>
      </c>
      <c r="AD150" t="s">
        <v>2689</v>
      </c>
      <c r="AE150" t="s">
        <v>2689</v>
      </c>
      <c r="AF150" t="s">
        <v>2689</v>
      </c>
      <c r="AH150">
        <v>111.69</v>
      </c>
      <c r="AI150" t="s">
        <v>2690</v>
      </c>
      <c r="AJ150" t="s">
        <v>2690</v>
      </c>
      <c r="AK150" t="s">
        <v>2690</v>
      </c>
      <c r="AL150" t="s">
        <v>2690</v>
      </c>
      <c r="AP150">
        <v>111.69</v>
      </c>
      <c r="AR150" s="23">
        <v>0.58709490740740744</v>
      </c>
      <c r="AS150" s="23">
        <v>0.8684722222222222</v>
      </c>
      <c r="AT150" s="23">
        <v>0.58333333333333337</v>
      </c>
      <c r="AU150" s="23">
        <v>0.91666666666666663</v>
      </c>
      <c r="AV150" t="s">
        <v>2706</v>
      </c>
      <c r="AY150">
        <v>0.5</v>
      </c>
      <c r="BA150" t="s">
        <v>2754</v>
      </c>
      <c r="BD150" t="s">
        <v>2482</v>
      </c>
      <c r="BE150" t="s">
        <v>2478</v>
      </c>
      <c r="BF150" t="s">
        <v>2446</v>
      </c>
      <c r="BG150">
        <v>0</v>
      </c>
      <c r="BH150">
        <v>0</v>
      </c>
      <c r="BJ150">
        <v>0</v>
      </c>
    </row>
    <row r="151" spans="1:62" x14ac:dyDescent="0.2">
      <c r="A151" t="s">
        <v>2469</v>
      </c>
      <c r="B151" t="s">
        <v>2477</v>
      </c>
      <c r="C151">
        <v>100087211</v>
      </c>
      <c r="D151" t="s">
        <v>2501</v>
      </c>
      <c r="E151" t="s">
        <v>2439</v>
      </c>
      <c r="F151" t="s">
        <v>2804</v>
      </c>
      <c r="G151" t="s">
        <v>2805</v>
      </c>
      <c r="H151" s="23">
        <v>0.70833333333333337</v>
      </c>
      <c r="I151" t="s">
        <v>2696</v>
      </c>
      <c r="J151" t="s">
        <v>2656</v>
      </c>
      <c r="K151" t="s">
        <v>2657</v>
      </c>
      <c r="L151" t="s">
        <v>2477</v>
      </c>
      <c r="M151" t="s">
        <v>2480</v>
      </c>
      <c r="N151" s="6">
        <v>45995</v>
      </c>
      <c r="O151" t="s">
        <v>2459</v>
      </c>
      <c r="P151" t="s">
        <v>2445</v>
      </c>
      <c r="Q151" s="23">
        <v>0.57682870370370365</v>
      </c>
      <c r="R151" s="23">
        <v>0.84525462962962961</v>
      </c>
      <c r="S151">
        <v>17.87</v>
      </c>
      <c r="T151">
        <v>1</v>
      </c>
      <c r="U151" t="s">
        <v>2490</v>
      </c>
      <c r="V151">
        <v>5.94</v>
      </c>
      <c r="W151">
        <v>5.94</v>
      </c>
      <c r="X151" t="s">
        <v>2689</v>
      </c>
      <c r="Y151" t="s">
        <v>2689</v>
      </c>
      <c r="Z151" t="s">
        <v>2689</v>
      </c>
      <c r="AA151" t="s">
        <v>2689</v>
      </c>
      <c r="AC151" t="s">
        <v>2689</v>
      </c>
      <c r="AD151" t="s">
        <v>2689</v>
      </c>
      <c r="AE151">
        <v>175</v>
      </c>
      <c r="AF151" t="s">
        <v>2689</v>
      </c>
      <c r="AH151">
        <v>106.15</v>
      </c>
      <c r="AI151" t="s">
        <v>2690</v>
      </c>
      <c r="AJ151" t="s">
        <v>2690</v>
      </c>
      <c r="AK151" t="s">
        <v>2690</v>
      </c>
      <c r="AL151" t="s">
        <v>2690</v>
      </c>
      <c r="AP151">
        <v>281.14999999999998</v>
      </c>
      <c r="AR151" s="23">
        <v>0.57682870370370365</v>
      </c>
      <c r="AS151" s="23">
        <v>0.84525462962962961</v>
      </c>
      <c r="AT151" s="23">
        <v>0.58333333333333337</v>
      </c>
      <c r="AU151" s="23">
        <v>0.875</v>
      </c>
      <c r="AV151" t="s">
        <v>2706</v>
      </c>
      <c r="AY151">
        <v>0.5</v>
      </c>
      <c r="BA151" t="s">
        <v>2754</v>
      </c>
      <c r="BD151" t="s">
        <v>2482</v>
      </c>
      <c r="BE151" t="s">
        <v>2478</v>
      </c>
      <c r="BF151" t="s">
        <v>2446</v>
      </c>
      <c r="BG151">
        <v>0</v>
      </c>
      <c r="BH151">
        <v>0</v>
      </c>
      <c r="BJ151">
        <v>0</v>
      </c>
    </row>
    <row r="152" spans="1:62" x14ac:dyDescent="0.2">
      <c r="A152" t="s">
        <v>2469</v>
      </c>
      <c r="B152" t="s">
        <v>2477</v>
      </c>
      <c r="C152">
        <v>100087211</v>
      </c>
      <c r="D152" t="s">
        <v>2501</v>
      </c>
      <c r="E152" t="s">
        <v>2439</v>
      </c>
      <c r="F152" t="s">
        <v>2452</v>
      </c>
      <c r="G152" t="s">
        <v>2453</v>
      </c>
      <c r="H152" s="23">
        <v>0.33333333333333331</v>
      </c>
      <c r="I152" t="s">
        <v>2688</v>
      </c>
      <c r="J152" t="s">
        <v>2656</v>
      </c>
      <c r="K152" t="s">
        <v>2657</v>
      </c>
      <c r="L152" t="s">
        <v>2477</v>
      </c>
      <c r="M152" t="s">
        <v>2480</v>
      </c>
      <c r="N152" s="6">
        <v>46001</v>
      </c>
      <c r="O152" t="s">
        <v>2458</v>
      </c>
      <c r="P152" t="s">
        <v>2445</v>
      </c>
      <c r="Q152" s="23">
        <v>0.49403935185185183</v>
      </c>
      <c r="R152" s="23">
        <v>0.73587962962962961</v>
      </c>
      <c r="S152">
        <v>17.87</v>
      </c>
      <c r="T152">
        <v>1</v>
      </c>
      <c r="U152" t="s">
        <v>2490</v>
      </c>
      <c r="V152">
        <v>5.8</v>
      </c>
      <c r="W152">
        <v>5.8</v>
      </c>
      <c r="X152" t="s">
        <v>2689</v>
      </c>
      <c r="Y152" t="s">
        <v>2689</v>
      </c>
      <c r="Z152" t="s">
        <v>2689</v>
      </c>
      <c r="AA152" t="s">
        <v>2689</v>
      </c>
      <c r="AC152" t="s">
        <v>2689</v>
      </c>
      <c r="AD152" t="s">
        <v>2689</v>
      </c>
      <c r="AE152" t="s">
        <v>2689</v>
      </c>
      <c r="AF152" t="s">
        <v>2689</v>
      </c>
      <c r="AH152">
        <v>103.65</v>
      </c>
      <c r="AI152" t="s">
        <v>2690</v>
      </c>
      <c r="AJ152" t="s">
        <v>2690</v>
      </c>
      <c r="AK152" t="s">
        <v>2690</v>
      </c>
      <c r="AL152" t="s">
        <v>2690</v>
      </c>
      <c r="AP152">
        <v>103.65</v>
      </c>
      <c r="AR152" s="23">
        <v>0.49403935185185183</v>
      </c>
      <c r="AS152" s="23">
        <v>0.73587962962962961</v>
      </c>
      <c r="AT152" s="23">
        <v>0.5</v>
      </c>
      <c r="AU152" s="23">
        <v>0.70833333333333337</v>
      </c>
      <c r="AV152" t="s">
        <v>2706</v>
      </c>
      <c r="BA152" t="s">
        <v>2798</v>
      </c>
      <c r="BD152" t="s">
        <v>2658</v>
      </c>
      <c r="BE152" t="s">
        <v>2656</v>
      </c>
      <c r="BG152">
        <v>0</v>
      </c>
      <c r="BH152">
        <v>0</v>
      </c>
      <c r="BJ152">
        <v>0</v>
      </c>
    </row>
    <row r="153" spans="1:62" x14ac:dyDescent="0.2">
      <c r="A153" t="s">
        <v>2469</v>
      </c>
      <c r="B153" t="s">
        <v>2477</v>
      </c>
      <c r="C153">
        <v>100087211</v>
      </c>
      <c r="D153" t="s">
        <v>2501</v>
      </c>
      <c r="E153" t="s">
        <v>2439</v>
      </c>
      <c r="F153" t="s">
        <v>2791</v>
      </c>
      <c r="G153" t="s">
        <v>2792</v>
      </c>
      <c r="H153" s="23">
        <v>0.79166666666666663</v>
      </c>
      <c r="I153" t="s">
        <v>2696</v>
      </c>
      <c r="J153" t="s">
        <v>2656</v>
      </c>
      <c r="K153" t="s">
        <v>2659</v>
      </c>
      <c r="L153" t="s">
        <v>2477</v>
      </c>
      <c r="M153" t="s">
        <v>2480</v>
      </c>
      <c r="N153" s="6">
        <v>46002</v>
      </c>
      <c r="O153" t="s">
        <v>2459</v>
      </c>
      <c r="P153" t="s">
        <v>2445</v>
      </c>
      <c r="Q153" s="23">
        <v>0.66877314814814814</v>
      </c>
      <c r="R153" s="23">
        <v>0.99520833333333336</v>
      </c>
      <c r="S153">
        <v>17.87</v>
      </c>
      <c r="T153">
        <v>1</v>
      </c>
      <c r="U153" t="s">
        <v>2920</v>
      </c>
      <c r="V153">
        <v>7.33</v>
      </c>
      <c r="W153">
        <v>7.33</v>
      </c>
      <c r="X153" t="s">
        <v>2689</v>
      </c>
      <c r="Y153" t="s">
        <v>2689</v>
      </c>
      <c r="Z153" t="s">
        <v>2689</v>
      </c>
      <c r="AA153" t="s">
        <v>2689</v>
      </c>
      <c r="AC153" t="s">
        <v>2689</v>
      </c>
      <c r="AD153" t="s">
        <v>2689</v>
      </c>
      <c r="AE153">
        <v>45</v>
      </c>
      <c r="AF153" t="s">
        <v>2689</v>
      </c>
      <c r="AH153">
        <v>130.99</v>
      </c>
      <c r="AI153" t="s">
        <v>2690</v>
      </c>
      <c r="AJ153" t="s">
        <v>2690</v>
      </c>
      <c r="AK153" t="s">
        <v>2690</v>
      </c>
      <c r="AL153" t="s">
        <v>2690</v>
      </c>
      <c r="AP153">
        <v>175.99</v>
      </c>
      <c r="AR153" s="23">
        <v>0.66877314814814814</v>
      </c>
      <c r="AS153" s="23">
        <v>0.99520833333333336</v>
      </c>
      <c r="AT153" s="23">
        <v>0.66666666666666663</v>
      </c>
      <c r="AU153" s="23">
        <v>2.0833333333333332E-2</v>
      </c>
      <c r="AV153" t="s">
        <v>2706</v>
      </c>
      <c r="AY153">
        <v>0.5</v>
      </c>
      <c r="BA153" t="s">
        <v>2798</v>
      </c>
      <c r="BD153" t="s">
        <v>2658</v>
      </c>
      <c r="BE153" t="s">
        <v>2656</v>
      </c>
      <c r="BF153" t="s">
        <v>2446</v>
      </c>
      <c r="BG153">
        <v>0</v>
      </c>
      <c r="BH153">
        <v>0</v>
      </c>
      <c r="BJ153">
        <v>0</v>
      </c>
    </row>
    <row r="154" spans="1:62" x14ac:dyDescent="0.2">
      <c r="A154" t="s">
        <v>2469</v>
      </c>
      <c r="B154" t="s">
        <v>2477</v>
      </c>
      <c r="C154">
        <v>100087211</v>
      </c>
      <c r="D154" t="s">
        <v>2501</v>
      </c>
      <c r="E154" t="s">
        <v>2439</v>
      </c>
      <c r="F154" t="s">
        <v>2794</v>
      </c>
      <c r="G154" t="s">
        <v>2795</v>
      </c>
      <c r="H154" s="23">
        <v>0.79166666666666663</v>
      </c>
      <c r="I154" t="s">
        <v>2696</v>
      </c>
      <c r="J154" t="s">
        <v>2656</v>
      </c>
      <c r="K154" t="s">
        <v>2657</v>
      </c>
      <c r="L154" t="s">
        <v>2477</v>
      </c>
      <c r="M154" t="s">
        <v>2480</v>
      </c>
      <c r="N154" s="6">
        <v>46003</v>
      </c>
      <c r="O154" t="s">
        <v>2449</v>
      </c>
      <c r="P154" t="s">
        <v>2445</v>
      </c>
      <c r="Q154" s="23">
        <v>0.61954861111111115</v>
      </c>
      <c r="R154" s="23">
        <v>0.98401620370370368</v>
      </c>
      <c r="S154">
        <v>17.87</v>
      </c>
      <c r="T154">
        <v>1</v>
      </c>
      <c r="U154" t="s">
        <v>2490</v>
      </c>
      <c r="V154">
        <v>8.25</v>
      </c>
      <c r="W154">
        <v>8</v>
      </c>
      <c r="X154">
        <v>0.25</v>
      </c>
      <c r="Y154" t="s">
        <v>2689</v>
      </c>
      <c r="Z154" t="s">
        <v>2689</v>
      </c>
      <c r="AA154" t="s">
        <v>2689</v>
      </c>
      <c r="AC154" t="s">
        <v>2689</v>
      </c>
      <c r="AD154" t="s">
        <v>2689</v>
      </c>
      <c r="AE154">
        <v>70</v>
      </c>
      <c r="AF154" t="s">
        <v>2689</v>
      </c>
      <c r="AH154">
        <v>142.96</v>
      </c>
      <c r="AI154">
        <v>6.7</v>
      </c>
      <c r="AJ154" t="s">
        <v>2690</v>
      </c>
      <c r="AK154" t="s">
        <v>2690</v>
      </c>
      <c r="AL154" t="s">
        <v>2690</v>
      </c>
      <c r="AP154">
        <v>219.66</v>
      </c>
      <c r="AR154" s="23">
        <v>0.61954861111111115</v>
      </c>
      <c r="AS154" s="23">
        <v>0.98401620370370368</v>
      </c>
      <c r="AT154" s="23">
        <v>0.625</v>
      </c>
      <c r="AU154" s="23">
        <v>0.97916666666666663</v>
      </c>
      <c r="AV154" t="s">
        <v>2706</v>
      </c>
      <c r="AY154">
        <v>0.5</v>
      </c>
      <c r="BA154" t="s">
        <v>2798</v>
      </c>
      <c r="BD154" t="s">
        <v>2482</v>
      </c>
      <c r="BE154" t="s">
        <v>2478</v>
      </c>
      <c r="BF154" t="s">
        <v>2446</v>
      </c>
      <c r="BG154">
        <v>0</v>
      </c>
      <c r="BH154">
        <v>0</v>
      </c>
      <c r="BJ154">
        <v>0</v>
      </c>
    </row>
    <row r="155" spans="1:62" x14ac:dyDescent="0.2">
      <c r="A155" t="s">
        <v>2469</v>
      </c>
      <c r="B155" t="s">
        <v>2477</v>
      </c>
      <c r="C155">
        <v>100087211</v>
      </c>
      <c r="D155" t="s">
        <v>2501</v>
      </c>
      <c r="E155" t="s">
        <v>2439</v>
      </c>
      <c r="F155" t="s">
        <v>2811</v>
      </c>
      <c r="G155" t="s">
        <v>2812</v>
      </c>
      <c r="H155" s="23">
        <v>0.6875</v>
      </c>
      <c r="I155" t="s">
        <v>2696</v>
      </c>
      <c r="J155" t="s">
        <v>2656</v>
      </c>
      <c r="K155" t="s">
        <v>2659</v>
      </c>
      <c r="L155" t="s">
        <v>2477</v>
      </c>
      <c r="M155" t="s">
        <v>2480</v>
      </c>
      <c r="N155" s="6">
        <v>46005</v>
      </c>
      <c r="O155" t="s">
        <v>2461</v>
      </c>
      <c r="P155" t="s">
        <v>2442</v>
      </c>
      <c r="Q155" s="23">
        <v>0.56635416666666671</v>
      </c>
      <c r="R155" s="23">
        <v>0.89064814814814819</v>
      </c>
      <c r="S155">
        <v>17.87</v>
      </c>
      <c r="T155">
        <v>1</v>
      </c>
      <c r="U155" t="s">
        <v>2490</v>
      </c>
      <c r="V155">
        <v>7.28</v>
      </c>
      <c r="W155">
        <v>7.28</v>
      </c>
      <c r="X155" t="s">
        <v>2689</v>
      </c>
      <c r="Y155" t="s">
        <v>2689</v>
      </c>
      <c r="Z155" t="s">
        <v>2689</v>
      </c>
      <c r="AA155" t="s">
        <v>2689</v>
      </c>
      <c r="AC155" t="s">
        <v>2689</v>
      </c>
      <c r="AD155" t="s">
        <v>2689</v>
      </c>
      <c r="AE155">
        <v>175</v>
      </c>
      <c r="AF155" t="s">
        <v>2689</v>
      </c>
      <c r="AH155">
        <v>130.09</v>
      </c>
      <c r="AI155" t="s">
        <v>2690</v>
      </c>
      <c r="AJ155" t="s">
        <v>2690</v>
      </c>
      <c r="AK155" t="s">
        <v>2690</v>
      </c>
      <c r="AL155" t="s">
        <v>2690</v>
      </c>
      <c r="AP155">
        <v>305.08999999999997</v>
      </c>
      <c r="AR155" s="23">
        <v>0.56635416666666671</v>
      </c>
      <c r="AS155" s="23">
        <v>0.89064814814814819</v>
      </c>
      <c r="AT155" s="23">
        <v>0.5625</v>
      </c>
      <c r="AU155" s="23">
        <v>0.89583333333333337</v>
      </c>
      <c r="AV155" t="s">
        <v>2706</v>
      </c>
      <c r="AY155">
        <v>0.5</v>
      </c>
      <c r="AZ155" t="s">
        <v>2921</v>
      </c>
      <c r="BA155" t="s">
        <v>2798</v>
      </c>
      <c r="BD155" t="s">
        <v>2658</v>
      </c>
      <c r="BE155" t="s">
        <v>2656</v>
      </c>
      <c r="BG155">
        <v>0</v>
      </c>
      <c r="BH155">
        <v>0</v>
      </c>
      <c r="BJ155">
        <v>0</v>
      </c>
    </row>
    <row r="156" spans="1:62" x14ac:dyDescent="0.2">
      <c r="A156" t="s">
        <v>2502</v>
      </c>
      <c r="B156" t="s">
        <v>2477</v>
      </c>
      <c r="C156">
        <v>100087221</v>
      </c>
      <c r="D156" t="s">
        <v>2922</v>
      </c>
      <c r="E156" t="s">
        <v>2439</v>
      </c>
      <c r="F156" t="s">
        <v>2791</v>
      </c>
      <c r="G156" t="s">
        <v>2792</v>
      </c>
      <c r="H156" s="23">
        <v>0.79166666666666663</v>
      </c>
      <c r="I156" t="s">
        <v>2696</v>
      </c>
      <c r="J156" t="s">
        <v>2504</v>
      </c>
      <c r="K156" t="s">
        <v>2513</v>
      </c>
      <c r="L156" t="s">
        <v>2477</v>
      </c>
      <c r="M156" t="s">
        <v>2480</v>
      </c>
      <c r="N156" s="6">
        <v>46002</v>
      </c>
      <c r="O156" t="s">
        <v>2459</v>
      </c>
      <c r="P156" t="s">
        <v>2445</v>
      </c>
      <c r="Q156" s="23">
        <v>0.70271990740740742</v>
      </c>
      <c r="R156" s="23">
        <v>4.861111111111111E-4</v>
      </c>
      <c r="S156">
        <v>19</v>
      </c>
      <c r="T156">
        <v>1</v>
      </c>
      <c r="U156" t="s">
        <v>2534</v>
      </c>
      <c r="V156">
        <v>6.5</v>
      </c>
      <c r="W156">
        <v>6.5</v>
      </c>
      <c r="X156" t="s">
        <v>2689</v>
      </c>
      <c r="Y156" t="s">
        <v>2689</v>
      </c>
      <c r="Z156" t="s">
        <v>2689</v>
      </c>
      <c r="AA156" t="s">
        <v>2689</v>
      </c>
      <c r="AC156" t="s">
        <v>2689</v>
      </c>
      <c r="AD156" t="s">
        <v>2689</v>
      </c>
      <c r="AE156" t="s">
        <v>2689</v>
      </c>
      <c r="AF156" t="s">
        <v>2689</v>
      </c>
      <c r="AH156">
        <v>123.5</v>
      </c>
      <c r="AI156" t="s">
        <v>2690</v>
      </c>
      <c r="AJ156" t="s">
        <v>2690</v>
      </c>
      <c r="AK156" t="s">
        <v>2690</v>
      </c>
      <c r="AL156" t="s">
        <v>2690</v>
      </c>
      <c r="AP156">
        <v>123.5</v>
      </c>
      <c r="AR156" s="23">
        <v>0.70271990740740742</v>
      </c>
      <c r="AS156" s="23">
        <v>4.861111111111111E-4</v>
      </c>
      <c r="AT156" s="23">
        <v>0.70271990740740742</v>
      </c>
      <c r="AU156" t="s">
        <v>2689</v>
      </c>
      <c r="AV156" t="s">
        <v>2704</v>
      </c>
      <c r="AY156">
        <v>0.64</v>
      </c>
      <c r="AZ156" t="s">
        <v>2923</v>
      </c>
      <c r="BA156" t="s">
        <v>2798</v>
      </c>
      <c r="BD156" t="s">
        <v>2508</v>
      </c>
      <c r="BE156" t="s">
        <v>2509</v>
      </c>
      <c r="BF156" t="s">
        <v>2924</v>
      </c>
      <c r="BG156">
        <v>0</v>
      </c>
      <c r="BH156">
        <v>0</v>
      </c>
      <c r="BJ156">
        <v>0</v>
      </c>
    </row>
    <row r="157" spans="1:62" x14ac:dyDescent="0.2">
      <c r="A157" t="s">
        <v>2469</v>
      </c>
      <c r="B157" t="s">
        <v>2477</v>
      </c>
      <c r="C157">
        <v>100087237</v>
      </c>
      <c r="D157" t="s">
        <v>2701</v>
      </c>
      <c r="E157" t="s">
        <v>2439</v>
      </c>
      <c r="F157" t="s">
        <v>2782</v>
      </c>
      <c r="G157" t="s">
        <v>2783</v>
      </c>
      <c r="H157" s="23">
        <v>0.70833333333333337</v>
      </c>
      <c r="I157" t="s">
        <v>2696</v>
      </c>
      <c r="J157" t="s">
        <v>2478</v>
      </c>
      <c r="K157" t="s">
        <v>2479</v>
      </c>
      <c r="L157" t="s">
        <v>2477</v>
      </c>
      <c r="M157" t="s">
        <v>2480</v>
      </c>
      <c r="N157" s="6">
        <v>45994</v>
      </c>
      <c r="O157" t="s">
        <v>2458</v>
      </c>
      <c r="P157" t="s">
        <v>2445</v>
      </c>
      <c r="Q157" s="23">
        <v>0.61822916666666672</v>
      </c>
      <c r="R157" s="23">
        <v>0.85976851851851854</v>
      </c>
      <c r="S157">
        <v>22</v>
      </c>
      <c r="T157">
        <v>1</v>
      </c>
      <c r="U157" t="s">
        <v>2481</v>
      </c>
      <c r="V157">
        <v>5.3</v>
      </c>
      <c r="W157">
        <v>5.3</v>
      </c>
      <c r="X157" t="s">
        <v>2689</v>
      </c>
      <c r="Y157" t="s">
        <v>2689</v>
      </c>
      <c r="Z157" t="s">
        <v>2689</v>
      </c>
      <c r="AA157" t="s">
        <v>2689</v>
      </c>
      <c r="AC157" t="s">
        <v>2689</v>
      </c>
      <c r="AD157" t="s">
        <v>2689</v>
      </c>
      <c r="AE157">
        <v>175</v>
      </c>
      <c r="AF157" t="s">
        <v>2689</v>
      </c>
      <c r="AH157">
        <v>116.6</v>
      </c>
      <c r="AI157" t="s">
        <v>2690</v>
      </c>
      <c r="AJ157" t="s">
        <v>2690</v>
      </c>
      <c r="AK157" t="s">
        <v>2690</v>
      </c>
      <c r="AL157" t="s">
        <v>2690</v>
      </c>
      <c r="AP157">
        <v>291.60000000000002</v>
      </c>
      <c r="AR157" s="23">
        <v>0.61822916666666672</v>
      </c>
      <c r="AS157" s="23">
        <v>0.85976851851851854</v>
      </c>
      <c r="AT157" s="23">
        <v>0.625</v>
      </c>
      <c r="AU157" s="23">
        <v>0.89583333333333337</v>
      </c>
      <c r="AV157" t="s">
        <v>2706</v>
      </c>
      <c r="AY157">
        <v>0.5</v>
      </c>
      <c r="AZ157" t="s">
        <v>2925</v>
      </c>
      <c r="BA157" t="s">
        <v>2754</v>
      </c>
      <c r="BD157" t="s">
        <v>2482</v>
      </c>
      <c r="BE157" t="s">
        <v>2478</v>
      </c>
      <c r="BG157">
        <v>0</v>
      </c>
      <c r="BH157">
        <v>0</v>
      </c>
      <c r="BJ157">
        <v>0</v>
      </c>
    </row>
    <row r="158" spans="1:62" x14ac:dyDescent="0.2">
      <c r="A158" t="s">
        <v>2469</v>
      </c>
      <c r="B158" t="s">
        <v>2477</v>
      </c>
      <c r="C158">
        <v>100087237</v>
      </c>
      <c r="D158" t="s">
        <v>2701</v>
      </c>
      <c r="E158" t="s">
        <v>2439</v>
      </c>
      <c r="F158" t="s">
        <v>2452</v>
      </c>
      <c r="G158" t="s">
        <v>2453</v>
      </c>
      <c r="H158" s="23">
        <v>0.33333333333333331</v>
      </c>
      <c r="I158" t="s">
        <v>2688</v>
      </c>
      <c r="J158" t="s">
        <v>2478</v>
      </c>
      <c r="K158" t="s">
        <v>2926</v>
      </c>
      <c r="L158" t="s">
        <v>2477</v>
      </c>
      <c r="M158" t="s">
        <v>2480</v>
      </c>
      <c r="N158" s="6">
        <v>46001</v>
      </c>
      <c r="O158" t="s">
        <v>2458</v>
      </c>
      <c r="P158" t="s">
        <v>2445</v>
      </c>
      <c r="Q158" s="23">
        <v>0.50187499999999996</v>
      </c>
      <c r="R158" s="23">
        <v>0.70424768518518521</v>
      </c>
      <c r="S158">
        <v>18.25</v>
      </c>
      <c r="T158">
        <v>1</v>
      </c>
      <c r="U158" t="s">
        <v>2470</v>
      </c>
      <c r="V158">
        <v>4.8600000000000003</v>
      </c>
      <c r="W158">
        <v>4.8600000000000003</v>
      </c>
      <c r="X158" t="s">
        <v>2689</v>
      </c>
      <c r="Y158" t="s">
        <v>2689</v>
      </c>
      <c r="Z158" t="s">
        <v>2689</v>
      </c>
      <c r="AA158" t="s">
        <v>2689</v>
      </c>
      <c r="AC158" t="s">
        <v>2689</v>
      </c>
      <c r="AD158" t="s">
        <v>2689</v>
      </c>
      <c r="AE158" t="s">
        <v>2689</v>
      </c>
      <c r="AF158" t="s">
        <v>2689</v>
      </c>
      <c r="AH158">
        <v>88.7</v>
      </c>
      <c r="AI158" t="s">
        <v>2690</v>
      </c>
      <c r="AJ158" t="s">
        <v>2690</v>
      </c>
      <c r="AK158" t="s">
        <v>2690</v>
      </c>
      <c r="AL158" t="s">
        <v>2690</v>
      </c>
      <c r="AP158">
        <v>88.7</v>
      </c>
      <c r="AR158" s="23">
        <v>0.50187499999999996</v>
      </c>
      <c r="AS158" s="23">
        <v>0.70424768518518521</v>
      </c>
      <c r="AT158" s="23">
        <v>0.5</v>
      </c>
      <c r="AU158" s="23">
        <v>0.70833333333333337</v>
      </c>
      <c r="AV158" t="s">
        <v>2706</v>
      </c>
      <c r="BA158" t="s">
        <v>2798</v>
      </c>
      <c r="BD158" t="s">
        <v>2482</v>
      </c>
      <c r="BE158" t="s">
        <v>2478</v>
      </c>
      <c r="BG158">
        <v>0</v>
      </c>
      <c r="BH158">
        <v>0</v>
      </c>
      <c r="BJ158">
        <v>0</v>
      </c>
    </row>
    <row r="159" spans="1:62" x14ac:dyDescent="0.2">
      <c r="A159" t="s">
        <v>2469</v>
      </c>
      <c r="B159" t="s">
        <v>2477</v>
      </c>
      <c r="C159">
        <v>100087237</v>
      </c>
      <c r="D159" t="s">
        <v>2701</v>
      </c>
      <c r="E159" t="s">
        <v>2439</v>
      </c>
      <c r="F159" t="s">
        <v>2794</v>
      </c>
      <c r="G159" t="s">
        <v>2795</v>
      </c>
      <c r="H159" s="23">
        <v>0.79166666666666663</v>
      </c>
      <c r="I159" t="s">
        <v>2696</v>
      </c>
      <c r="J159" t="s">
        <v>2478</v>
      </c>
      <c r="K159" t="s">
        <v>2673</v>
      </c>
      <c r="L159" t="s">
        <v>2477</v>
      </c>
      <c r="M159" t="s">
        <v>2480</v>
      </c>
      <c r="N159" s="6">
        <v>46003</v>
      </c>
      <c r="O159" t="s">
        <v>2449</v>
      </c>
      <c r="P159" t="s">
        <v>2445</v>
      </c>
      <c r="Q159" s="23">
        <v>0.6817361111111111</v>
      </c>
      <c r="R159" s="23">
        <v>0.9692708333333333</v>
      </c>
      <c r="S159">
        <v>18.25</v>
      </c>
      <c r="T159">
        <v>1</v>
      </c>
      <c r="U159" t="s">
        <v>2470</v>
      </c>
      <c r="V159">
        <v>6.4</v>
      </c>
      <c r="W159">
        <v>6.4</v>
      </c>
      <c r="X159" t="s">
        <v>2689</v>
      </c>
      <c r="Y159" t="s">
        <v>2689</v>
      </c>
      <c r="Z159" t="s">
        <v>2689</v>
      </c>
      <c r="AA159" t="s">
        <v>2689</v>
      </c>
      <c r="AC159" t="s">
        <v>2689</v>
      </c>
      <c r="AD159" t="s">
        <v>2689</v>
      </c>
      <c r="AE159">
        <v>175</v>
      </c>
      <c r="AF159" t="s">
        <v>2689</v>
      </c>
      <c r="AH159">
        <v>116.8</v>
      </c>
      <c r="AI159" t="s">
        <v>2690</v>
      </c>
      <c r="AJ159" t="s">
        <v>2690</v>
      </c>
      <c r="AK159" t="s">
        <v>2690</v>
      </c>
      <c r="AL159" t="s">
        <v>2690</v>
      </c>
      <c r="AP159">
        <v>291.8</v>
      </c>
      <c r="AR159" s="23">
        <v>0.6817361111111111</v>
      </c>
      <c r="AS159" s="23">
        <v>0.9692708333333333</v>
      </c>
      <c r="AT159" s="23">
        <v>0.6875</v>
      </c>
      <c r="AU159" s="23">
        <v>0.97916666666666663</v>
      </c>
      <c r="AV159" t="s">
        <v>2706</v>
      </c>
      <c r="AY159">
        <v>0.5</v>
      </c>
      <c r="AZ159" t="s">
        <v>2927</v>
      </c>
      <c r="BA159" t="s">
        <v>2798</v>
      </c>
      <c r="BD159" t="s">
        <v>2482</v>
      </c>
      <c r="BE159" t="s">
        <v>2478</v>
      </c>
      <c r="BG159">
        <v>0</v>
      </c>
      <c r="BH159">
        <v>0</v>
      </c>
      <c r="BJ159">
        <v>0</v>
      </c>
    </row>
    <row r="160" spans="1:62" x14ac:dyDescent="0.2">
      <c r="A160" t="s">
        <v>2469</v>
      </c>
      <c r="B160" t="s">
        <v>2477</v>
      </c>
      <c r="C160">
        <v>100087237</v>
      </c>
      <c r="D160" t="s">
        <v>2701</v>
      </c>
      <c r="E160" t="s">
        <v>2439</v>
      </c>
      <c r="F160" t="s">
        <v>2811</v>
      </c>
      <c r="G160" t="s">
        <v>2812</v>
      </c>
      <c r="H160" s="23">
        <v>0.6875</v>
      </c>
      <c r="I160" t="s">
        <v>2696</v>
      </c>
      <c r="J160" t="s">
        <v>2478</v>
      </c>
      <c r="K160" t="s">
        <v>2479</v>
      </c>
      <c r="L160" t="s">
        <v>2477</v>
      </c>
      <c r="M160" t="s">
        <v>2480</v>
      </c>
      <c r="N160" s="6">
        <v>46005</v>
      </c>
      <c r="O160" t="s">
        <v>2461</v>
      </c>
      <c r="P160" t="s">
        <v>2442</v>
      </c>
      <c r="Q160" s="23">
        <v>0.60394675925925922</v>
      </c>
      <c r="R160" s="23">
        <v>0.87942129629629628</v>
      </c>
      <c r="S160">
        <v>18.25</v>
      </c>
      <c r="T160">
        <v>1</v>
      </c>
      <c r="U160" t="s">
        <v>2470</v>
      </c>
      <c r="V160">
        <v>6.11</v>
      </c>
      <c r="W160">
        <v>6.11</v>
      </c>
      <c r="X160" t="s">
        <v>2689</v>
      </c>
      <c r="Y160" t="s">
        <v>2689</v>
      </c>
      <c r="Z160" t="s">
        <v>2689</v>
      </c>
      <c r="AA160" t="s">
        <v>2689</v>
      </c>
      <c r="AC160" t="s">
        <v>2689</v>
      </c>
      <c r="AD160" t="s">
        <v>2689</v>
      </c>
      <c r="AE160">
        <v>175</v>
      </c>
      <c r="AF160" t="s">
        <v>2689</v>
      </c>
      <c r="AH160">
        <v>111.51</v>
      </c>
      <c r="AI160" t="s">
        <v>2690</v>
      </c>
      <c r="AJ160" t="s">
        <v>2690</v>
      </c>
      <c r="AK160" t="s">
        <v>2690</v>
      </c>
      <c r="AL160" t="s">
        <v>2690</v>
      </c>
      <c r="AP160">
        <v>286.51</v>
      </c>
      <c r="AR160" s="23">
        <v>0.60394675925925922</v>
      </c>
      <c r="AS160" s="23">
        <v>0.87942129629629628</v>
      </c>
      <c r="AT160" s="23">
        <v>0.60416666666666663</v>
      </c>
      <c r="AU160" s="23">
        <v>0.89583333333333337</v>
      </c>
      <c r="AV160" t="s">
        <v>2706</v>
      </c>
      <c r="AY160">
        <v>0.5</v>
      </c>
      <c r="AZ160" t="s">
        <v>2928</v>
      </c>
      <c r="BA160" t="s">
        <v>2798</v>
      </c>
      <c r="BD160" t="s">
        <v>2482</v>
      </c>
      <c r="BE160" t="s">
        <v>2478</v>
      </c>
      <c r="BG160">
        <v>0</v>
      </c>
      <c r="BH160">
        <v>0</v>
      </c>
      <c r="BJ160">
        <v>0</v>
      </c>
    </row>
    <row r="161" spans="1:62" x14ac:dyDescent="0.2">
      <c r="A161" t="s">
        <v>2469</v>
      </c>
      <c r="B161" t="s">
        <v>2477</v>
      </c>
      <c r="C161">
        <v>100087259</v>
      </c>
      <c r="D161" t="s">
        <v>2702</v>
      </c>
      <c r="E161" t="s">
        <v>2439</v>
      </c>
      <c r="F161" t="s">
        <v>2800</v>
      </c>
      <c r="G161" t="s">
        <v>2801</v>
      </c>
      <c r="H161" s="23">
        <v>0.66666666666666663</v>
      </c>
      <c r="I161" t="s">
        <v>2696</v>
      </c>
      <c r="J161" t="s">
        <v>2478</v>
      </c>
      <c r="K161" t="s">
        <v>2901</v>
      </c>
      <c r="L161" t="s">
        <v>2477</v>
      </c>
      <c r="M161" t="s">
        <v>2480</v>
      </c>
      <c r="N161" s="6">
        <v>45993</v>
      </c>
      <c r="O161" t="s">
        <v>2457</v>
      </c>
      <c r="P161" t="s">
        <v>2445</v>
      </c>
      <c r="Q161" s="23">
        <v>0.30986111111111109</v>
      </c>
      <c r="R161" s="23">
        <v>0.62368055555555557</v>
      </c>
      <c r="S161">
        <v>22</v>
      </c>
      <c r="T161">
        <v>1</v>
      </c>
      <c r="U161" t="s">
        <v>2481</v>
      </c>
      <c r="V161">
        <v>7.03</v>
      </c>
      <c r="W161">
        <v>7.03</v>
      </c>
      <c r="X161" t="s">
        <v>2689</v>
      </c>
      <c r="Y161" t="s">
        <v>2689</v>
      </c>
      <c r="Z161" t="s">
        <v>2689</v>
      </c>
      <c r="AA161" t="s">
        <v>2689</v>
      </c>
      <c r="AC161" t="s">
        <v>2689</v>
      </c>
      <c r="AD161" t="s">
        <v>2689</v>
      </c>
      <c r="AE161">
        <v>175</v>
      </c>
      <c r="AF161" t="s">
        <v>2689</v>
      </c>
      <c r="AH161">
        <v>154.66</v>
      </c>
      <c r="AI161" t="s">
        <v>2690</v>
      </c>
      <c r="AJ161" t="s">
        <v>2690</v>
      </c>
      <c r="AK161" t="s">
        <v>2690</v>
      </c>
      <c r="AL161" t="s">
        <v>2690</v>
      </c>
      <c r="AP161">
        <v>329.66</v>
      </c>
      <c r="AR161" s="23">
        <v>0.30986111111111109</v>
      </c>
      <c r="AS161" s="23">
        <v>0.62368055555555557</v>
      </c>
      <c r="AT161" s="23">
        <v>0.30986111111111109</v>
      </c>
      <c r="AU161" t="s">
        <v>2689</v>
      </c>
      <c r="AV161" t="s">
        <v>2706</v>
      </c>
      <c r="AY161">
        <v>0.5</v>
      </c>
      <c r="BA161" t="s">
        <v>2752</v>
      </c>
      <c r="BD161" t="s">
        <v>2482</v>
      </c>
      <c r="BE161" t="s">
        <v>2478</v>
      </c>
      <c r="BF161" t="s">
        <v>2446</v>
      </c>
      <c r="BG161">
        <v>0</v>
      </c>
      <c r="BH161">
        <v>0</v>
      </c>
      <c r="BJ161">
        <v>0</v>
      </c>
    </row>
    <row r="162" spans="1:62" x14ac:dyDescent="0.2">
      <c r="A162" t="s">
        <v>2469</v>
      </c>
      <c r="B162" t="s">
        <v>2477</v>
      </c>
      <c r="C162">
        <v>100087259</v>
      </c>
      <c r="D162" t="s">
        <v>2702</v>
      </c>
      <c r="E162" t="s">
        <v>2439</v>
      </c>
      <c r="F162" t="s">
        <v>2782</v>
      </c>
      <c r="G162" t="s">
        <v>2783</v>
      </c>
      <c r="H162" s="23">
        <v>0.70833333333333337</v>
      </c>
      <c r="I162" t="s">
        <v>2696</v>
      </c>
      <c r="J162" t="s">
        <v>2478</v>
      </c>
      <c r="K162" t="s">
        <v>2655</v>
      </c>
      <c r="L162" t="s">
        <v>2477</v>
      </c>
      <c r="M162" t="s">
        <v>2480</v>
      </c>
      <c r="N162" s="6">
        <v>45994</v>
      </c>
      <c r="O162" t="s">
        <v>2458</v>
      </c>
      <c r="P162" t="s">
        <v>2445</v>
      </c>
      <c r="Q162" s="23">
        <v>0.62395833333333328</v>
      </c>
      <c r="R162" s="23">
        <v>0.86814814814814811</v>
      </c>
      <c r="S162">
        <v>22</v>
      </c>
      <c r="T162">
        <v>1</v>
      </c>
      <c r="U162" t="s">
        <v>2481</v>
      </c>
      <c r="V162">
        <v>5.86</v>
      </c>
      <c r="W162">
        <v>5.86</v>
      </c>
      <c r="X162" t="s">
        <v>2689</v>
      </c>
      <c r="Y162" t="s">
        <v>2689</v>
      </c>
      <c r="Z162" t="s">
        <v>2689</v>
      </c>
      <c r="AA162" t="s">
        <v>2689</v>
      </c>
      <c r="AC162" t="s">
        <v>2689</v>
      </c>
      <c r="AD162" t="s">
        <v>2689</v>
      </c>
      <c r="AE162">
        <v>175</v>
      </c>
      <c r="AF162" t="s">
        <v>2689</v>
      </c>
      <c r="AH162">
        <v>128.91999999999999</v>
      </c>
      <c r="AI162" t="s">
        <v>2690</v>
      </c>
      <c r="AJ162" t="s">
        <v>2690</v>
      </c>
      <c r="AK162" t="s">
        <v>2690</v>
      </c>
      <c r="AL162" t="s">
        <v>2690</v>
      </c>
      <c r="AP162">
        <v>303.92</v>
      </c>
      <c r="AR162" s="23">
        <v>0.62395833333333328</v>
      </c>
      <c r="AS162" s="23">
        <v>0.86814814814814811</v>
      </c>
      <c r="AT162" s="23">
        <v>0.625</v>
      </c>
      <c r="AU162" s="23">
        <v>0.89583333333333337</v>
      </c>
      <c r="AV162" t="s">
        <v>2706</v>
      </c>
      <c r="BA162" t="s">
        <v>2754</v>
      </c>
      <c r="BD162" t="s">
        <v>2482</v>
      </c>
      <c r="BE162" t="s">
        <v>2478</v>
      </c>
      <c r="BG162">
        <v>0</v>
      </c>
      <c r="BH162">
        <v>0</v>
      </c>
      <c r="BJ162">
        <v>0</v>
      </c>
    </row>
    <row r="163" spans="1:62" x14ac:dyDescent="0.2">
      <c r="A163" t="s">
        <v>2469</v>
      </c>
      <c r="B163" t="s">
        <v>2477</v>
      </c>
      <c r="C163">
        <v>100087259</v>
      </c>
      <c r="D163" t="s">
        <v>2702</v>
      </c>
      <c r="E163" t="s">
        <v>2439</v>
      </c>
      <c r="F163" t="s">
        <v>2786</v>
      </c>
      <c r="G163" t="s">
        <v>2787</v>
      </c>
      <c r="H163" s="23">
        <v>0.66666666666666663</v>
      </c>
      <c r="I163" t="s">
        <v>2696</v>
      </c>
      <c r="J163" t="s">
        <v>2478</v>
      </c>
      <c r="K163" t="s">
        <v>2929</v>
      </c>
      <c r="L163" t="s">
        <v>2477</v>
      </c>
      <c r="M163" t="s">
        <v>2480</v>
      </c>
      <c r="N163" s="6">
        <v>45999</v>
      </c>
      <c r="O163" t="s">
        <v>2455</v>
      </c>
      <c r="P163" t="s">
        <v>2445</v>
      </c>
      <c r="Q163" s="23">
        <v>0.62511574074074072</v>
      </c>
      <c r="R163" s="23">
        <v>0.84589120370370374</v>
      </c>
      <c r="S163">
        <v>22</v>
      </c>
      <c r="T163">
        <v>1</v>
      </c>
      <c r="U163" t="s">
        <v>2481</v>
      </c>
      <c r="V163">
        <v>5.3</v>
      </c>
      <c r="W163">
        <v>5.3</v>
      </c>
      <c r="X163" t="s">
        <v>2689</v>
      </c>
      <c r="Y163" t="s">
        <v>2689</v>
      </c>
      <c r="Z163" t="s">
        <v>2689</v>
      </c>
      <c r="AA163" t="s">
        <v>2689</v>
      </c>
      <c r="AC163" t="s">
        <v>2689</v>
      </c>
      <c r="AD163" t="s">
        <v>2689</v>
      </c>
      <c r="AE163">
        <v>175</v>
      </c>
      <c r="AF163" t="s">
        <v>2689</v>
      </c>
      <c r="AH163">
        <v>116.6</v>
      </c>
      <c r="AI163" t="s">
        <v>2690</v>
      </c>
      <c r="AJ163" t="s">
        <v>2690</v>
      </c>
      <c r="AK163" t="s">
        <v>2690</v>
      </c>
      <c r="AL163" t="s">
        <v>2690</v>
      </c>
      <c r="AP163">
        <v>291.60000000000002</v>
      </c>
      <c r="AR163" s="23">
        <v>0.62511574074074072</v>
      </c>
      <c r="AS163" s="23">
        <v>0.84589120370370374</v>
      </c>
      <c r="AT163" s="23">
        <v>0.625</v>
      </c>
      <c r="AU163" s="23">
        <v>0.85416666666666663</v>
      </c>
      <c r="AV163" t="s">
        <v>2706</v>
      </c>
      <c r="BA163" t="s">
        <v>2861</v>
      </c>
      <c r="BD163" t="s">
        <v>2482</v>
      </c>
      <c r="BE163" t="s">
        <v>2478</v>
      </c>
      <c r="BG163">
        <v>0</v>
      </c>
      <c r="BH163">
        <v>0</v>
      </c>
      <c r="BJ163">
        <v>0</v>
      </c>
    </row>
    <row r="164" spans="1:62" x14ac:dyDescent="0.2">
      <c r="A164" t="s">
        <v>2469</v>
      </c>
      <c r="B164" t="s">
        <v>2477</v>
      </c>
      <c r="C164">
        <v>100087259</v>
      </c>
      <c r="D164" t="s">
        <v>2702</v>
      </c>
      <c r="E164" t="s">
        <v>2439</v>
      </c>
      <c r="F164" t="s">
        <v>2452</v>
      </c>
      <c r="G164" t="s">
        <v>2453</v>
      </c>
      <c r="H164" s="23">
        <v>0.33333333333333331</v>
      </c>
      <c r="I164" t="s">
        <v>2688</v>
      </c>
      <c r="J164" t="s">
        <v>2478</v>
      </c>
      <c r="K164" t="s">
        <v>2709</v>
      </c>
      <c r="L164" t="s">
        <v>2477</v>
      </c>
      <c r="M164" t="s">
        <v>2480</v>
      </c>
      <c r="N164" s="6">
        <v>46001</v>
      </c>
      <c r="O164" t="s">
        <v>2458</v>
      </c>
      <c r="P164" t="s">
        <v>2445</v>
      </c>
      <c r="Q164" s="23">
        <v>0.49055555555555558</v>
      </c>
      <c r="R164" s="23">
        <v>0.71256944444444448</v>
      </c>
      <c r="S164">
        <v>22</v>
      </c>
      <c r="T164">
        <v>1</v>
      </c>
      <c r="U164" t="s">
        <v>2481</v>
      </c>
      <c r="V164">
        <v>5.33</v>
      </c>
      <c r="W164">
        <v>5.33</v>
      </c>
      <c r="X164" t="s">
        <v>2689</v>
      </c>
      <c r="Y164" t="s">
        <v>2689</v>
      </c>
      <c r="Z164" t="s">
        <v>2689</v>
      </c>
      <c r="AA164" t="s">
        <v>2689</v>
      </c>
      <c r="AC164" t="s">
        <v>2689</v>
      </c>
      <c r="AD164" t="s">
        <v>2689</v>
      </c>
      <c r="AE164" t="s">
        <v>2689</v>
      </c>
      <c r="AF164" t="s">
        <v>2689</v>
      </c>
      <c r="AH164">
        <v>117.26</v>
      </c>
      <c r="AI164" t="s">
        <v>2690</v>
      </c>
      <c r="AJ164" t="s">
        <v>2690</v>
      </c>
      <c r="AK164" t="s">
        <v>2690</v>
      </c>
      <c r="AL164" t="s">
        <v>2690</v>
      </c>
      <c r="AP164">
        <v>117.26</v>
      </c>
      <c r="AR164" s="23">
        <v>0.49055555555555558</v>
      </c>
      <c r="AS164" s="23">
        <v>0.71256944444444448</v>
      </c>
      <c r="AT164" s="23">
        <v>0.49055555555555558</v>
      </c>
      <c r="AU164" t="s">
        <v>2689</v>
      </c>
      <c r="AV164" t="s">
        <v>2706</v>
      </c>
      <c r="BA164" t="s">
        <v>2798</v>
      </c>
      <c r="BD164" t="s">
        <v>2482</v>
      </c>
      <c r="BE164" t="s">
        <v>2478</v>
      </c>
      <c r="BF164" t="s">
        <v>2930</v>
      </c>
      <c r="BG164">
        <v>0</v>
      </c>
      <c r="BH164">
        <v>0</v>
      </c>
      <c r="BJ164">
        <v>0</v>
      </c>
    </row>
    <row r="165" spans="1:62" x14ac:dyDescent="0.2">
      <c r="A165" t="s">
        <v>2469</v>
      </c>
      <c r="B165" t="s">
        <v>2477</v>
      </c>
      <c r="C165">
        <v>100087259</v>
      </c>
      <c r="D165" t="s">
        <v>2702</v>
      </c>
      <c r="E165" t="s">
        <v>2439</v>
      </c>
      <c r="F165" t="s">
        <v>2791</v>
      </c>
      <c r="G165" t="s">
        <v>2792</v>
      </c>
      <c r="H165" s="23">
        <v>0.79166666666666663</v>
      </c>
      <c r="I165" t="s">
        <v>2696</v>
      </c>
      <c r="J165" t="s">
        <v>2478</v>
      </c>
      <c r="K165" t="s">
        <v>2675</v>
      </c>
      <c r="L165" t="s">
        <v>2477</v>
      </c>
      <c r="M165" t="s">
        <v>2480</v>
      </c>
      <c r="N165" s="6">
        <v>46002</v>
      </c>
      <c r="O165" t="s">
        <v>2459</v>
      </c>
      <c r="P165" t="s">
        <v>2445</v>
      </c>
      <c r="Q165" s="23">
        <v>0.69120370370370365</v>
      </c>
      <c r="R165" s="23">
        <v>0.98390046296296296</v>
      </c>
      <c r="S165">
        <v>22</v>
      </c>
      <c r="T165">
        <v>1</v>
      </c>
      <c r="U165" t="s">
        <v>2481</v>
      </c>
      <c r="V165">
        <v>6.52</v>
      </c>
      <c r="W165">
        <v>6.52</v>
      </c>
      <c r="X165" t="s">
        <v>2689</v>
      </c>
      <c r="Y165" t="s">
        <v>2689</v>
      </c>
      <c r="Z165" t="s">
        <v>2689</v>
      </c>
      <c r="AA165" t="s">
        <v>2689</v>
      </c>
      <c r="AC165" t="s">
        <v>2689</v>
      </c>
      <c r="AD165" t="s">
        <v>2689</v>
      </c>
      <c r="AE165">
        <v>160</v>
      </c>
      <c r="AF165" t="s">
        <v>2689</v>
      </c>
      <c r="AH165">
        <v>143.44</v>
      </c>
      <c r="AI165" t="s">
        <v>2690</v>
      </c>
      <c r="AJ165" t="s">
        <v>2690</v>
      </c>
      <c r="AK165" t="s">
        <v>2690</v>
      </c>
      <c r="AL165" t="s">
        <v>2690</v>
      </c>
      <c r="AP165">
        <v>303.44</v>
      </c>
      <c r="AR165" s="23">
        <v>0.69120370370370365</v>
      </c>
      <c r="AS165" s="23">
        <v>0.98390046296296296</v>
      </c>
      <c r="AT165" s="23">
        <v>0.6875</v>
      </c>
      <c r="AU165" s="23">
        <v>2.0833333333333332E-2</v>
      </c>
      <c r="AV165" t="s">
        <v>2706</v>
      </c>
      <c r="AY165">
        <v>0.5</v>
      </c>
      <c r="AZ165" t="s">
        <v>2931</v>
      </c>
      <c r="BA165" t="s">
        <v>2798</v>
      </c>
      <c r="BD165" t="s">
        <v>2482</v>
      </c>
      <c r="BE165" t="s">
        <v>2478</v>
      </c>
      <c r="BG165">
        <v>0</v>
      </c>
      <c r="BH165">
        <v>0</v>
      </c>
      <c r="BJ165">
        <v>0</v>
      </c>
    </row>
    <row r="166" spans="1:62" x14ac:dyDescent="0.2">
      <c r="A166" t="s">
        <v>2469</v>
      </c>
      <c r="B166" t="s">
        <v>2477</v>
      </c>
      <c r="C166">
        <v>100087259</v>
      </c>
      <c r="D166" t="s">
        <v>2702</v>
      </c>
      <c r="E166" t="s">
        <v>2439</v>
      </c>
      <c r="F166" t="s">
        <v>2794</v>
      </c>
      <c r="G166" t="s">
        <v>2795</v>
      </c>
      <c r="H166" s="23">
        <v>0.79166666666666663</v>
      </c>
      <c r="I166" t="s">
        <v>2696</v>
      </c>
      <c r="J166" t="s">
        <v>2478</v>
      </c>
      <c r="K166" t="s">
        <v>2491</v>
      </c>
      <c r="L166" t="s">
        <v>2477</v>
      </c>
      <c r="M166" t="s">
        <v>2480</v>
      </c>
      <c r="N166" s="6">
        <v>46003</v>
      </c>
      <c r="O166" t="s">
        <v>2449</v>
      </c>
      <c r="P166" t="s">
        <v>2445</v>
      </c>
      <c r="Q166" s="23">
        <v>0.59868055555555555</v>
      </c>
      <c r="R166" s="23">
        <v>0.98395833333333338</v>
      </c>
      <c r="S166">
        <v>18.25</v>
      </c>
      <c r="T166">
        <v>1</v>
      </c>
      <c r="U166" t="s">
        <v>2470</v>
      </c>
      <c r="V166">
        <v>8.75</v>
      </c>
      <c r="W166">
        <v>8</v>
      </c>
      <c r="X166">
        <v>0.75</v>
      </c>
      <c r="Y166" t="s">
        <v>2689</v>
      </c>
      <c r="Z166" t="s">
        <v>2689</v>
      </c>
      <c r="AA166" t="s">
        <v>2689</v>
      </c>
      <c r="AC166" t="s">
        <v>2689</v>
      </c>
      <c r="AD166" t="s">
        <v>2689</v>
      </c>
      <c r="AE166">
        <v>175</v>
      </c>
      <c r="AF166" t="s">
        <v>2689</v>
      </c>
      <c r="AH166">
        <v>146</v>
      </c>
      <c r="AI166">
        <v>21.15</v>
      </c>
      <c r="AJ166" t="s">
        <v>2690</v>
      </c>
      <c r="AK166" t="s">
        <v>2690</v>
      </c>
      <c r="AL166" t="s">
        <v>2690</v>
      </c>
      <c r="AP166">
        <v>342.15</v>
      </c>
      <c r="AQ166" t="s">
        <v>2442</v>
      </c>
      <c r="AR166" s="23">
        <v>0.59868055555555555</v>
      </c>
      <c r="AS166" s="23">
        <v>0.98395833333333338</v>
      </c>
      <c r="AT166" s="23">
        <v>0.58333333333333337</v>
      </c>
      <c r="AU166" s="23">
        <v>0.95833333333333337</v>
      </c>
      <c r="AV166" t="s">
        <v>2706</v>
      </c>
      <c r="AY166">
        <v>0.5</v>
      </c>
      <c r="AZ166" t="s">
        <v>2932</v>
      </c>
      <c r="BA166" t="s">
        <v>2798</v>
      </c>
      <c r="BD166" t="s">
        <v>2482</v>
      </c>
      <c r="BE166" t="s">
        <v>2478</v>
      </c>
      <c r="BG166">
        <v>0</v>
      </c>
      <c r="BH166">
        <v>0</v>
      </c>
      <c r="BJ166">
        <v>0</v>
      </c>
    </row>
    <row r="167" spans="1:62" x14ac:dyDescent="0.2">
      <c r="A167" t="s">
        <v>2469</v>
      </c>
      <c r="B167" t="s">
        <v>2477</v>
      </c>
      <c r="C167">
        <v>100087259</v>
      </c>
      <c r="D167" t="s">
        <v>2702</v>
      </c>
      <c r="E167" t="s">
        <v>2439</v>
      </c>
      <c r="F167" t="s">
        <v>2811</v>
      </c>
      <c r="G167" t="s">
        <v>2812</v>
      </c>
      <c r="H167" s="23">
        <v>0.6875</v>
      </c>
      <c r="I167" t="s">
        <v>2696</v>
      </c>
      <c r="J167" t="s">
        <v>2478</v>
      </c>
      <c r="K167" t="s">
        <v>2489</v>
      </c>
      <c r="L167" t="s">
        <v>2477</v>
      </c>
      <c r="M167" t="s">
        <v>2480</v>
      </c>
      <c r="N167" s="6">
        <v>46005</v>
      </c>
      <c r="O167" t="s">
        <v>2461</v>
      </c>
      <c r="P167" t="s">
        <v>2442</v>
      </c>
      <c r="Q167" s="23">
        <v>0.60562499999999997</v>
      </c>
      <c r="R167" s="23">
        <v>0.89063657407407404</v>
      </c>
      <c r="S167">
        <v>18.25</v>
      </c>
      <c r="T167">
        <v>1</v>
      </c>
      <c r="U167" t="s">
        <v>2470</v>
      </c>
      <c r="V167">
        <v>6.34</v>
      </c>
      <c r="W167">
        <v>6.34</v>
      </c>
      <c r="X167" t="s">
        <v>2689</v>
      </c>
      <c r="Y167" t="s">
        <v>2689</v>
      </c>
      <c r="Z167" t="s">
        <v>2689</v>
      </c>
      <c r="AA167" t="s">
        <v>2689</v>
      </c>
      <c r="AC167" t="s">
        <v>2689</v>
      </c>
      <c r="AD167" t="s">
        <v>2689</v>
      </c>
      <c r="AE167">
        <v>175</v>
      </c>
      <c r="AF167" t="s">
        <v>2689</v>
      </c>
      <c r="AH167">
        <v>115.71</v>
      </c>
      <c r="AI167" t="s">
        <v>2690</v>
      </c>
      <c r="AJ167" t="s">
        <v>2690</v>
      </c>
      <c r="AK167" t="s">
        <v>2690</v>
      </c>
      <c r="AL167" t="s">
        <v>2690</v>
      </c>
      <c r="AP167">
        <v>290.70999999999998</v>
      </c>
      <c r="AR167" s="23">
        <v>0.60562499999999997</v>
      </c>
      <c r="AS167" s="23">
        <v>0.89063657407407404</v>
      </c>
      <c r="AT167" s="23">
        <v>0.60416666666666663</v>
      </c>
      <c r="AU167" s="23">
        <v>0.89583333333333337</v>
      </c>
      <c r="AV167" t="s">
        <v>2706</v>
      </c>
      <c r="AY167">
        <v>0.5</v>
      </c>
      <c r="AZ167" t="s">
        <v>2933</v>
      </c>
      <c r="BA167" t="s">
        <v>2798</v>
      </c>
      <c r="BD167" t="s">
        <v>2482</v>
      </c>
      <c r="BE167" t="s">
        <v>2478</v>
      </c>
      <c r="BG167">
        <v>0</v>
      </c>
      <c r="BH167">
        <v>0</v>
      </c>
      <c r="BJ167">
        <v>0</v>
      </c>
    </row>
    <row r="168" spans="1:62" x14ac:dyDescent="0.2">
      <c r="A168" t="s">
        <v>2469</v>
      </c>
      <c r="B168" t="s">
        <v>2477</v>
      </c>
      <c r="C168">
        <v>100089113</v>
      </c>
      <c r="D168" t="s">
        <v>2703</v>
      </c>
      <c r="E168" t="s">
        <v>2439</v>
      </c>
      <c r="F168" t="s">
        <v>2791</v>
      </c>
      <c r="G168" t="s">
        <v>2792</v>
      </c>
      <c r="H168" s="23">
        <v>0.79166666666666663</v>
      </c>
      <c r="I168" t="s">
        <v>2696</v>
      </c>
      <c r="J168" t="s">
        <v>2656</v>
      </c>
      <c r="K168" t="s">
        <v>2657</v>
      </c>
      <c r="L168" t="s">
        <v>2477</v>
      </c>
      <c r="M168" t="s">
        <v>2480</v>
      </c>
      <c r="N168" s="6">
        <v>46002</v>
      </c>
      <c r="O168" t="s">
        <v>2459</v>
      </c>
      <c r="P168" t="s">
        <v>2445</v>
      </c>
      <c r="Q168" s="23">
        <v>0.66885416666666664</v>
      </c>
      <c r="R168" s="23">
        <v>0.98795138888888889</v>
      </c>
      <c r="S168">
        <v>17.87</v>
      </c>
      <c r="T168">
        <v>1</v>
      </c>
      <c r="U168" t="s">
        <v>2920</v>
      </c>
      <c r="V168">
        <v>7.16</v>
      </c>
      <c r="W168">
        <v>7.16</v>
      </c>
      <c r="X168" t="s">
        <v>2689</v>
      </c>
      <c r="Y168" t="s">
        <v>2689</v>
      </c>
      <c r="Z168" t="s">
        <v>2689</v>
      </c>
      <c r="AA168" t="s">
        <v>2689</v>
      </c>
      <c r="AC168" t="s">
        <v>2689</v>
      </c>
      <c r="AD168" t="s">
        <v>2689</v>
      </c>
      <c r="AE168" t="s">
        <v>2689</v>
      </c>
      <c r="AF168" t="s">
        <v>2689</v>
      </c>
      <c r="AH168">
        <v>127.95</v>
      </c>
      <c r="AI168" t="s">
        <v>2690</v>
      </c>
      <c r="AJ168" t="s">
        <v>2690</v>
      </c>
      <c r="AK168" t="s">
        <v>2690</v>
      </c>
      <c r="AL168" t="s">
        <v>2690</v>
      </c>
      <c r="AP168">
        <v>127.95</v>
      </c>
      <c r="AR168" s="23">
        <v>0.66885416666666664</v>
      </c>
      <c r="AS168" s="23">
        <v>0.98795138888888889</v>
      </c>
      <c r="AT168" s="23">
        <v>0.66666666666666663</v>
      </c>
      <c r="AU168" s="23">
        <v>2.0833333333333332E-2</v>
      </c>
      <c r="AV168" t="s">
        <v>2706</v>
      </c>
      <c r="AY168">
        <v>0.5</v>
      </c>
      <c r="BA168" t="s">
        <v>2798</v>
      </c>
      <c r="BD168" t="s">
        <v>2482</v>
      </c>
      <c r="BE168" t="s">
        <v>2478</v>
      </c>
      <c r="BF168" t="s">
        <v>2446</v>
      </c>
      <c r="BG168">
        <v>0</v>
      </c>
      <c r="BH168">
        <v>0</v>
      </c>
      <c r="BJ168">
        <v>0</v>
      </c>
    </row>
    <row r="169" spans="1:62" x14ac:dyDescent="0.2">
      <c r="A169" t="s">
        <v>2502</v>
      </c>
      <c r="B169" t="s">
        <v>2477</v>
      </c>
      <c r="C169">
        <v>100089125</v>
      </c>
      <c r="D169" t="s">
        <v>2720</v>
      </c>
      <c r="E169" t="s">
        <v>2439</v>
      </c>
      <c r="F169" t="s">
        <v>2791</v>
      </c>
      <c r="G169" t="s">
        <v>2792</v>
      </c>
      <c r="H169" s="23">
        <v>0.79166666666666663</v>
      </c>
      <c r="I169" t="s">
        <v>2696</v>
      </c>
      <c r="J169" t="s">
        <v>2504</v>
      </c>
      <c r="K169" t="s">
        <v>2934</v>
      </c>
      <c r="L169" t="s">
        <v>2477</v>
      </c>
      <c r="M169" t="s">
        <v>2480</v>
      </c>
      <c r="N169" s="6">
        <v>46002</v>
      </c>
      <c r="O169" t="s">
        <v>2459</v>
      </c>
      <c r="P169" t="s">
        <v>2445</v>
      </c>
      <c r="Q169" s="23">
        <v>0.69179398148148152</v>
      </c>
      <c r="R169" s="23">
        <v>1.0879629629629629E-3</v>
      </c>
      <c r="S169">
        <v>22</v>
      </c>
      <c r="T169">
        <v>1</v>
      </c>
      <c r="U169" t="s">
        <v>2506</v>
      </c>
      <c r="V169">
        <v>6.92</v>
      </c>
      <c r="W169">
        <v>6.92</v>
      </c>
      <c r="X169" t="s">
        <v>2689</v>
      </c>
      <c r="Y169" t="s">
        <v>2689</v>
      </c>
      <c r="Z169" t="s">
        <v>2689</v>
      </c>
      <c r="AA169" t="s">
        <v>2689</v>
      </c>
      <c r="AC169" t="s">
        <v>2689</v>
      </c>
      <c r="AD169" t="s">
        <v>2689</v>
      </c>
      <c r="AE169" t="s">
        <v>2689</v>
      </c>
      <c r="AF169" t="s">
        <v>2689</v>
      </c>
      <c r="AH169">
        <v>152.24</v>
      </c>
      <c r="AI169" t="s">
        <v>2690</v>
      </c>
      <c r="AJ169" t="s">
        <v>2690</v>
      </c>
      <c r="AK169" t="s">
        <v>2690</v>
      </c>
      <c r="AL169" t="s">
        <v>2690</v>
      </c>
      <c r="AP169">
        <v>152.24</v>
      </c>
      <c r="AR169" s="23">
        <v>0.69179398148148152</v>
      </c>
      <c r="AS169" s="23">
        <v>1.0879629629629629E-3</v>
      </c>
      <c r="AT169" s="23">
        <v>0.6875</v>
      </c>
      <c r="AU169" s="24">
        <v>1</v>
      </c>
      <c r="AV169" t="s">
        <v>2704</v>
      </c>
      <c r="AY169">
        <v>0.5</v>
      </c>
      <c r="AZ169" t="s">
        <v>2935</v>
      </c>
      <c r="BA169" t="s">
        <v>2798</v>
      </c>
      <c r="BD169" t="s">
        <v>2508</v>
      </c>
      <c r="BE169" t="s">
        <v>2509</v>
      </c>
      <c r="BG169">
        <v>0</v>
      </c>
      <c r="BH169">
        <v>0</v>
      </c>
      <c r="BJ169">
        <v>0</v>
      </c>
    </row>
    <row r="170" spans="1:62" x14ac:dyDescent="0.2">
      <c r="A170" t="s">
        <v>2502</v>
      </c>
      <c r="B170" t="s">
        <v>2477</v>
      </c>
      <c r="C170">
        <v>100089140</v>
      </c>
      <c r="D170" t="s">
        <v>2936</v>
      </c>
      <c r="E170" t="s">
        <v>2439</v>
      </c>
      <c r="F170" t="s">
        <v>2791</v>
      </c>
      <c r="G170" t="s">
        <v>2792</v>
      </c>
      <c r="H170" s="23">
        <v>0.79166666666666663</v>
      </c>
      <c r="I170" t="s">
        <v>2696</v>
      </c>
      <c r="J170" t="s">
        <v>2504</v>
      </c>
      <c r="K170" t="s">
        <v>2803</v>
      </c>
      <c r="L170" t="s">
        <v>2477</v>
      </c>
      <c r="M170" t="s">
        <v>2480</v>
      </c>
      <c r="N170" s="6">
        <v>46002</v>
      </c>
      <c r="O170" t="s">
        <v>2459</v>
      </c>
      <c r="P170" t="s">
        <v>2445</v>
      </c>
      <c r="Q170" s="23">
        <v>0.68590277777777775</v>
      </c>
      <c r="R170" s="23">
        <v>6.5972222222222224E-4</v>
      </c>
      <c r="S170">
        <v>22</v>
      </c>
      <c r="T170">
        <v>1</v>
      </c>
      <c r="U170" t="s">
        <v>2506</v>
      </c>
      <c r="V170">
        <v>7.05</v>
      </c>
      <c r="W170">
        <v>7.05</v>
      </c>
      <c r="X170" t="s">
        <v>2689</v>
      </c>
      <c r="Y170" t="s">
        <v>2689</v>
      </c>
      <c r="Z170" t="s">
        <v>2689</v>
      </c>
      <c r="AA170" t="s">
        <v>2689</v>
      </c>
      <c r="AC170" t="s">
        <v>2689</v>
      </c>
      <c r="AD170" t="s">
        <v>2689</v>
      </c>
      <c r="AE170" t="s">
        <v>2689</v>
      </c>
      <c r="AF170" t="s">
        <v>2689</v>
      </c>
      <c r="AH170">
        <v>155.1</v>
      </c>
      <c r="AI170" t="s">
        <v>2690</v>
      </c>
      <c r="AJ170" t="s">
        <v>2690</v>
      </c>
      <c r="AK170" t="s">
        <v>2690</v>
      </c>
      <c r="AL170" t="s">
        <v>2690</v>
      </c>
      <c r="AP170">
        <v>155.1</v>
      </c>
      <c r="AR170" s="23">
        <v>0.68590277777777775</v>
      </c>
      <c r="AS170" s="23">
        <v>6.5972222222222224E-4</v>
      </c>
      <c r="AT170" s="23">
        <v>0.6875</v>
      </c>
      <c r="AU170" s="24">
        <v>1</v>
      </c>
      <c r="AV170" t="s">
        <v>2704</v>
      </c>
      <c r="AY170">
        <v>0.5</v>
      </c>
      <c r="AZ170" t="s">
        <v>2937</v>
      </c>
      <c r="BA170" t="s">
        <v>2798</v>
      </c>
      <c r="BD170" t="s">
        <v>2508</v>
      </c>
      <c r="BE170" t="s">
        <v>2509</v>
      </c>
      <c r="BG170">
        <v>0</v>
      </c>
      <c r="BH170">
        <v>0</v>
      </c>
      <c r="BJ170">
        <v>0</v>
      </c>
    </row>
    <row r="171" spans="1:62" x14ac:dyDescent="0.2">
      <c r="A171" t="s">
        <v>2502</v>
      </c>
      <c r="B171" t="s">
        <v>2477</v>
      </c>
      <c r="C171">
        <v>100089142</v>
      </c>
      <c r="D171" t="s">
        <v>2539</v>
      </c>
      <c r="E171" t="s">
        <v>2439</v>
      </c>
      <c r="F171" t="s">
        <v>2791</v>
      </c>
      <c r="G171" t="s">
        <v>2792</v>
      </c>
      <c r="H171" s="23">
        <v>0.79166666666666663</v>
      </c>
      <c r="I171" t="s">
        <v>2696</v>
      </c>
      <c r="J171" t="s">
        <v>2504</v>
      </c>
      <c r="K171" t="s">
        <v>2512</v>
      </c>
      <c r="L171" t="s">
        <v>2477</v>
      </c>
      <c r="M171" t="s">
        <v>2480</v>
      </c>
      <c r="N171" s="6">
        <v>46002</v>
      </c>
      <c r="O171" t="s">
        <v>2459</v>
      </c>
      <c r="P171" t="s">
        <v>2445</v>
      </c>
      <c r="Q171" s="23">
        <v>0.70988425925925924</v>
      </c>
      <c r="R171" s="23">
        <v>3.5879629629629629E-4</v>
      </c>
      <c r="S171">
        <v>19</v>
      </c>
      <c r="T171">
        <v>1</v>
      </c>
      <c r="U171" t="s">
        <v>2534</v>
      </c>
      <c r="V171">
        <v>7.97</v>
      </c>
      <c r="W171">
        <v>6.97</v>
      </c>
      <c r="X171" t="s">
        <v>2689</v>
      </c>
      <c r="Y171" t="s">
        <v>2689</v>
      </c>
      <c r="Z171" t="s">
        <v>2689</v>
      </c>
      <c r="AA171">
        <v>1</v>
      </c>
      <c r="AC171" t="s">
        <v>2689</v>
      </c>
      <c r="AD171" t="s">
        <v>2689</v>
      </c>
      <c r="AE171" t="s">
        <v>2689</v>
      </c>
      <c r="AF171" t="s">
        <v>2689</v>
      </c>
      <c r="AH171">
        <v>132.43</v>
      </c>
      <c r="AI171" t="s">
        <v>2690</v>
      </c>
      <c r="AJ171" t="s">
        <v>2690</v>
      </c>
      <c r="AK171" t="s">
        <v>2690</v>
      </c>
      <c r="AL171">
        <v>19</v>
      </c>
      <c r="AP171">
        <v>151.43</v>
      </c>
      <c r="AR171" s="23">
        <v>0.70988425925925924</v>
      </c>
      <c r="AS171" s="23">
        <v>3.5879629629629629E-4</v>
      </c>
      <c r="AT171" s="23">
        <v>0.70833333333333337</v>
      </c>
      <c r="AU171" s="24">
        <v>1</v>
      </c>
      <c r="AV171" t="s">
        <v>2704</v>
      </c>
      <c r="BA171" t="s">
        <v>2769</v>
      </c>
      <c r="BD171" t="s">
        <v>2508</v>
      </c>
      <c r="BE171" t="s">
        <v>2509</v>
      </c>
      <c r="BF171" t="s">
        <v>2516</v>
      </c>
      <c r="BG171">
        <v>0</v>
      </c>
      <c r="BH171">
        <v>0</v>
      </c>
      <c r="BJ171">
        <v>0</v>
      </c>
    </row>
    <row r="172" spans="1:62" x14ac:dyDescent="0.2">
      <c r="A172" t="s">
        <v>2469</v>
      </c>
      <c r="B172" t="s">
        <v>2477</v>
      </c>
      <c r="C172">
        <v>100090865</v>
      </c>
      <c r="D172" t="s">
        <v>2938</v>
      </c>
      <c r="E172" t="s">
        <v>2439</v>
      </c>
      <c r="F172" t="s">
        <v>2794</v>
      </c>
      <c r="G172" t="s">
        <v>2795</v>
      </c>
      <c r="H172" s="23">
        <v>0.79166666666666663</v>
      </c>
      <c r="I172" t="s">
        <v>2696</v>
      </c>
      <c r="J172" t="s">
        <v>2535</v>
      </c>
      <c r="K172" t="s">
        <v>2536</v>
      </c>
      <c r="L172" t="s">
        <v>2477</v>
      </c>
      <c r="M172" t="s">
        <v>2537</v>
      </c>
      <c r="N172" s="6">
        <v>46003</v>
      </c>
      <c r="O172" t="s">
        <v>2449</v>
      </c>
      <c r="P172" t="s">
        <v>2445</v>
      </c>
      <c r="Q172" s="23">
        <v>0.61960648148148145</v>
      </c>
      <c r="R172" s="23">
        <v>0.98609953703703701</v>
      </c>
      <c r="S172">
        <v>20</v>
      </c>
      <c r="T172" t="s">
        <v>2443</v>
      </c>
      <c r="U172" t="s">
        <v>2496</v>
      </c>
      <c r="V172">
        <v>8.3000000000000007</v>
      </c>
      <c r="W172">
        <v>8</v>
      </c>
      <c r="X172">
        <v>0.3</v>
      </c>
      <c r="Y172" t="s">
        <v>2689</v>
      </c>
      <c r="Z172" t="s">
        <v>2689</v>
      </c>
      <c r="AA172" t="s">
        <v>2689</v>
      </c>
      <c r="AC172" t="s">
        <v>2689</v>
      </c>
      <c r="AD172" t="s">
        <v>2689</v>
      </c>
      <c r="AE172" t="s">
        <v>2689</v>
      </c>
      <c r="AF172" t="s">
        <v>2689</v>
      </c>
      <c r="AH172">
        <v>160</v>
      </c>
      <c r="AI172">
        <v>9</v>
      </c>
      <c r="AJ172" t="s">
        <v>2690</v>
      </c>
      <c r="AK172" t="s">
        <v>2690</v>
      </c>
      <c r="AL172" t="s">
        <v>2690</v>
      </c>
      <c r="AP172">
        <v>169</v>
      </c>
      <c r="AR172" s="23">
        <v>0.61960648148148145</v>
      </c>
      <c r="AS172" s="23">
        <v>0.98609953703703701</v>
      </c>
      <c r="AT172" s="23">
        <v>0.625</v>
      </c>
      <c r="AU172" s="23">
        <v>0.97916666666666663</v>
      </c>
      <c r="AV172" t="s">
        <v>2706</v>
      </c>
      <c r="AY172">
        <v>0.5</v>
      </c>
      <c r="BA172" t="s">
        <v>2798</v>
      </c>
      <c r="BD172" t="s">
        <v>2530</v>
      </c>
      <c r="BE172" t="s">
        <v>2528</v>
      </c>
      <c r="BF172" t="s">
        <v>2446</v>
      </c>
      <c r="BG172">
        <v>0</v>
      </c>
      <c r="BH172">
        <v>0</v>
      </c>
      <c r="BJ172">
        <v>0</v>
      </c>
    </row>
    <row r="173" spans="1:62" x14ac:dyDescent="0.2">
      <c r="A173" t="s">
        <v>2469</v>
      </c>
      <c r="B173" t="s">
        <v>2477</v>
      </c>
      <c r="C173">
        <v>100090871</v>
      </c>
      <c r="D173" t="s">
        <v>2939</v>
      </c>
      <c r="E173" t="s">
        <v>2439</v>
      </c>
      <c r="F173" t="s">
        <v>2786</v>
      </c>
      <c r="G173" t="s">
        <v>2787</v>
      </c>
      <c r="H173" s="23">
        <v>0.66666666666666663</v>
      </c>
      <c r="I173" t="s">
        <v>2696</v>
      </c>
      <c r="J173" t="s">
        <v>2478</v>
      </c>
      <c r="K173" t="s">
        <v>2674</v>
      </c>
      <c r="L173" t="s">
        <v>2477</v>
      </c>
      <c r="M173" t="s">
        <v>2480</v>
      </c>
      <c r="N173" s="6">
        <v>45999</v>
      </c>
      <c r="O173" t="s">
        <v>2455</v>
      </c>
      <c r="P173" t="s">
        <v>2445</v>
      </c>
      <c r="Q173" s="23">
        <v>0.62457175925925923</v>
      </c>
      <c r="R173" s="23">
        <v>0.83133101851851854</v>
      </c>
      <c r="S173">
        <v>22</v>
      </c>
      <c r="T173">
        <v>1</v>
      </c>
      <c r="U173" t="s">
        <v>2481</v>
      </c>
      <c r="V173">
        <v>4.46</v>
      </c>
      <c r="W173">
        <v>4.46</v>
      </c>
      <c r="X173" t="s">
        <v>2689</v>
      </c>
      <c r="Y173" t="s">
        <v>2689</v>
      </c>
      <c r="Z173" t="s">
        <v>2689</v>
      </c>
      <c r="AA173" t="s">
        <v>2689</v>
      </c>
      <c r="AC173" t="s">
        <v>2689</v>
      </c>
      <c r="AD173" t="s">
        <v>2689</v>
      </c>
      <c r="AE173">
        <v>175</v>
      </c>
      <c r="AF173" t="s">
        <v>2689</v>
      </c>
      <c r="AH173">
        <v>98.12</v>
      </c>
      <c r="AI173" t="s">
        <v>2690</v>
      </c>
      <c r="AJ173" t="s">
        <v>2690</v>
      </c>
      <c r="AK173" t="s">
        <v>2690</v>
      </c>
      <c r="AL173" t="s">
        <v>2690</v>
      </c>
      <c r="AP173">
        <v>273.12</v>
      </c>
      <c r="AR173" s="23">
        <v>0.62457175925925923</v>
      </c>
      <c r="AS173" s="23">
        <v>0.83133101851851854</v>
      </c>
      <c r="AT173" s="23">
        <v>0.625</v>
      </c>
      <c r="AU173" s="23">
        <v>0.85416666666666663</v>
      </c>
      <c r="AV173" t="s">
        <v>2706</v>
      </c>
      <c r="AY173">
        <v>0.5</v>
      </c>
      <c r="AZ173" t="s">
        <v>2940</v>
      </c>
      <c r="BA173" t="s">
        <v>2861</v>
      </c>
      <c r="BD173" t="s">
        <v>2482</v>
      </c>
      <c r="BE173" t="s">
        <v>2478</v>
      </c>
      <c r="BG173">
        <v>0</v>
      </c>
      <c r="BH173">
        <v>0</v>
      </c>
      <c r="BJ173">
        <v>0</v>
      </c>
    </row>
    <row r="174" spans="1:62" x14ac:dyDescent="0.2">
      <c r="A174" t="s">
        <v>2502</v>
      </c>
      <c r="B174" t="s">
        <v>2477</v>
      </c>
      <c r="C174">
        <v>100093366</v>
      </c>
      <c r="D174" t="s">
        <v>2721</v>
      </c>
      <c r="E174" t="s">
        <v>2439</v>
      </c>
      <c r="F174" t="s">
        <v>2791</v>
      </c>
      <c r="G174" t="s">
        <v>2792</v>
      </c>
      <c r="H174" s="23">
        <v>0.79166666666666663</v>
      </c>
      <c r="I174" t="s">
        <v>2696</v>
      </c>
      <c r="J174" t="s">
        <v>2504</v>
      </c>
      <c r="K174" t="s">
        <v>2526</v>
      </c>
      <c r="L174" t="s">
        <v>2477</v>
      </c>
      <c r="M174" t="s">
        <v>2480</v>
      </c>
      <c r="N174" s="6">
        <v>46002</v>
      </c>
      <c r="O174" t="s">
        <v>2459</v>
      </c>
      <c r="P174" t="s">
        <v>2445</v>
      </c>
      <c r="Q174" s="23">
        <v>0.70327546296296295</v>
      </c>
      <c r="R174" s="23">
        <v>4.6296296296296298E-4</v>
      </c>
      <c r="S174">
        <v>22</v>
      </c>
      <c r="T174">
        <v>1</v>
      </c>
      <c r="U174" t="s">
        <v>2506</v>
      </c>
      <c r="V174">
        <v>6.63</v>
      </c>
      <c r="W174">
        <v>6.63</v>
      </c>
      <c r="X174" t="s">
        <v>2689</v>
      </c>
      <c r="Y174" t="s">
        <v>2689</v>
      </c>
      <c r="Z174" t="s">
        <v>2689</v>
      </c>
      <c r="AA174" t="s">
        <v>2689</v>
      </c>
      <c r="AC174" t="s">
        <v>2689</v>
      </c>
      <c r="AD174" t="s">
        <v>2689</v>
      </c>
      <c r="AE174" t="s">
        <v>2689</v>
      </c>
      <c r="AF174" t="s">
        <v>2689</v>
      </c>
      <c r="AH174">
        <v>145.86000000000001</v>
      </c>
      <c r="AI174" t="s">
        <v>2690</v>
      </c>
      <c r="AJ174" t="s">
        <v>2690</v>
      </c>
      <c r="AK174" t="s">
        <v>2690</v>
      </c>
      <c r="AL174" t="s">
        <v>2690</v>
      </c>
      <c r="AP174">
        <v>145.86000000000001</v>
      </c>
      <c r="AR174" s="23">
        <v>0.70327546296296295</v>
      </c>
      <c r="AS174" s="23">
        <v>4.6296296296296298E-4</v>
      </c>
      <c r="AT174" s="23">
        <v>0.70833333333333337</v>
      </c>
      <c r="AU174" s="24">
        <v>1</v>
      </c>
      <c r="AV174" t="s">
        <v>2704</v>
      </c>
      <c r="AY174">
        <v>0.5</v>
      </c>
      <c r="AZ174" t="s">
        <v>2941</v>
      </c>
      <c r="BA174" t="s">
        <v>2769</v>
      </c>
      <c r="BD174" t="s">
        <v>2508</v>
      </c>
      <c r="BE174" t="s">
        <v>2509</v>
      </c>
      <c r="BG174">
        <v>0</v>
      </c>
      <c r="BH174">
        <v>0</v>
      </c>
      <c r="BJ174">
        <v>0</v>
      </c>
    </row>
    <row r="175" spans="1:62" x14ac:dyDescent="0.2">
      <c r="A175" t="s">
        <v>2477</v>
      </c>
      <c r="B175" t="s">
        <v>2477</v>
      </c>
      <c r="C175">
        <v>100093380</v>
      </c>
      <c r="D175" t="s">
        <v>2533</v>
      </c>
      <c r="E175" t="s">
        <v>2439</v>
      </c>
      <c r="F175" t="s">
        <v>2782</v>
      </c>
      <c r="G175" t="s">
        <v>2783</v>
      </c>
      <c r="H175" s="23">
        <v>0.70833333333333337</v>
      </c>
      <c r="I175" t="s">
        <v>2696</v>
      </c>
      <c r="J175" t="s">
        <v>2504</v>
      </c>
      <c r="K175" t="s">
        <v>2826</v>
      </c>
      <c r="L175" t="s">
        <v>2477</v>
      </c>
      <c r="M175" t="s">
        <v>2480</v>
      </c>
      <c r="N175" s="6">
        <v>45994</v>
      </c>
      <c r="O175" t="s">
        <v>2458</v>
      </c>
      <c r="P175" t="s">
        <v>2445</v>
      </c>
      <c r="Q175" s="23">
        <v>0.58034722222222224</v>
      </c>
      <c r="R175" s="23">
        <v>0.88226851851851851</v>
      </c>
      <c r="S175">
        <v>22</v>
      </c>
      <c r="T175">
        <v>1</v>
      </c>
      <c r="U175" t="s">
        <v>2506</v>
      </c>
      <c r="V175">
        <v>6.75</v>
      </c>
      <c r="W175">
        <v>6.75</v>
      </c>
      <c r="X175" t="s">
        <v>2689</v>
      </c>
      <c r="Y175" t="s">
        <v>2689</v>
      </c>
      <c r="Z175" t="s">
        <v>2689</v>
      </c>
      <c r="AA175" t="s">
        <v>2689</v>
      </c>
      <c r="AC175" t="s">
        <v>2689</v>
      </c>
      <c r="AD175" t="s">
        <v>2689</v>
      </c>
      <c r="AE175" t="s">
        <v>2689</v>
      </c>
      <c r="AF175" t="s">
        <v>2689</v>
      </c>
      <c r="AH175">
        <v>148.5</v>
      </c>
      <c r="AI175" t="s">
        <v>2690</v>
      </c>
      <c r="AJ175" t="s">
        <v>2690</v>
      </c>
      <c r="AK175" t="s">
        <v>2690</v>
      </c>
      <c r="AL175" t="s">
        <v>2690</v>
      </c>
      <c r="AP175">
        <v>148.5</v>
      </c>
      <c r="AR175" s="23">
        <v>0.58034722222222224</v>
      </c>
      <c r="AS175" s="23">
        <v>0.88226851851851851</v>
      </c>
      <c r="AT175" s="23">
        <v>0.58333333333333337</v>
      </c>
      <c r="AU175" s="23">
        <v>0.85416666666666663</v>
      </c>
      <c r="AV175" t="s">
        <v>2507</v>
      </c>
      <c r="AY175">
        <v>0.5</v>
      </c>
      <c r="AZ175" t="s">
        <v>2942</v>
      </c>
      <c r="BA175" t="s">
        <v>2754</v>
      </c>
      <c r="BD175" t="s">
        <v>2508</v>
      </c>
      <c r="BE175" t="s">
        <v>2509</v>
      </c>
      <c r="BG175">
        <v>0</v>
      </c>
      <c r="BH175">
        <v>0</v>
      </c>
      <c r="BJ175">
        <v>0</v>
      </c>
    </row>
    <row r="176" spans="1:62" x14ac:dyDescent="0.2">
      <c r="A176" t="s">
        <v>2477</v>
      </c>
      <c r="B176" t="s">
        <v>2477</v>
      </c>
      <c r="C176">
        <v>100093380</v>
      </c>
      <c r="D176" t="s">
        <v>2533</v>
      </c>
      <c r="E176" t="s">
        <v>2439</v>
      </c>
      <c r="F176" t="s">
        <v>2786</v>
      </c>
      <c r="G176" t="s">
        <v>2787</v>
      </c>
      <c r="H176" s="23">
        <v>0.66666666666666663</v>
      </c>
      <c r="I176" t="s">
        <v>2696</v>
      </c>
      <c r="J176" t="s">
        <v>2504</v>
      </c>
      <c r="K176" t="s">
        <v>2512</v>
      </c>
      <c r="L176" t="s">
        <v>2477</v>
      </c>
      <c r="M176" t="s">
        <v>2480</v>
      </c>
      <c r="N176" s="6">
        <v>45999</v>
      </c>
      <c r="O176" t="s">
        <v>2455</v>
      </c>
      <c r="P176" t="s">
        <v>2445</v>
      </c>
      <c r="Q176" s="23">
        <v>0.62506944444444446</v>
      </c>
      <c r="R176" s="23">
        <v>0.84670138888888891</v>
      </c>
      <c r="S176">
        <v>22</v>
      </c>
      <c r="T176">
        <v>1</v>
      </c>
      <c r="U176" t="s">
        <v>2506</v>
      </c>
      <c r="V176">
        <v>5.32</v>
      </c>
      <c r="W176">
        <v>5.32</v>
      </c>
      <c r="X176" t="s">
        <v>2689</v>
      </c>
      <c r="Y176" t="s">
        <v>2689</v>
      </c>
      <c r="Z176" t="s">
        <v>2689</v>
      </c>
      <c r="AA176" t="s">
        <v>2689</v>
      </c>
      <c r="AC176" t="s">
        <v>2689</v>
      </c>
      <c r="AD176" t="s">
        <v>2689</v>
      </c>
      <c r="AE176" t="s">
        <v>2689</v>
      </c>
      <c r="AF176" t="s">
        <v>2689</v>
      </c>
      <c r="AH176">
        <v>117.04</v>
      </c>
      <c r="AI176" t="s">
        <v>2690</v>
      </c>
      <c r="AJ176" t="s">
        <v>2690</v>
      </c>
      <c r="AK176" t="s">
        <v>2690</v>
      </c>
      <c r="AL176" t="s">
        <v>2690</v>
      </c>
      <c r="AP176">
        <v>117.04</v>
      </c>
      <c r="AR176" s="23">
        <v>0.62506944444444446</v>
      </c>
      <c r="AS176" s="23">
        <v>0.84670138888888891</v>
      </c>
      <c r="AT176" s="23">
        <v>0.625</v>
      </c>
      <c r="AU176" s="23">
        <v>0.85416666666666663</v>
      </c>
      <c r="AV176" t="s">
        <v>2507</v>
      </c>
      <c r="BA176" t="s">
        <v>2757</v>
      </c>
      <c r="BD176" t="s">
        <v>2508</v>
      </c>
      <c r="BE176" t="s">
        <v>2509</v>
      </c>
      <c r="BG176">
        <v>0</v>
      </c>
      <c r="BH176">
        <v>0</v>
      </c>
      <c r="BJ176">
        <v>0</v>
      </c>
    </row>
    <row r="177" spans="1:62" x14ac:dyDescent="0.2">
      <c r="A177" t="s">
        <v>2502</v>
      </c>
      <c r="B177" t="s">
        <v>2477</v>
      </c>
      <c r="C177">
        <v>100093436</v>
      </c>
      <c r="D177" t="s">
        <v>2722</v>
      </c>
      <c r="E177" t="s">
        <v>2439</v>
      </c>
      <c r="F177" t="s">
        <v>2791</v>
      </c>
      <c r="G177" t="s">
        <v>2792</v>
      </c>
      <c r="H177" s="23">
        <v>0.79166666666666663</v>
      </c>
      <c r="I177" t="s">
        <v>2696</v>
      </c>
      <c r="J177" t="s">
        <v>2504</v>
      </c>
      <c r="K177" t="s">
        <v>2943</v>
      </c>
      <c r="L177" t="s">
        <v>2477</v>
      </c>
      <c r="M177" t="s">
        <v>2480</v>
      </c>
      <c r="N177" s="6">
        <v>46002</v>
      </c>
      <c r="O177" t="s">
        <v>2459</v>
      </c>
      <c r="P177" t="s">
        <v>2445</v>
      </c>
      <c r="Q177" s="23">
        <v>0.68140046296296297</v>
      </c>
      <c r="R177" s="23">
        <v>0.95859953703703704</v>
      </c>
      <c r="S177">
        <v>22</v>
      </c>
      <c r="T177">
        <v>1</v>
      </c>
      <c r="U177" t="s">
        <v>2506</v>
      </c>
      <c r="V177">
        <v>6.15</v>
      </c>
      <c r="W177">
        <v>6.15</v>
      </c>
      <c r="X177" t="s">
        <v>2689</v>
      </c>
      <c r="Y177" t="s">
        <v>2689</v>
      </c>
      <c r="Z177" t="s">
        <v>2689</v>
      </c>
      <c r="AA177" t="s">
        <v>2689</v>
      </c>
      <c r="AC177" t="s">
        <v>2689</v>
      </c>
      <c r="AD177" t="s">
        <v>2689</v>
      </c>
      <c r="AE177" t="s">
        <v>2689</v>
      </c>
      <c r="AF177" t="s">
        <v>2689</v>
      </c>
      <c r="AH177">
        <v>135.30000000000001</v>
      </c>
      <c r="AI177" t="s">
        <v>2690</v>
      </c>
      <c r="AJ177" t="s">
        <v>2690</v>
      </c>
      <c r="AK177" t="s">
        <v>2690</v>
      </c>
      <c r="AL177" t="s">
        <v>2690</v>
      </c>
      <c r="AP177">
        <v>135.30000000000001</v>
      </c>
      <c r="AR177" s="23">
        <v>0.68140046296296297</v>
      </c>
      <c r="AS177" s="23">
        <v>0.95859953703703704</v>
      </c>
      <c r="AT177" s="23">
        <v>0.6875</v>
      </c>
      <c r="AU177" s="24">
        <v>1</v>
      </c>
      <c r="AV177" t="s">
        <v>2704</v>
      </c>
      <c r="AY177">
        <v>0.5</v>
      </c>
      <c r="AZ177" t="s">
        <v>2944</v>
      </c>
      <c r="BA177" t="s">
        <v>2798</v>
      </c>
      <c r="BD177" t="s">
        <v>2508</v>
      </c>
      <c r="BE177" t="s">
        <v>2509</v>
      </c>
      <c r="BG177">
        <v>0</v>
      </c>
      <c r="BH177">
        <v>0</v>
      </c>
      <c r="BJ177">
        <v>0</v>
      </c>
    </row>
    <row r="178" spans="1:62" x14ac:dyDescent="0.2">
      <c r="A178" t="s">
        <v>2502</v>
      </c>
      <c r="B178" t="s">
        <v>2502</v>
      </c>
      <c r="C178">
        <v>100054467</v>
      </c>
      <c r="D178" t="s">
        <v>2945</v>
      </c>
      <c r="E178" t="s">
        <v>2439</v>
      </c>
      <c r="F178" t="s">
        <v>2791</v>
      </c>
      <c r="G178" t="s">
        <v>2792</v>
      </c>
      <c r="H178" s="23">
        <v>0.79166666666666663</v>
      </c>
      <c r="I178" t="s">
        <v>2696</v>
      </c>
      <c r="J178" t="s">
        <v>2946</v>
      </c>
      <c r="K178" t="s">
        <v>2947</v>
      </c>
      <c r="L178" t="s">
        <v>2502</v>
      </c>
      <c r="M178" t="s">
        <v>2948</v>
      </c>
      <c r="N178" s="6">
        <v>46002</v>
      </c>
      <c r="O178" t="s">
        <v>2459</v>
      </c>
      <c r="P178" t="s">
        <v>2445</v>
      </c>
      <c r="Q178" s="23">
        <v>0.83333333333333337</v>
      </c>
      <c r="R178" s="23">
        <v>6.9444444444444447E-4</v>
      </c>
      <c r="S178">
        <v>23</v>
      </c>
      <c r="T178" t="s">
        <v>2443</v>
      </c>
      <c r="U178" t="s">
        <v>2949</v>
      </c>
      <c r="V178">
        <v>4.0199999999999996</v>
      </c>
      <c r="W178">
        <v>4.0199999999999996</v>
      </c>
      <c r="X178" t="s">
        <v>2689</v>
      </c>
      <c r="Y178" t="s">
        <v>2689</v>
      </c>
      <c r="Z178" t="s">
        <v>2689</v>
      </c>
      <c r="AA178" t="s">
        <v>2689</v>
      </c>
      <c r="AC178" t="s">
        <v>2689</v>
      </c>
      <c r="AD178" t="s">
        <v>2689</v>
      </c>
      <c r="AE178" t="s">
        <v>2689</v>
      </c>
      <c r="AF178" t="s">
        <v>2689</v>
      </c>
      <c r="AH178">
        <v>92.46</v>
      </c>
      <c r="AI178" t="s">
        <v>2690</v>
      </c>
      <c r="AJ178" t="s">
        <v>2690</v>
      </c>
      <c r="AK178" t="s">
        <v>2690</v>
      </c>
      <c r="AL178" t="s">
        <v>2690</v>
      </c>
      <c r="AP178">
        <v>92.46</v>
      </c>
      <c r="AU178" t="s">
        <v>2689</v>
      </c>
      <c r="AV178" t="s">
        <v>2950</v>
      </c>
      <c r="BA178" t="s">
        <v>2798</v>
      </c>
      <c r="BD178" t="s">
        <v>2951</v>
      </c>
      <c r="BE178" t="s">
        <v>2485</v>
      </c>
      <c r="BF178" t="s">
        <v>2471</v>
      </c>
      <c r="BG178">
        <v>0</v>
      </c>
      <c r="BH178">
        <v>0</v>
      </c>
      <c r="BJ178">
        <v>0</v>
      </c>
    </row>
    <row r="179" spans="1:62" x14ac:dyDescent="0.2">
      <c r="A179" t="s">
        <v>2468</v>
      </c>
      <c r="B179" t="s">
        <v>2468</v>
      </c>
      <c r="C179">
        <v>100073368</v>
      </c>
      <c r="D179" t="s">
        <v>2550</v>
      </c>
      <c r="E179" t="s">
        <v>2439</v>
      </c>
      <c r="F179" t="s">
        <v>2452</v>
      </c>
      <c r="G179" t="s">
        <v>2453</v>
      </c>
      <c r="H179" s="23">
        <v>0.33333333333333331</v>
      </c>
      <c r="I179" t="s">
        <v>2688</v>
      </c>
      <c r="J179" t="s">
        <v>2541</v>
      </c>
      <c r="K179" t="s">
        <v>2547</v>
      </c>
      <c r="L179" t="s">
        <v>2468</v>
      </c>
      <c r="M179" t="s">
        <v>2542</v>
      </c>
      <c r="N179" s="6">
        <v>45992</v>
      </c>
      <c r="O179" t="s">
        <v>2455</v>
      </c>
      <c r="P179" t="s">
        <v>2445</v>
      </c>
      <c r="Q179" s="23">
        <v>0.29166666666666669</v>
      </c>
      <c r="R179" s="23">
        <v>0.60416666666666663</v>
      </c>
      <c r="S179">
        <v>21</v>
      </c>
      <c r="T179">
        <v>1</v>
      </c>
      <c r="U179" t="s">
        <v>2546</v>
      </c>
      <c r="V179">
        <v>7</v>
      </c>
      <c r="W179">
        <v>7</v>
      </c>
      <c r="X179" t="s">
        <v>2689</v>
      </c>
      <c r="Y179" t="s">
        <v>2689</v>
      </c>
      <c r="Z179" t="s">
        <v>2689</v>
      </c>
      <c r="AA179" t="s">
        <v>2689</v>
      </c>
      <c r="AC179" t="s">
        <v>2689</v>
      </c>
      <c r="AD179" t="s">
        <v>2689</v>
      </c>
      <c r="AE179" t="s">
        <v>2689</v>
      </c>
      <c r="AF179" t="s">
        <v>2689</v>
      </c>
      <c r="AH179">
        <v>147</v>
      </c>
      <c r="AI179" t="s">
        <v>2690</v>
      </c>
      <c r="AJ179" t="s">
        <v>2690</v>
      </c>
      <c r="AK179" t="s">
        <v>2690</v>
      </c>
      <c r="AL179" t="s">
        <v>2690</v>
      </c>
      <c r="AP179">
        <v>147</v>
      </c>
      <c r="AU179" t="s">
        <v>2689</v>
      </c>
      <c r="AV179" t="s">
        <v>2540</v>
      </c>
      <c r="AY179">
        <v>0.5</v>
      </c>
      <c r="BA179" t="s">
        <v>2692</v>
      </c>
      <c r="BD179" t="s">
        <v>2544</v>
      </c>
      <c r="BE179" t="s">
        <v>2545</v>
      </c>
      <c r="BF179" t="s">
        <v>2456</v>
      </c>
      <c r="BG179">
        <v>0</v>
      </c>
      <c r="BH179">
        <v>0</v>
      </c>
      <c r="BJ179">
        <v>0</v>
      </c>
    </row>
    <row r="180" spans="1:62" x14ac:dyDescent="0.2">
      <c r="A180" t="s">
        <v>2468</v>
      </c>
      <c r="B180" t="s">
        <v>2468</v>
      </c>
      <c r="C180">
        <v>100073368</v>
      </c>
      <c r="D180" t="s">
        <v>2550</v>
      </c>
      <c r="E180" t="s">
        <v>2439</v>
      </c>
      <c r="F180" t="s">
        <v>2452</v>
      </c>
      <c r="G180" t="s">
        <v>2453</v>
      </c>
      <c r="H180" s="23">
        <v>0.33333333333333331</v>
      </c>
      <c r="I180" t="s">
        <v>2688</v>
      </c>
      <c r="J180" t="s">
        <v>2541</v>
      </c>
      <c r="K180" t="s">
        <v>2547</v>
      </c>
      <c r="L180" t="s">
        <v>2468</v>
      </c>
      <c r="M180" t="s">
        <v>2542</v>
      </c>
      <c r="N180" s="6">
        <v>45994</v>
      </c>
      <c r="O180" t="s">
        <v>2458</v>
      </c>
      <c r="P180" t="s">
        <v>2445</v>
      </c>
      <c r="Q180" s="23">
        <v>0.29166666666666669</v>
      </c>
      <c r="R180" s="23">
        <v>0.60416666666666663</v>
      </c>
      <c r="S180">
        <v>21</v>
      </c>
      <c r="T180">
        <v>1</v>
      </c>
      <c r="U180" t="s">
        <v>2546</v>
      </c>
      <c r="V180">
        <v>7</v>
      </c>
      <c r="W180">
        <v>7</v>
      </c>
      <c r="X180" t="s">
        <v>2689</v>
      </c>
      <c r="Y180" t="s">
        <v>2689</v>
      </c>
      <c r="Z180" t="s">
        <v>2689</v>
      </c>
      <c r="AA180" t="s">
        <v>2689</v>
      </c>
      <c r="AC180" t="s">
        <v>2689</v>
      </c>
      <c r="AD180" t="s">
        <v>2689</v>
      </c>
      <c r="AE180" t="s">
        <v>2689</v>
      </c>
      <c r="AF180" t="s">
        <v>2689</v>
      </c>
      <c r="AH180">
        <v>147</v>
      </c>
      <c r="AI180" t="s">
        <v>2690</v>
      </c>
      <c r="AJ180" t="s">
        <v>2690</v>
      </c>
      <c r="AK180" t="s">
        <v>2690</v>
      </c>
      <c r="AL180" t="s">
        <v>2690</v>
      </c>
      <c r="AP180">
        <v>147</v>
      </c>
      <c r="AT180" s="23">
        <v>0.29166666666666669</v>
      </c>
      <c r="AU180" s="23">
        <v>0.60416666666666663</v>
      </c>
      <c r="AV180" t="s">
        <v>2540</v>
      </c>
      <c r="AY180">
        <v>0.5</v>
      </c>
      <c r="BA180" t="s">
        <v>2754</v>
      </c>
      <c r="BD180" t="s">
        <v>2544</v>
      </c>
      <c r="BE180" t="s">
        <v>2545</v>
      </c>
      <c r="BF180" t="s">
        <v>2456</v>
      </c>
      <c r="BG180">
        <v>0</v>
      </c>
      <c r="BH180">
        <v>0</v>
      </c>
      <c r="BJ180">
        <v>0</v>
      </c>
    </row>
    <row r="181" spans="1:62" x14ac:dyDescent="0.2">
      <c r="A181" t="s">
        <v>2468</v>
      </c>
      <c r="B181" t="s">
        <v>2468</v>
      </c>
      <c r="C181">
        <v>100073368</v>
      </c>
      <c r="D181" t="s">
        <v>2550</v>
      </c>
      <c r="E181" t="s">
        <v>2439</v>
      </c>
      <c r="F181" t="s">
        <v>2452</v>
      </c>
      <c r="G181" t="s">
        <v>2453</v>
      </c>
      <c r="H181" s="23">
        <v>0.33333333333333331</v>
      </c>
      <c r="I181" t="s">
        <v>2688</v>
      </c>
      <c r="J181" t="s">
        <v>2541</v>
      </c>
      <c r="K181" t="s">
        <v>2548</v>
      </c>
      <c r="L181" t="s">
        <v>2468</v>
      </c>
      <c r="M181" t="s">
        <v>2542</v>
      </c>
      <c r="N181" s="6">
        <v>45999</v>
      </c>
      <c r="O181" t="s">
        <v>2455</v>
      </c>
      <c r="P181" t="s">
        <v>2445</v>
      </c>
      <c r="Q181" s="23">
        <v>0.28614583333333332</v>
      </c>
      <c r="R181" s="23">
        <v>0.60482638888888884</v>
      </c>
      <c r="S181">
        <v>21</v>
      </c>
      <c r="T181">
        <v>1</v>
      </c>
      <c r="U181" t="s">
        <v>2546</v>
      </c>
      <c r="V181">
        <v>7.06</v>
      </c>
      <c r="W181">
        <v>7.06</v>
      </c>
      <c r="X181" t="s">
        <v>2689</v>
      </c>
      <c r="Y181" t="s">
        <v>2689</v>
      </c>
      <c r="Z181" t="s">
        <v>2689</v>
      </c>
      <c r="AA181" t="s">
        <v>2689</v>
      </c>
      <c r="AC181" t="s">
        <v>2689</v>
      </c>
      <c r="AD181" t="s">
        <v>2689</v>
      </c>
      <c r="AE181" t="s">
        <v>2689</v>
      </c>
      <c r="AF181" t="s">
        <v>2689</v>
      </c>
      <c r="AH181">
        <v>148.26</v>
      </c>
      <c r="AI181" t="s">
        <v>2690</v>
      </c>
      <c r="AJ181" t="s">
        <v>2690</v>
      </c>
      <c r="AK181" t="s">
        <v>2690</v>
      </c>
      <c r="AL181" t="s">
        <v>2690</v>
      </c>
      <c r="AP181">
        <v>148.26</v>
      </c>
      <c r="AR181" s="23">
        <v>0.28614583333333332</v>
      </c>
      <c r="AS181" s="23">
        <v>0.60482638888888884</v>
      </c>
      <c r="AT181" s="23">
        <v>0.29166666666666669</v>
      </c>
      <c r="AU181" s="23">
        <v>0.60416666666666663</v>
      </c>
      <c r="AV181" t="s">
        <v>2540</v>
      </c>
      <c r="AY181">
        <v>0.59</v>
      </c>
      <c r="AZ181" t="s">
        <v>2952</v>
      </c>
      <c r="BA181" t="s">
        <v>2861</v>
      </c>
      <c r="BD181" t="s">
        <v>2544</v>
      </c>
      <c r="BE181" t="s">
        <v>2545</v>
      </c>
      <c r="BG181">
        <v>0</v>
      </c>
      <c r="BH181">
        <v>0</v>
      </c>
      <c r="BJ181">
        <v>0</v>
      </c>
    </row>
    <row r="182" spans="1:62" x14ac:dyDescent="0.2">
      <c r="A182" t="s">
        <v>2468</v>
      </c>
      <c r="B182" t="s">
        <v>2468</v>
      </c>
      <c r="C182">
        <v>100073368</v>
      </c>
      <c r="D182" t="s">
        <v>2550</v>
      </c>
      <c r="E182" t="s">
        <v>2439</v>
      </c>
      <c r="F182" t="s">
        <v>2452</v>
      </c>
      <c r="G182" t="s">
        <v>2453</v>
      </c>
      <c r="H182" s="23">
        <v>0.33333333333333331</v>
      </c>
      <c r="I182" t="s">
        <v>2688</v>
      </c>
      <c r="J182" t="s">
        <v>2541</v>
      </c>
      <c r="K182" t="s">
        <v>2953</v>
      </c>
      <c r="L182" t="s">
        <v>2468</v>
      </c>
      <c r="M182" t="s">
        <v>2542</v>
      </c>
      <c r="N182" s="6">
        <v>46001</v>
      </c>
      <c r="O182" t="s">
        <v>2458</v>
      </c>
      <c r="P182" t="s">
        <v>2445</v>
      </c>
      <c r="Q182" s="23">
        <v>0.28914351851851849</v>
      </c>
      <c r="R182" s="23">
        <v>0.60416666666666663</v>
      </c>
      <c r="S182">
        <v>21</v>
      </c>
      <c r="T182">
        <v>1</v>
      </c>
      <c r="U182" t="s">
        <v>2546</v>
      </c>
      <c r="V182">
        <v>7.06</v>
      </c>
      <c r="W182">
        <v>7.06</v>
      </c>
      <c r="X182" t="s">
        <v>2689</v>
      </c>
      <c r="Y182" t="s">
        <v>2689</v>
      </c>
      <c r="Z182" t="s">
        <v>2689</v>
      </c>
      <c r="AA182" t="s">
        <v>2689</v>
      </c>
      <c r="AC182" t="s">
        <v>2689</v>
      </c>
      <c r="AD182" t="s">
        <v>2689</v>
      </c>
      <c r="AE182" t="s">
        <v>2689</v>
      </c>
      <c r="AF182" t="s">
        <v>2689</v>
      </c>
      <c r="AH182">
        <v>148.26</v>
      </c>
      <c r="AI182" t="s">
        <v>2690</v>
      </c>
      <c r="AJ182" t="s">
        <v>2690</v>
      </c>
      <c r="AK182" t="s">
        <v>2690</v>
      </c>
      <c r="AL182" t="s">
        <v>2690</v>
      </c>
      <c r="AP182">
        <v>148.26</v>
      </c>
      <c r="AR182" s="23">
        <v>0.28914351851851849</v>
      </c>
      <c r="AS182" s="23">
        <v>0.59376157407407404</v>
      </c>
      <c r="AT182" s="23">
        <v>0.29166666666666669</v>
      </c>
      <c r="AU182" s="23">
        <v>0.5</v>
      </c>
      <c r="AV182" t="s">
        <v>2540</v>
      </c>
      <c r="AY182">
        <v>0.5</v>
      </c>
      <c r="AZ182" t="s">
        <v>2954</v>
      </c>
      <c r="BA182" t="s">
        <v>2759</v>
      </c>
      <c r="BD182" t="s">
        <v>2544</v>
      </c>
      <c r="BE182" t="s">
        <v>2545</v>
      </c>
      <c r="BF182" t="s">
        <v>2460</v>
      </c>
      <c r="BG182">
        <v>0</v>
      </c>
      <c r="BH182">
        <v>0</v>
      </c>
      <c r="BJ182">
        <v>0</v>
      </c>
    </row>
    <row r="183" spans="1:62" x14ac:dyDescent="0.2">
      <c r="A183" t="s">
        <v>2468</v>
      </c>
      <c r="B183" t="s">
        <v>2468</v>
      </c>
      <c r="C183">
        <v>100073368</v>
      </c>
      <c r="D183" t="s">
        <v>2550</v>
      </c>
      <c r="E183" t="s">
        <v>2439</v>
      </c>
      <c r="F183" t="s">
        <v>2452</v>
      </c>
      <c r="G183" t="s">
        <v>2453</v>
      </c>
      <c r="H183" s="23">
        <v>0.33333333333333331</v>
      </c>
      <c r="I183" t="s">
        <v>2688</v>
      </c>
      <c r="J183" t="s">
        <v>2541</v>
      </c>
      <c r="K183" t="s">
        <v>2955</v>
      </c>
      <c r="L183" t="s">
        <v>2468</v>
      </c>
      <c r="M183" t="s">
        <v>2542</v>
      </c>
      <c r="N183" s="6">
        <v>46003</v>
      </c>
      <c r="O183" t="s">
        <v>2449</v>
      </c>
      <c r="P183" t="s">
        <v>2445</v>
      </c>
      <c r="Q183" s="23">
        <v>0.29178240740740741</v>
      </c>
      <c r="R183" s="23">
        <v>0.62744212962962964</v>
      </c>
      <c r="S183">
        <v>21</v>
      </c>
      <c r="T183">
        <v>1</v>
      </c>
      <c r="U183" t="s">
        <v>2546</v>
      </c>
      <c r="V183">
        <v>8.06</v>
      </c>
      <c r="W183">
        <v>8</v>
      </c>
      <c r="X183">
        <v>0.06</v>
      </c>
      <c r="Y183" t="s">
        <v>2689</v>
      </c>
      <c r="Z183" t="s">
        <v>2689</v>
      </c>
      <c r="AA183" t="s">
        <v>2689</v>
      </c>
      <c r="AC183" t="s">
        <v>2689</v>
      </c>
      <c r="AD183" t="s">
        <v>2689</v>
      </c>
      <c r="AE183" t="s">
        <v>2689</v>
      </c>
      <c r="AF183" t="s">
        <v>2689</v>
      </c>
      <c r="AH183">
        <v>168</v>
      </c>
      <c r="AI183">
        <v>1.89</v>
      </c>
      <c r="AJ183" t="s">
        <v>2690</v>
      </c>
      <c r="AK183" t="s">
        <v>2690</v>
      </c>
      <c r="AL183" t="s">
        <v>2690</v>
      </c>
      <c r="AP183">
        <v>169.89</v>
      </c>
      <c r="AR183" s="23">
        <v>0.29178240740740741</v>
      </c>
      <c r="AS183" s="23">
        <v>0.62744212962962964</v>
      </c>
      <c r="AT183" s="23">
        <v>0.29166666666666669</v>
      </c>
      <c r="AU183" s="23">
        <v>0.5</v>
      </c>
      <c r="AV183" t="s">
        <v>2540</v>
      </c>
      <c r="BA183" t="s">
        <v>2798</v>
      </c>
      <c r="BD183" t="s">
        <v>2544</v>
      </c>
      <c r="BE183" t="s">
        <v>2545</v>
      </c>
      <c r="BG183">
        <v>0</v>
      </c>
      <c r="BH183">
        <v>0</v>
      </c>
      <c r="BJ183">
        <v>0</v>
      </c>
    </row>
    <row r="184" spans="1:62" x14ac:dyDescent="0.2">
      <c r="A184" t="s">
        <v>2468</v>
      </c>
      <c r="B184" t="s">
        <v>2468</v>
      </c>
      <c r="C184">
        <v>100073368</v>
      </c>
      <c r="D184" t="s">
        <v>2550</v>
      </c>
      <c r="E184" t="s">
        <v>2439</v>
      </c>
      <c r="F184" t="s">
        <v>2452</v>
      </c>
      <c r="G184" t="s">
        <v>2453</v>
      </c>
      <c r="H184" s="23">
        <v>0.33333333333333331</v>
      </c>
      <c r="I184" t="s">
        <v>2688</v>
      </c>
      <c r="J184" t="s">
        <v>2541</v>
      </c>
      <c r="K184" t="s">
        <v>2547</v>
      </c>
      <c r="L184" t="s">
        <v>2468</v>
      </c>
      <c r="M184" t="s">
        <v>2542</v>
      </c>
      <c r="N184" s="6">
        <v>46006</v>
      </c>
      <c r="O184" t="s">
        <v>2455</v>
      </c>
      <c r="P184" t="s">
        <v>2445</v>
      </c>
      <c r="Q184" s="23">
        <v>0.2951388888888889</v>
      </c>
      <c r="R184" s="23">
        <v>0.60539351851851853</v>
      </c>
      <c r="S184">
        <v>21</v>
      </c>
      <c r="T184">
        <v>1</v>
      </c>
      <c r="U184" t="s">
        <v>2546</v>
      </c>
      <c r="V184">
        <v>6.95</v>
      </c>
      <c r="W184">
        <v>6.95</v>
      </c>
      <c r="X184" t="s">
        <v>2689</v>
      </c>
      <c r="Y184" t="s">
        <v>2689</v>
      </c>
      <c r="Z184" t="s">
        <v>2689</v>
      </c>
      <c r="AA184" t="s">
        <v>2689</v>
      </c>
      <c r="AC184" t="s">
        <v>2689</v>
      </c>
      <c r="AD184" t="s">
        <v>2689</v>
      </c>
      <c r="AE184" t="s">
        <v>2689</v>
      </c>
      <c r="AF184" t="s">
        <v>2689</v>
      </c>
      <c r="AH184">
        <v>145.94999999999999</v>
      </c>
      <c r="AI184" t="s">
        <v>2690</v>
      </c>
      <c r="AJ184" t="s">
        <v>2690</v>
      </c>
      <c r="AK184" t="s">
        <v>2690</v>
      </c>
      <c r="AL184" t="s">
        <v>2690</v>
      </c>
      <c r="AP184">
        <v>145.94999999999999</v>
      </c>
      <c r="AR184" s="23">
        <v>0.2951388888888889</v>
      </c>
      <c r="AS184" s="23">
        <v>0.60539351851851853</v>
      </c>
      <c r="AT184" s="23">
        <v>0.29166666666666669</v>
      </c>
      <c r="AU184" s="23">
        <v>0.60416666666666663</v>
      </c>
      <c r="AV184" t="s">
        <v>2540</v>
      </c>
      <c r="AY184">
        <v>0.5</v>
      </c>
      <c r="AZ184" t="s">
        <v>2956</v>
      </c>
      <c r="BA184" t="s">
        <v>2769</v>
      </c>
      <c r="BD184" t="s">
        <v>2544</v>
      </c>
      <c r="BE184" t="s">
        <v>2545</v>
      </c>
      <c r="BG184">
        <v>0</v>
      </c>
      <c r="BH184">
        <v>0</v>
      </c>
      <c r="BJ184">
        <v>0</v>
      </c>
    </row>
    <row r="185" spans="1:62" x14ac:dyDescent="0.2">
      <c r="A185" t="s">
        <v>2468</v>
      </c>
      <c r="B185" t="s">
        <v>2468</v>
      </c>
      <c r="C185">
        <v>100073368</v>
      </c>
      <c r="D185" t="s">
        <v>2550</v>
      </c>
      <c r="E185" t="s">
        <v>2439</v>
      </c>
      <c r="F185" t="s">
        <v>2452</v>
      </c>
      <c r="G185" t="s">
        <v>2453</v>
      </c>
      <c r="H185" s="23">
        <v>0.33333333333333331</v>
      </c>
      <c r="I185" t="s">
        <v>2688</v>
      </c>
      <c r="J185" t="s">
        <v>2541</v>
      </c>
      <c r="K185" t="s">
        <v>2548</v>
      </c>
      <c r="L185" t="s">
        <v>2468</v>
      </c>
      <c r="M185" t="s">
        <v>2542</v>
      </c>
      <c r="N185" s="6">
        <v>46007</v>
      </c>
      <c r="O185" t="s">
        <v>2457</v>
      </c>
      <c r="P185" t="s">
        <v>2445</v>
      </c>
      <c r="Q185" s="23">
        <v>0.29166666666666669</v>
      </c>
      <c r="R185" s="23">
        <v>0.60416666666666663</v>
      </c>
      <c r="S185">
        <v>21</v>
      </c>
      <c r="T185">
        <v>1</v>
      </c>
      <c r="U185" t="s">
        <v>2546</v>
      </c>
      <c r="V185">
        <v>7</v>
      </c>
      <c r="W185">
        <v>7</v>
      </c>
      <c r="X185" t="s">
        <v>2689</v>
      </c>
      <c r="Y185" t="s">
        <v>2689</v>
      </c>
      <c r="Z185" t="s">
        <v>2689</v>
      </c>
      <c r="AA185" t="s">
        <v>2689</v>
      </c>
      <c r="AC185" t="s">
        <v>2689</v>
      </c>
      <c r="AD185" t="s">
        <v>2689</v>
      </c>
      <c r="AE185" t="s">
        <v>2689</v>
      </c>
      <c r="AF185" t="s">
        <v>2689</v>
      </c>
      <c r="AH185">
        <v>147</v>
      </c>
      <c r="AI185" t="s">
        <v>2690</v>
      </c>
      <c r="AJ185" t="s">
        <v>2690</v>
      </c>
      <c r="AK185" t="s">
        <v>2690</v>
      </c>
      <c r="AL185" t="s">
        <v>2690</v>
      </c>
      <c r="AP185">
        <v>147</v>
      </c>
      <c r="AT185" s="23">
        <v>0.29166666666666669</v>
      </c>
      <c r="AU185" s="23">
        <v>0.60416666666666663</v>
      </c>
      <c r="AV185" t="s">
        <v>2540</v>
      </c>
      <c r="AY185">
        <v>0.5</v>
      </c>
      <c r="BA185" t="s">
        <v>2761</v>
      </c>
      <c r="BD185" t="s">
        <v>2544</v>
      </c>
      <c r="BE185" t="s">
        <v>2545</v>
      </c>
      <c r="BF185" t="s">
        <v>2456</v>
      </c>
      <c r="BG185">
        <v>0</v>
      </c>
      <c r="BH185">
        <v>0</v>
      </c>
      <c r="BJ185">
        <v>0</v>
      </c>
    </row>
    <row r="186" spans="1:62" x14ac:dyDescent="0.2">
      <c r="A186" t="s">
        <v>2468</v>
      </c>
      <c r="B186" t="s">
        <v>2468</v>
      </c>
      <c r="C186">
        <v>100073368</v>
      </c>
      <c r="D186" t="s">
        <v>2550</v>
      </c>
      <c r="E186" t="s">
        <v>2439</v>
      </c>
      <c r="F186" t="s">
        <v>2452</v>
      </c>
      <c r="G186" t="s">
        <v>2453</v>
      </c>
      <c r="H186" s="23">
        <v>0.33333333333333331</v>
      </c>
      <c r="I186" t="s">
        <v>2688</v>
      </c>
      <c r="J186" t="s">
        <v>2541</v>
      </c>
      <c r="K186" t="s">
        <v>2548</v>
      </c>
      <c r="L186" t="s">
        <v>2468</v>
      </c>
      <c r="M186" t="s">
        <v>2542</v>
      </c>
      <c r="N186" s="6">
        <v>46008</v>
      </c>
      <c r="O186" t="s">
        <v>2458</v>
      </c>
      <c r="P186" t="s">
        <v>2445</v>
      </c>
      <c r="Q186" s="23">
        <v>0.29965277777777777</v>
      </c>
      <c r="R186" s="23">
        <v>0.61020833333333335</v>
      </c>
      <c r="S186">
        <v>21</v>
      </c>
      <c r="T186">
        <v>1</v>
      </c>
      <c r="U186" t="s">
        <v>2546</v>
      </c>
      <c r="V186">
        <v>6.95</v>
      </c>
      <c r="W186">
        <v>6.95</v>
      </c>
      <c r="X186" t="s">
        <v>2689</v>
      </c>
      <c r="Y186" t="s">
        <v>2689</v>
      </c>
      <c r="Z186" t="s">
        <v>2689</v>
      </c>
      <c r="AA186" t="s">
        <v>2689</v>
      </c>
      <c r="AC186" t="s">
        <v>2689</v>
      </c>
      <c r="AD186" t="s">
        <v>2689</v>
      </c>
      <c r="AE186" t="s">
        <v>2689</v>
      </c>
      <c r="AF186" t="s">
        <v>2689</v>
      </c>
      <c r="AH186">
        <v>145.94999999999999</v>
      </c>
      <c r="AI186" t="s">
        <v>2690</v>
      </c>
      <c r="AJ186" t="s">
        <v>2690</v>
      </c>
      <c r="AK186" t="s">
        <v>2690</v>
      </c>
      <c r="AL186" t="s">
        <v>2690</v>
      </c>
      <c r="AP186">
        <v>145.94999999999999</v>
      </c>
      <c r="AQ186" t="s">
        <v>2442</v>
      </c>
      <c r="AR186" s="23">
        <v>0.29965277777777777</v>
      </c>
      <c r="AS186" s="23">
        <v>0.61020833333333335</v>
      </c>
      <c r="AT186" s="23">
        <v>0.29166666666666669</v>
      </c>
      <c r="AU186" s="23">
        <v>0.60416666666666663</v>
      </c>
      <c r="AV186" t="s">
        <v>2540</v>
      </c>
      <c r="AY186">
        <v>0.5</v>
      </c>
      <c r="AZ186" t="s">
        <v>2957</v>
      </c>
      <c r="BA186" t="s">
        <v>2771</v>
      </c>
      <c r="BD186" t="s">
        <v>2544</v>
      </c>
      <c r="BE186" t="s">
        <v>2545</v>
      </c>
      <c r="BG186">
        <v>0</v>
      </c>
      <c r="BH186">
        <v>0</v>
      </c>
      <c r="BJ186">
        <v>0</v>
      </c>
    </row>
    <row r="187" spans="1:62" x14ac:dyDescent="0.2">
      <c r="A187" t="s">
        <v>2468</v>
      </c>
      <c r="B187" t="s">
        <v>2468</v>
      </c>
      <c r="C187">
        <v>100073368</v>
      </c>
      <c r="D187" t="s">
        <v>2550</v>
      </c>
      <c r="E187" t="s">
        <v>2439</v>
      </c>
      <c r="F187" t="s">
        <v>2452</v>
      </c>
      <c r="G187" t="s">
        <v>2453</v>
      </c>
      <c r="H187" s="23">
        <v>0.33333333333333331</v>
      </c>
      <c r="I187" t="s">
        <v>2688</v>
      </c>
      <c r="J187" t="s">
        <v>2541</v>
      </c>
      <c r="K187" t="s">
        <v>2548</v>
      </c>
      <c r="L187" t="s">
        <v>2468</v>
      </c>
      <c r="M187" t="s">
        <v>2542</v>
      </c>
      <c r="N187" s="6">
        <v>46009</v>
      </c>
      <c r="O187" t="s">
        <v>2459</v>
      </c>
      <c r="P187" t="s">
        <v>2445</v>
      </c>
      <c r="Q187" s="23">
        <v>0.29097222222222224</v>
      </c>
      <c r="R187" s="23">
        <v>0.54703703703703699</v>
      </c>
      <c r="S187">
        <v>21</v>
      </c>
      <c r="T187">
        <v>1</v>
      </c>
      <c r="U187" t="s">
        <v>2546</v>
      </c>
      <c r="V187">
        <v>7.15</v>
      </c>
      <c r="W187">
        <v>6.15</v>
      </c>
      <c r="X187" t="s">
        <v>2689</v>
      </c>
      <c r="Y187" t="s">
        <v>2689</v>
      </c>
      <c r="Z187" t="s">
        <v>2689</v>
      </c>
      <c r="AA187">
        <v>1</v>
      </c>
      <c r="AC187" t="s">
        <v>2689</v>
      </c>
      <c r="AD187" t="s">
        <v>2689</v>
      </c>
      <c r="AE187" t="s">
        <v>2689</v>
      </c>
      <c r="AF187" t="s">
        <v>2689</v>
      </c>
      <c r="AH187">
        <v>129.15</v>
      </c>
      <c r="AI187" t="s">
        <v>2690</v>
      </c>
      <c r="AJ187" t="s">
        <v>2690</v>
      </c>
      <c r="AK187" t="s">
        <v>2690</v>
      </c>
      <c r="AL187">
        <v>21</v>
      </c>
      <c r="AP187">
        <v>150.15</v>
      </c>
      <c r="AR187" s="23">
        <v>0.29097222222222224</v>
      </c>
      <c r="AS187" s="23">
        <v>0.54703703703703699</v>
      </c>
      <c r="AT187" s="23">
        <v>0.29166666666666669</v>
      </c>
      <c r="AU187" s="23">
        <v>0.60416666666666663</v>
      </c>
      <c r="AV187" t="s">
        <v>2540</v>
      </c>
      <c r="BA187" t="s">
        <v>2765</v>
      </c>
      <c r="BD187" t="s">
        <v>2544</v>
      </c>
      <c r="BE187" t="s">
        <v>2545</v>
      </c>
      <c r="BF187" t="s">
        <v>2516</v>
      </c>
      <c r="BG187">
        <v>0</v>
      </c>
      <c r="BH187">
        <v>0</v>
      </c>
      <c r="BJ187">
        <v>0</v>
      </c>
    </row>
    <row r="188" spans="1:62" x14ac:dyDescent="0.2">
      <c r="A188" t="s">
        <v>2468</v>
      </c>
      <c r="B188" t="s">
        <v>2468</v>
      </c>
      <c r="C188">
        <v>100097191</v>
      </c>
      <c r="D188" t="s">
        <v>2723</v>
      </c>
      <c r="E188" t="s">
        <v>2439</v>
      </c>
      <c r="F188" t="s">
        <v>2452</v>
      </c>
      <c r="G188" t="s">
        <v>2453</v>
      </c>
      <c r="H188" s="23">
        <v>0.33333333333333331</v>
      </c>
      <c r="I188" t="s">
        <v>2688</v>
      </c>
      <c r="J188" t="s">
        <v>2541</v>
      </c>
      <c r="K188" t="s">
        <v>2548</v>
      </c>
      <c r="L188" t="s">
        <v>2468</v>
      </c>
      <c r="M188" t="s">
        <v>2542</v>
      </c>
      <c r="N188" s="6">
        <v>45992</v>
      </c>
      <c r="O188" t="s">
        <v>2455</v>
      </c>
      <c r="P188" t="s">
        <v>2445</v>
      </c>
      <c r="Q188" s="23">
        <v>0.29166666666666669</v>
      </c>
      <c r="R188" s="23">
        <v>0.60416666666666663</v>
      </c>
      <c r="S188">
        <v>20</v>
      </c>
      <c r="T188">
        <v>1</v>
      </c>
      <c r="U188" t="s">
        <v>2543</v>
      </c>
      <c r="V188">
        <v>7</v>
      </c>
      <c r="W188">
        <v>7</v>
      </c>
      <c r="X188" t="s">
        <v>2689</v>
      </c>
      <c r="Y188" t="s">
        <v>2689</v>
      </c>
      <c r="Z188" t="s">
        <v>2689</v>
      </c>
      <c r="AA188" t="s">
        <v>2689</v>
      </c>
      <c r="AC188" t="s">
        <v>2689</v>
      </c>
      <c r="AD188" t="s">
        <v>2689</v>
      </c>
      <c r="AE188" t="s">
        <v>2689</v>
      </c>
      <c r="AF188" t="s">
        <v>2689</v>
      </c>
      <c r="AH188">
        <v>140</v>
      </c>
      <c r="AI188" t="s">
        <v>2690</v>
      </c>
      <c r="AJ188" t="s">
        <v>2690</v>
      </c>
      <c r="AK188" t="s">
        <v>2690</v>
      </c>
      <c r="AL188" t="s">
        <v>2690</v>
      </c>
      <c r="AP188">
        <v>140</v>
      </c>
      <c r="AU188" t="s">
        <v>2689</v>
      </c>
      <c r="AV188" t="s">
        <v>2540</v>
      </c>
      <c r="AY188">
        <v>0.5</v>
      </c>
      <c r="BA188" t="s">
        <v>2692</v>
      </c>
      <c r="BD188" t="s">
        <v>2544</v>
      </c>
      <c r="BE188" t="s">
        <v>2545</v>
      </c>
      <c r="BF188" t="s">
        <v>2456</v>
      </c>
      <c r="BG188">
        <v>0</v>
      </c>
      <c r="BH188">
        <v>0</v>
      </c>
      <c r="BJ188">
        <v>0</v>
      </c>
    </row>
    <row r="189" spans="1:62" x14ac:dyDescent="0.2">
      <c r="A189" t="s">
        <v>2468</v>
      </c>
      <c r="B189" t="s">
        <v>2468</v>
      </c>
      <c r="C189">
        <v>100097191</v>
      </c>
      <c r="D189" t="s">
        <v>2723</v>
      </c>
      <c r="E189" t="s">
        <v>2439</v>
      </c>
      <c r="F189" t="s">
        <v>2452</v>
      </c>
      <c r="G189" t="s">
        <v>2453</v>
      </c>
      <c r="H189" s="23">
        <v>0.33333333333333331</v>
      </c>
      <c r="I189" t="s">
        <v>2688</v>
      </c>
      <c r="J189" t="s">
        <v>2541</v>
      </c>
      <c r="K189" t="s">
        <v>2548</v>
      </c>
      <c r="L189" t="s">
        <v>2468</v>
      </c>
      <c r="M189" t="s">
        <v>2542</v>
      </c>
      <c r="N189" s="6">
        <v>45994</v>
      </c>
      <c r="O189" t="s">
        <v>2458</v>
      </c>
      <c r="P189" t="s">
        <v>2445</v>
      </c>
      <c r="Q189" s="23">
        <v>0.28561342592592592</v>
      </c>
      <c r="R189" s="23">
        <v>0.6052777777777778</v>
      </c>
      <c r="S189">
        <v>20</v>
      </c>
      <c r="T189">
        <v>1</v>
      </c>
      <c r="U189" t="s">
        <v>2543</v>
      </c>
      <c r="V189">
        <v>7.17</v>
      </c>
      <c r="W189">
        <v>7.17</v>
      </c>
      <c r="X189" t="s">
        <v>2689</v>
      </c>
      <c r="Y189" t="s">
        <v>2689</v>
      </c>
      <c r="Z189" t="s">
        <v>2689</v>
      </c>
      <c r="AA189" t="s">
        <v>2689</v>
      </c>
      <c r="AC189" t="s">
        <v>2689</v>
      </c>
      <c r="AD189" t="s">
        <v>2689</v>
      </c>
      <c r="AE189" t="s">
        <v>2689</v>
      </c>
      <c r="AF189" t="s">
        <v>2689</v>
      </c>
      <c r="AH189">
        <v>143.4</v>
      </c>
      <c r="AI189" t="s">
        <v>2690</v>
      </c>
      <c r="AJ189" t="s">
        <v>2690</v>
      </c>
      <c r="AK189" t="s">
        <v>2690</v>
      </c>
      <c r="AL189" t="s">
        <v>2690</v>
      </c>
      <c r="AP189">
        <v>143.4</v>
      </c>
      <c r="AR189" s="23">
        <v>0.28561342592592592</v>
      </c>
      <c r="AS189" s="23">
        <v>0.6052777777777778</v>
      </c>
      <c r="AT189" s="23">
        <v>0.29166666666666669</v>
      </c>
      <c r="AU189" s="23">
        <v>0.60416666666666663</v>
      </c>
      <c r="AV189" t="s">
        <v>2540</v>
      </c>
      <c r="AY189">
        <v>0.5</v>
      </c>
      <c r="BA189" t="s">
        <v>2754</v>
      </c>
      <c r="BD189" t="s">
        <v>2544</v>
      </c>
      <c r="BE189" t="s">
        <v>2545</v>
      </c>
      <c r="BF189" t="s">
        <v>2446</v>
      </c>
      <c r="BG189">
        <v>0</v>
      </c>
      <c r="BH189">
        <v>0</v>
      </c>
      <c r="BJ189">
        <v>0</v>
      </c>
    </row>
    <row r="190" spans="1:62" x14ac:dyDescent="0.2">
      <c r="A190" t="s">
        <v>2468</v>
      </c>
      <c r="B190" t="s">
        <v>2468</v>
      </c>
      <c r="C190">
        <v>100097191</v>
      </c>
      <c r="D190" t="s">
        <v>2723</v>
      </c>
      <c r="E190" t="s">
        <v>2439</v>
      </c>
      <c r="F190" t="s">
        <v>2452</v>
      </c>
      <c r="G190" t="s">
        <v>2453</v>
      </c>
      <c r="H190" s="23">
        <v>0.33333333333333331</v>
      </c>
      <c r="I190" t="s">
        <v>2688</v>
      </c>
      <c r="J190" t="s">
        <v>2541</v>
      </c>
      <c r="K190" t="s">
        <v>2547</v>
      </c>
      <c r="L190" t="s">
        <v>2468</v>
      </c>
      <c r="M190" t="s">
        <v>2542</v>
      </c>
      <c r="N190" s="6">
        <v>45999</v>
      </c>
      <c r="O190" t="s">
        <v>2455</v>
      </c>
      <c r="P190" t="s">
        <v>2445</v>
      </c>
      <c r="Q190" s="23">
        <v>0.29726851851851854</v>
      </c>
      <c r="R190" s="23">
        <v>0.60480324074074077</v>
      </c>
      <c r="S190">
        <v>20</v>
      </c>
      <c r="T190">
        <v>1</v>
      </c>
      <c r="U190" t="s">
        <v>2543</v>
      </c>
      <c r="V190">
        <v>6.88</v>
      </c>
      <c r="W190">
        <v>6.88</v>
      </c>
      <c r="X190" t="s">
        <v>2689</v>
      </c>
      <c r="Y190" t="s">
        <v>2689</v>
      </c>
      <c r="Z190" t="s">
        <v>2689</v>
      </c>
      <c r="AA190" t="s">
        <v>2689</v>
      </c>
      <c r="AC190" t="s">
        <v>2689</v>
      </c>
      <c r="AD190" t="s">
        <v>2689</v>
      </c>
      <c r="AE190" t="s">
        <v>2689</v>
      </c>
      <c r="AF190" t="s">
        <v>2689</v>
      </c>
      <c r="AH190">
        <v>137.6</v>
      </c>
      <c r="AI190" t="s">
        <v>2690</v>
      </c>
      <c r="AJ190" t="s">
        <v>2690</v>
      </c>
      <c r="AK190" t="s">
        <v>2690</v>
      </c>
      <c r="AL190" t="s">
        <v>2690</v>
      </c>
      <c r="AP190">
        <v>137.6</v>
      </c>
      <c r="AR190" s="23">
        <v>0.29726851851851854</v>
      </c>
      <c r="AS190" s="23">
        <v>0.60480324074074077</v>
      </c>
      <c r="AT190" s="23">
        <v>0.29166666666666669</v>
      </c>
      <c r="AU190" s="23">
        <v>0.60416666666666663</v>
      </c>
      <c r="AV190" t="s">
        <v>2540</v>
      </c>
      <c r="AY190">
        <v>0.5</v>
      </c>
      <c r="AZ190" t="s">
        <v>2958</v>
      </c>
      <c r="BA190" t="s">
        <v>2861</v>
      </c>
      <c r="BD190" t="s">
        <v>2544</v>
      </c>
      <c r="BE190" t="s">
        <v>2545</v>
      </c>
      <c r="BG190">
        <v>0</v>
      </c>
      <c r="BH190">
        <v>0</v>
      </c>
      <c r="BJ190">
        <v>0</v>
      </c>
    </row>
    <row r="191" spans="1:62" x14ac:dyDescent="0.2">
      <c r="A191" t="s">
        <v>2468</v>
      </c>
      <c r="B191" t="s">
        <v>2468</v>
      </c>
      <c r="C191">
        <v>100097191</v>
      </c>
      <c r="D191" t="s">
        <v>2723</v>
      </c>
      <c r="E191" t="s">
        <v>2439</v>
      </c>
      <c r="F191" t="s">
        <v>2452</v>
      </c>
      <c r="G191" t="s">
        <v>2453</v>
      </c>
      <c r="H191" s="23">
        <v>0.33333333333333331</v>
      </c>
      <c r="I191" t="s">
        <v>2688</v>
      </c>
      <c r="J191" t="s">
        <v>2541</v>
      </c>
      <c r="K191" t="s">
        <v>2959</v>
      </c>
      <c r="L191" t="s">
        <v>2468</v>
      </c>
      <c r="M191" t="s">
        <v>2542</v>
      </c>
      <c r="N191" s="6">
        <v>46001</v>
      </c>
      <c r="O191" t="s">
        <v>2458</v>
      </c>
      <c r="P191" t="s">
        <v>2445</v>
      </c>
      <c r="Q191" s="23">
        <v>0.29368055555555556</v>
      </c>
      <c r="R191" s="23">
        <v>0.60416666666666663</v>
      </c>
      <c r="S191">
        <v>20</v>
      </c>
      <c r="T191">
        <v>1</v>
      </c>
      <c r="U191" t="s">
        <v>2543</v>
      </c>
      <c r="V191">
        <v>6.95</v>
      </c>
      <c r="W191">
        <v>6.95</v>
      </c>
      <c r="X191" t="s">
        <v>2689</v>
      </c>
      <c r="Y191" t="s">
        <v>2689</v>
      </c>
      <c r="Z191" t="s">
        <v>2689</v>
      </c>
      <c r="AA191" t="s">
        <v>2689</v>
      </c>
      <c r="AC191" t="s">
        <v>2689</v>
      </c>
      <c r="AD191" t="s">
        <v>2689</v>
      </c>
      <c r="AE191" t="s">
        <v>2689</v>
      </c>
      <c r="AF191" t="s">
        <v>2689</v>
      </c>
      <c r="AH191">
        <v>139</v>
      </c>
      <c r="AI191" t="s">
        <v>2690</v>
      </c>
      <c r="AJ191" t="s">
        <v>2690</v>
      </c>
      <c r="AK191" t="s">
        <v>2690</v>
      </c>
      <c r="AL191" t="s">
        <v>2690</v>
      </c>
      <c r="AP191">
        <v>139</v>
      </c>
      <c r="AR191" s="23">
        <v>0.29368055555555556</v>
      </c>
      <c r="AS191" s="23">
        <v>0.5899537037037037</v>
      </c>
      <c r="AT191" s="23">
        <v>0.29166666666666669</v>
      </c>
      <c r="AU191" s="23">
        <v>0.5</v>
      </c>
      <c r="AV191" t="s">
        <v>2540</v>
      </c>
      <c r="AY191">
        <v>0.5</v>
      </c>
      <c r="AZ191" t="s">
        <v>2960</v>
      </c>
      <c r="BA191" t="s">
        <v>2759</v>
      </c>
      <c r="BD191" t="s">
        <v>2544</v>
      </c>
      <c r="BE191" t="s">
        <v>2545</v>
      </c>
      <c r="BF191" t="s">
        <v>2460</v>
      </c>
      <c r="BG191">
        <v>0</v>
      </c>
      <c r="BH191">
        <v>0</v>
      </c>
      <c r="BJ191">
        <v>0</v>
      </c>
    </row>
    <row r="192" spans="1:62" x14ac:dyDescent="0.2">
      <c r="A192" t="s">
        <v>2468</v>
      </c>
      <c r="B192" t="s">
        <v>2468</v>
      </c>
      <c r="C192">
        <v>100097191</v>
      </c>
      <c r="D192" t="s">
        <v>2723</v>
      </c>
      <c r="E192" t="s">
        <v>2439</v>
      </c>
      <c r="F192" t="s">
        <v>2452</v>
      </c>
      <c r="G192" t="s">
        <v>2453</v>
      </c>
      <c r="H192" s="23">
        <v>0.33333333333333331</v>
      </c>
      <c r="I192" t="s">
        <v>2688</v>
      </c>
      <c r="J192" t="s">
        <v>2541</v>
      </c>
      <c r="K192" t="s">
        <v>2959</v>
      </c>
      <c r="L192" t="s">
        <v>2468</v>
      </c>
      <c r="M192" t="s">
        <v>2542</v>
      </c>
      <c r="N192" s="6">
        <v>46003</v>
      </c>
      <c r="O192" t="s">
        <v>2449</v>
      </c>
      <c r="P192" t="s">
        <v>2445</v>
      </c>
      <c r="Q192" s="23">
        <v>0.30432870370370368</v>
      </c>
      <c r="R192" s="23">
        <v>0.62755787037037036</v>
      </c>
      <c r="S192">
        <v>20</v>
      </c>
      <c r="T192">
        <v>1</v>
      </c>
      <c r="U192" t="s">
        <v>2543</v>
      </c>
      <c r="V192">
        <v>7.76</v>
      </c>
      <c r="W192">
        <v>7.76</v>
      </c>
      <c r="X192" t="s">
        <v>2689</v>
      </c>
      <c r="Y192" t="s">
        <v>2689</v>
      </c>
      <c r="Z192" t="s">
        <v>2689</v>
      </c>
      <c r="AA192" t="s">
        <v>2689</v>
      </c>
      <c r="AC192" t="s">
        <v>2689</v>
      </c>
      <c r="AD192" t="s">
        <v>2689</v>
      </c>
      <c r="AE192" t="s">
        <v>2689</v>
      </c>
      <c r="AF192" t="s">
        <v>2689</v>
      </c>
      <c r="AH192">
        <v>155.19999999999999</v>
      </c>
      <c r="AI192" t="s">
        <v>2690</v>
      </c>
      <c r="AJ192" t="s">
        <v>2690</v>
      </c>
      <c r="AK192" t="s">
        <v>2690</v>
      </c>
      <c r="AL192" t="s">
        <v>2690</v>
      </c>
      <c r="AP192">
        <v>155.19999999999999</v>
      </c>
      <c r="AQ192" t="s">
        <v>2442</v>
      </c>
      <c r="AR192" s="23">
        <v>0.30432870370370368</v>
      </c>
      <c r="AS192" s="23">
        <v>0.62755787037037036</v>
      </c>
      <c r="AT192" s="23">
        <v>0.29166666666666669</v>
      </c>
      <c r="AU192" s="23">
        <v>0.5</v>
      </c>
      <c r="AV192" t="s">
        <v>2540</v>
      </c>
      <c r="BA192" t="s">
        <v>2798</v>
      </c>
      <c r="BD192" t="s">
        <v>2544</v>
      </c>
      <c r="BE192" t="s">
        <v>2545</v>
      </c>
      <c r="BG192">
        <v>0</v>
      </c>
      <c r="BH192">
        <v>0</v>
      </c>
      <c r="BJ192">
        <v>0</v>
      </c>
    </row>
    <row r="193" spans="1:62" x14ac:dyDescent="0.2">
      <c r="A193" t="s">
        <v>2468</v>
      </c>
      <c r="B193" t="s">
        <v>2468</v>
      </c>
      <c r="C193">
        <v>100097191</v>
      </c>
      <c r="D193" t="s">
        <v>2723</v>
      </c>
      <c r="E193" t="s">
        <v>2439</v>
      </c>
      <c r="F193" t="s">
        <v>2452</v>
      </c>
      <c r="G193" t="s">
        <v>2453</v>
      </c>
      <c r="H193" s="23">
        <v>0.33333333333333331</v>
      </c>
      <c r="I193" t="s">
        <v>2688</v>
      </c>
      <c r="J193" t="s">
        <v>2541</v>
      </c>
      <c r="K193" t="s">
        <v>2548</v>
      </c>
      <c r="L193" t="s">
        <v>2468</v>
      </c>
      <c r="M193" t="s">
        <v>2542</v>
      </c>
      <c r="N193" s="6">
        <v>46006</v>
      </c>
      <c r="O193" t="s">
        <v>2455</v>
      </c>
      <c r="P193" t="s">
        <v>2445</v>
      </c>
      <c r="Q193" s="23">
        <v>0.2996064814814815</v>
      </c>
      <c r="R193" s="23">
        <v>0.6058217592592593</v>
      </c>
      <c r="S193">
        <v>20</v>
      </c>
      <c r="T193">
        <v>1</v>
      </c>
      <c r="U193" t="s">
        <v>2543</v>
      </c>
      <c r="V193">
        <v>6.85</v>
      </c>
      <c r="W193">
        <v>6.85</v>
      </c>
      <c r="X193" t="s">
        <v>2689</v>
      </c>
      <c r="Y193" t="s">
        <v>2689</v>
      </c>
      <c r="Z193" t="s">
        <v>2689</v>
      </c>
      <c r="AA193" t="s">
        <v>2689</v>
      </c>
      <c r="AC193" t="s">
        <v>2689</v>
      </c>
      <c r="AD193" t="s">
        <v>2689</v>
      </c>
      <c r="AE193" t="s">
        <v>2689</v>
      </c>
      <c r="AF193" t="s">
        <v>2689</v>
      </c>
      <c r="AH193">
        <v>137</v>
      </c>
      <c r="AI193" t="s">
        <v>2690</v>
      </c>
      <c r="AJ193" t="s">
        <v>2690</v>
      </c>
      <c r="AK193" t="s">
        <v>2690</v>
      </c>
      <c r="AL193" t="s">
        <v>2690</v>
      </c>
      <c r="AP193">
        <v>137</v>
      </c>
      <c r="AQ193" t="s">
        <v>2442</v>
      </c>
      <c r="AR193" s="23">
        <v>0.2996064814814815</v>
      </c>
      <c r="AS193" s="23">
        <v>0.6058217592592593</v>
      </c>
      <c r="AT193" s="23">
        <v>0.29166666666666669</v>
      </c>
      <c r="AU193" s="23">
        <v>0.60416666666666663</v>
      </c>
      <c r="AV193" t="s">
        <v>2540</v>
      </c>
      <c r="AY193">
        <v>0.5</v>
      </c>
      <c r="AZ193" t="s">
        <v>2961</v>
      </c>
      <c r="BA193" t="s">
        <v>2769</v>
      </c>
      <c r="BD193" t="s">
        <v>2544</v>
      </c>
      <c r="BE193" t="s">
        <v>2545</v>
      </c>
      <c r="BG193">
        <v>0</v>
      </c>
      <c r="BH193">
        <v>0</v>
      </c>
      <c r="BJ193">
        <v>0</v>
      </c>
    </row>
    <row r="194" spans="1:62" x14ac:dyDescent="0.2">
      <c r="A194" t="s">
        <v>2468</v>
      </c>
      <c r="B194" t="s">
        <v>2468</v>
      </c>
      <c r="C194">
        <v>100097191</v>
      </c>
      <c r="D194" t="s">
        <v>2723</v>
      </c>
      <c r="E194" t="s">
        <v>2439</v>
      </c>
      <c r="F194" t="s">
        <v>2452</v>
      </c>
      <c r="G194" t="s">
        <v>2453</v>
      </c>
      <c r="H194" s="23">
        <v>0.33333333333333331</v>
      </c>
      <c r="I194" t="s">
        <v>2688</v>
      </c>
      <c r="J194" t="s">
        <v>2541</v>
      </c>
      <c r="K194" t="s">
        <v>2547</v>
      </c>
      <c r="L194" t="s">
        <v>2468</v>
      </c>
      <c r="M194" t="s">
        <v>2542</v>
      </c>
      <c r="N194" s="6">
        <v>46007</v>
      </c>
      <c r="O194" t="s">
        <v>2457</v>
      </c>
      <c r="P194" t="s">
        <v>2445</v>
      </c>
      <c r="Q194" s="23">
        <v>0.29438657407407409</v>
      </c>
      <c r="R194" s="23">
        <v>0.61087962962962961</v>
      </c>
      <c r="S194">
        <v>20</v>
      </c>
      <c r="T194">
        <v>1</v>
      </c>
      <c r="U194" t="s">
        <v>2543</v>
      </c>
      <c r="V194">
        <v>7.1</v>
      </c>
      <c r="W194">
        <v>7.1</v>
      </c>
      <c r="X194" t="s">
        <v>2689</v>
      </c>
      <c r="Y194" t="s">
        <v>2689</v>
      </c>
      <c r="Z194" t="s">
        <v>2689</v>
      </c>
      <c r="AA194" t="s">
        <v>2689</v>
      </c>
      <c r="AC194" t="s">
        <v>2689</v>
      </c>
      <c r="AD194" t="s">
        <v>2689</v>
      </c>
      <c r="AE194" t="s">
        <v>2689</v>
      </c>
      <c r="AF194" t="s">
        <v>2689</v>
      </c>
      <c r="AH194">
        <v>142</v>
      </c>
      <c r="AI194" t="s">
        <v>2690</v>
      </c>
      <c r="AJ194" t="s">
        <v>2690</v>
      </c>
      <c r="AK194" t="s">
        <v>2690</v>
      </c>
      <c r="AL194" t="s">
        <v>2690</v>
      </c>
      <c r="AP194">
        <v>142</v>
      </c>
      <c r="AR194" s="23">
        <v>0.29438657407407409</v>
      </c>
      <c r="AS194" s="23">
        <v>0.61087962962962961</v>
      </c>
      <c r="AT194" s="23">
        <v>0.29166666666666669</v>
      </c>
      <c r="AU194" s="23">
        <v>0.60416666666666663</v>
      </c>
      <c r="AV194" t="s">
        <v>2540</v>
      </c>
      <c r="AY194">
        <v>0.5</v>
      </c>
      <c r="AZ194" t="s">
        <v>2962</v>
      </c>
      <c r="BA194" t="s">
        <v>2761</v>
      </c>
      <c r="BD194" t="s">
        <v>2544</v>
      </c>
      <c r="BE194" t="s">
        <v>2545</v>
      </c>
      <c r="BG194">
        <v>0</v>
      </c>
      <c r="BH194">
        <v>0</v>
      </c>
      <c r="BJ194">
        <v>0</v>
      </c>
    </row>
    <row r="195" spans="1:62" x14ac:dyDescent="0.2">
      <c r="A195" t="s">
        <v>2468</v>
      </c>
      <c r="B195" t="s">
        <v>2468</v>
      </c>
      <c r="C195">
        <v>100097191</v>
      </c>
      <c r="D195" t="s">
        <v>2723</v>
      </c>
      <c r="E195" t="s">
        <v>2439</v>
      </c>
      <c r="F195" t="s">
        <v>2452</v>
      </c>
      <c r="G195" t="s">
        <v>2453</v>
      </c>
      <c r="H195" s="23">
        <v>0.33333333333333331</v>
      </c>
      <c r="I195" t="s">
        <v>2688</v>
      </c>
      <c r="J195" t="s">
        <v>2541</v>
      </c>
      <c r="K195" t="s">
        <v>2547</v>
      </c>
      <c r="L195" t="s">
        <v>2468</v>
      </c>
      <c r="M195" t="s">
        <v>2542</v>
      </c>
      <c r="N195" s="6">
        <v>46008</v>
      </c>
      <c r="O195" t="s">
        <v>2458</v>
      </c>
      <c r="P195" t="s">
        <v>2445</v>
      </c>
      <c r="Q195" s="23">
        <v>0.29166666666666669</v>
      </c>
      <c r="R195" s="23">
        <v>0.61111111111111116</v>
      </c>
      <c r="S195">
        <v>20</v>
      </c>
      <c r="T195">
        <v>1</v>
      </c>
      <c r="U195" t="s">
        <v>2543</v>
      </c>
      <c r="V195">
        <v>7.17</v>
      </c>
      <c r="W195">
        <v>7.17</v>
      </c>
      <c r="X195" t="s">
        <v>2689</v>
      </c>
      <c r="Y195" t="s">
        <v>2689</v>
      </c>
      <c r="Z195" t="s">
        <v>2689</v>
      </c>
      <c r="AA195" t="s">
        <v>2689</v>
      </c>
      <c r="AC195" t="s">
        <v>2689</v>
      </c>
      <c r="AD195" t="s">
        <v>2689</v>
      </c>
      <c r="AE195" t="s">
        <v>2689</v>
      </c>
      <c r="AF195" t="s">
        <v>2689</v>
      </c>
      <c r="AH195">
        <v>143.4</v>
      </c>
      <c r="AI195" t="s">
        <v>2690</v>
      </c>
      <c r="AJ195" t="s">
        <v>2690</v>
      </c>
      <c r="AK195" t="s">
        <v>2690</v>
      </c>
      <c r="AL195" t="s">
        <v>2690</v>
      </c>
      <c r="AP195">
        <v>143.4</v>
      </c>
      <c r="AT195" s="23">
        <v>0.29166666666666669</v>
      </c>
      <c r="AU195" s="23">
        <v>0.60416666666666663</v>
      </c>
      <c r="AV195" t="s">
        <v>2540</v>
      </c>
      <c r="AY195">
        <v>0.5</v>
      </c>
      <c r="BA195" t="s">
        <v>2765</v>
      </c>
      <c r="BD195" t="s">
        <v>2544</v>
      </c>
      <c r="BE195" t="s">
        <v>2545</v>
      </c>
      <c r="BF195" t="s">
        <v>2471</v>
      </c>
      <c r="BG195">
        <v>0</v>
      </c>
      <c r="BH195">
        <v>0</v>
      </c>
      <c r="BJ195">
        <v>0</v>
      </c>
    </row>
    <row r="196" spans="1:62" x14ac:dyDescent="0.2">
      <c r="A196" t="s">
        <v>2468</v>
      </c>
      <c r="B196" t="s">
        <v>2468</v>
      </c>
      <c r="C196">
        <v>100097191</v>
      </c>
      <c r="D196" t="s">
        <v>2723</v>
      </c>
      <c r="E196" t="s">
        <v>2439</v>
      </c>
      <c r="F196" t="s">
        <v>2452</v>
      </c>
      <c r="G196" t="s">
        <v>2453</v>
      </c>
      <c r="H196" s="23">
        <v>0.33333333333333331</v>
      </c>
      <c r="I196" t="s">
        <v>2688</v>
      </c>
      <c r="J196" t="s">
        <v>2541</v>
      </c>
      <c r="K196" t="s">
        <v>2547</v>
      </c>
      <c r="L196" t="s">
        <v>2468</v>
      </c>
      <c r="M196" t="s">
        <v>2542</v>
      </c>
      <c r="N196" s="6">
        <v>46009</v>
      </c>
      <c r="O196" t="s">
        <v>2459</v>
      </c>
      <c r="P196" t="s">
        <v>2445</v>
      </c>
      <c r="Q196" s="23">
        <v>0.30688657407407405</v>
      </c>
      <c r="R196" s="23">
        <v>0.54608796296296291</v>
      </c>
      <c r="S196">
        <v>20</v>
      </c>
      <c r="T196">
        <v>1</v>
      </c>
      <c r="U196" t="s">
        <v>2543</v>
      </c>
      <c r="V196">
        <v>5.74</v>
      </c>
      <c r="W196">
        <v>5.74</v>
      </c>
      <c r="X196" t="s">
        <v>2689</v>
      </c>
      <c r="Y196" t="s">
        <v>2689</v>
      </c>
      <c r="Z196" t="s">
        <v>2689</v>
      </c>
      <c r="AA196" t="s">
        <v>2689</v>
      </c>
      <c r="AC196" t="s">
        <v>2689</v>
      </c>
      <c r="AD196" t="s">
        <v>2689</v>
      </c>
      <c r="AE196" t="s">
        <v>2689</v>
      </c>
      <c r="AF196" t="s">
        <v>2689</v>
      </c>
      <c r="AH196">
        <v>114.8</v>
      </c>
      <c r="AI196" t="s">
        <v>2690</v>
      </c>
      <c r="AJ196" t="s">
        <v>2690</v>
      </c>
      <c r="AK196" t="s">
        <v>2690</v>
      </c>
      <c r="AL196" t="s">
        <v>2690</v>
      </c>
      <c r="AP196">
        <v>114.8</v>
      </c>
      <c r="AQ196" t="s">
        <v>2442</v>
      </c>
      <c r="AR196" s="23">
        <v>0.30688657407407405</v>
      </c>
      <c r="AS196" s="23">
        <v>0.54608796296296291</v>
      </c>
      <c r="AT196" s="23">
        <v>0.29166666666666669</v>
      </c>
      <c r="AU196" s="23">
        <v>0.60416666666666663</v>
      </c>
      <c r="AV196" t="s">
        <v>2540</v>
      </c>
      <c r="BA196" t="s">
        <v>2765</v>
      </c>
      <c r="BD196" t="s">
        <v>2544</v>
      </c>
      <c r="BE196" t="s">
        <v>2545</v>
      </c>
      <c r="BG196">
        <v>0</v>
      </c>
      <c r="BH196">
        <v>0</v>
      </c>
      <c r="BJ196">
        <v>0</v>
      </c>
    </row>
    <row r="197" spans="1:62" x14ac:dyDescent="0.2">
      <c r="A197" t="s">
        <v>2551</v>
      </c>
      <c r="B197" t="s">
        <v>2551</v>
      </c>
      <c r="C197">
        <v>100059401</v>
      </c>
      <c r="D197" t="s">
        <v>2724</v>
      </c>
      <c r="E197" t="s">
        <v>2552</v>
      </c>
      <c r="F197" t="s">
        <v>2452</v>
      </c>
      <c r="G197" t="s">
        <v>2453</v>
      </c>
      <c r="H197" s="23">
        <v>0.33333333333333331</v>
      </c>
      <c r="I197" t="s">
        <v>2688</v>
      </c>
      <c r="J197" t="s">
        <v>2553</v>
      </c>
      <c r="K197" t="s">
        <v>2554</v>
      </c>
      <c r="L197" t="s">
        <v>2551</v>
      </c>
      <c r="N197" s="6">
        <v>45993</v>
      </c>
      <c r="O197" t="s">
        <v>2457</v>
      </c>
      <c r="P197" t="s">
        <v>2445</v>
      </c>
      <c r="Q197" s="23">
        <v>0.26932870370370371</v>
      </c>
      <c r="R197" s="23">
        <v>0.627349537037037</v>
      </c>
      <c r="S197">
        <v>26.67</v>
      </c>
      <c r="T197" t="s">
        <v>2443</v>
      </c>
      <c r="U197" t="s">
        <v>2555</v>
      </c>
      <c r="V197">
        <v>8.09</v>
      </c>
      <c r="W197">
        <v>8</v>
      </c>
      <c r="X197">
        <v>0.09</v>
      </c>
      <c r="Y197" t="s">
        <v>2689</v>
      </c>
      <c r="Z197" t="s">
        <v>2689</v>
      </c>
      <c r="AA197" t="s">
        <v>2689</v>
      </c>
      <c r="AC197" t="s">
        <v>2689</v>
      </c>
      <c r="AD197" t="s">
        <v>2689</v>
      </c>
      <c r="AE197" t="s">
        <v>2689</v>
      </c>
      <c r="AF197" t="s">
        <v>2689</v>
      </c>
      <c r="AH197">
        <v>213.36</v>
      </c>
      <c r="AI197">
        <v>3.6</v>
      </c>
      <c r="AJ197" t="s">
        <v>2690</v>
      </c>
      <c r="AK197" t="s">
        <v>2690</v>
      </c>
      <c r="AL197" t="s">
        <v>2690</v>
      </c>
      <c r="AP197">
        <v>216.96</v>
      </c>
      <c r="AR197" s="23">
        <v>0.26932870370370371</v>
      </c>
      <c r="AS197" s="23">
        <v>0.627349537037037</v>
      </c>
      <c r="AT197" s="23">
        <v>0.26932870370370371</v>
      </c>
      <c r="AU197" t="s">
        <v>2689</v>
      </c>
      <c r="AV197" t="s">
        <v>2556</v>
      </c>
      <c r="AY197">
        <v>0.5</v>
      </c>
      <c r="AZ197" t="s">
        <v>2963</v>
      </c>
      <c r="BA197" t="s">
        <v>2964</v>
      </c>
      <c r="BD197" t="s">
        <v>2557</v>
      </c>
      <c r="BE197" t="s">
        <v>2553</v>
      </c>
      <c r="BG197">
        <v>0</v>
      </c>
      <c r="BH197">
        <v>0</v>
      </c>
      <c r="BJ197">
        <v>0</v>
      </c>
    </row>
    <row r="198" spans="1:62" x14ac:dyDescent="0.2">
      <c r="A198" t="s">
        <v>2551</v>
      </c>
      <c r="B198" t="s">
        <v>2551</v>
      </c>
      <c r="C198">
        <v>100059401</v>
      </c>
      <c r="D198" t="s">
        <v>2724</v>
      </c>
      <c r="E198" t="s">
        <v>2552</v>
      </c>
      <c r="F198" t="s">
        <v>2452</v>
      </c>
      <c r="G198" t="s">
        <v>2453</v>
      </c>
      <c r="H198" s="23">
        <v>0.33333333333333331</v>
      </c>
      <c r="I198" t="s">
        <v>2688</v>
      </c>
      <c r="J198" t="s">
        <v>2553</v>
      </c>
      <c r="K198" t="s">
        <v>2554</v>
      </c>
      <c r="L198" t="s">
        <v>2551</v>
      </c>
      <c r="N198" s="6">
        <v>45994</v>
      </c>
      <c r="O198" t="s">
        <v>2458</v>
      </c>
      <c r="P198" t="s">
        <v>2445</v>
      </c>
      <c r="Q198" s="23">
        <v>0.27194444444444443</v>
      </c>
      <c r="R198" s="23">
        <v>0.64223379629629629</v>
      </c>
      <c r="S198">
        <v>26.67</v>
      </c>
      <c r="T198" t="s">
        <v>2443</v>
      </c>
      <c r="U198" t="s">
        <v>2555</v>
      </c>
      <c r="V198">
        <v>8.39</v>
      </c>
      <c r="W198">
        <v>8</v>
      </c>
      <c r="X198">
        <v>0.39</v>
      </c>
      <c r="Y198" t="s">
        <v>2689</v>
      </c>
      <c r="Z198" t="s">
        <v>2689</v>
      </c>
      <c r="AA198" t="s">
        <v>2689</v>
      </c>
      <c r="AC198" t="s">
        <v>2689</v>
      </c>
      <c r="AD198" t="s">
        <v>2689</v>
      </c>
      <c r="AE198" t="s">
        <v>2689</v>
      </c>
      <c r="AF198" t="s">
        <v>2689</v>
      </c>
      <c r="AH198">
        <v>213.36</v>
      </c>
      <c r="AI198">
        <v>15.6</v>
      </c>
      <c r="AJ198" t="s">
        <v>2690</v>
      </c>
      <c r="AK198" t="s">
        <v>2690</v>
      </c>
      <c r="AL198" t="s">
        <v>2690</v>
      </c>
      <c r="AP198">
        <v>228.96</v>
      </c>
      <c r="AR198" s="23">
        <v>0.27194444444444443</v>
      </c>
      <c r="AS198" s="23">
        <v>0.64223379629629629</v>
      </c>
      <c r="AT198" s="23">
        <v>0.27194444444444443</v>
      </c>
      <c r="AU198" t="s">
        <v>2689</v>
      </c>
      <c r="AV198" t="s">
        <v>2556</v>
      </c>
      <c r="AY198">
        <v>0.5</v>
      </c>
      <c r="AZ198" t="s">
        <v>2965</v>
      </c>
      <c r="BA198" t="s">
        <v>2966</v>
      </c>
      <c r="BD198" t="s">
        <v>2557</v>
      </c>
      <c r="BE198" t="s">
        <v>2553</v>
      </c>
      <c r="BG198">
        <v>0</v>
      </c>
      <c r="BH198">
        <v>0</v>
      </c>
      <c r="BJ198">
        <v>0</v>
      </c>
    </row>
    <row r="199" spans="1:62" x14ac:dyDescent="0.2">
      <c r="A199" t="s">
        <v>2551</v>
      </c>
      <c r="B199" t="s">
        <v>2551</v>
      </c>
      <c r="C199">
        <v>100059401</v>
      </c>
      <c r="D199" t="s">
        <v>2724</v>
      </c>
      <c r="E199" t="s">
        <v>2552</v>
      </c>
      <c r="F199" t="s">
        <v>2452</v>
      </c>
      <c r="G199" t="s">
        <v>2453</v>
      </c>
      <c r="H199" s="23">
        <v>0.33333333333333331</v>
      </c>
      <c r="I199" t="s">
        <v>2688</v>
      </c>
      <c r="J199" t="s">
        <v>2553</v>
      </c>
      <c r="K199" t="s">
        <v>2554</v>
      </c>
      <c r="L199" t="s">
        <v>2551</v>
      </c>
      <c r="N199" s="6">
        <v>45996</v>
      </c>
      <c r="O199" t="s">
        <v>2449</v>
      </c>
      <c r="P199" t="s">
        <v>2445</v>
      </c>
      <c r="Q199" s="23">
        <v>0.26253472222222224</v>
      </c>
      <c r="R199" s="23">
        <v>0.61670138888888892</v>
      </c>
      <c r="S199">
        <v>26.67</v>
      </c>
      <c r="T199" t="s">
        <v>2443</v>
      </c>
      <c r="U199" t="s">
        <v>2555</v>
      </c>
      <c r="V199">
        <v>8</v>
      </c>
      <c r="W199">
        <v>8</v>
      </c>
      <c r="X199" t="s">
        <v>2689</v>
      </c>
      <c r="Y199" t="s">
        <v>2689</v>
      </c>
      <c r="Z199" t="s">
        <v>2689</v>
      </c>
      <c r="AA199" t="s">
        <v>2689</v>
      </c>
      <c r="AC199" t="s">
        <v>2689</v>
      </c>
      <c r="AD199" t="s">
        <v>2689</v>
      </c>
      <c r="AE199" t="s">
        <v>2689</v>
      </c>
      <c r="AF199" t="s">
        <v>2689</v>
      </c>
      <c r="AH199">
        <v>213.36</v>
      </c>
      <c r="AI199" t="s">
        <v>2690</v>
      </c>
      <c r="AJ199" t="s">
        <v>2690</v>
      </c>
      <c r="AK199" t="s">
        <v>2690</v>
      </c>
      <c r="AL199" t="s">
        <v>2690</v>
      </c>
      <c r="AP199">
        <v>213.36</v>
      </c>
      <c r="AR199" s="23">
        <v>0.26253472222222224</v>
      </c>
      <c r="AT199" s="23">
        <v>0.26253472222222224</v>
      </c>
      <c r="AU199" t="s">
        <v>2689</v>
      </c>
      <c r="AV199" t="s">
        <v>2556</v>
      </c>
      <c r="AY199">
        <v>0.5</v>
      </c>
      <c r="AZ199" t="s">
        <v>2967</v>
      </c>
      <c r="BA199" t="s">
        <v>2968</v>
      </c>
      <c r="BD199" t="s">
        <v>2557</v>
      </c>
      <c r="BE199" t="s">
        <v>2553</v>
      </c>
      <c r="BF199" t="s">
        <v>2563</v>
      </c>
      <c r="BG199">
        <v>0</v>
      </c>
      <c r="BH199">
        <v>0</v>
      </c>
      <c r="BJ199">
        <v>0</v>
      </c>
    </row>
    <row r="200" spans="1:62" x14ac:dyDescent="0.2">
      <c r="A200" t="s">
        <v>2551</v>
      </c>
      <c r="B200" t="s">
        <v>2551</v>
      </c>
      <c r="C200">
        <v>100059401</v>
      </c>
      <c r="D200" t="s">
        <v>2724</v>
      </c>
      <c r="E200" t="s">
        <v>2552</v>
      </c>
      <c r="F200" t="s">
        <v>2452</v>
      </c>
      <c r="G200" t="s">
        <v>2453</v>
      </c>
      <c r="H200" s="23">
        <v>0.33333333333333331</v>
      </c>
      <c r="I200" t="s">
        <v>2688</v>
      </c>
      <c r="J200" t="s">
        <v>2553</v>
      </c>
      <c r="K200" t="s">
        <v>2554</v>
      </c>
      <c r="L200" t="s">
        <v>2551</v>
      </c>
      <c r="N200" s="6">
        <v>46000</v>
      </c>
      <c r="O200" t="s">
        <v>2457</v>
      </c>
      <c r="P200" t="s">
        <v>2445</v>
      </c>
      <c r="Q200" s="23">
        <v>0.25569444444444445</v>
      </c>
      <c r="R200" s="23">
        <v>0.60986111111111108</v>
      </c>
      <c r="S200">
        <v>26.67</v>
      </c>
      <c r="T200" t="s">
        <v>2443</v>
      </c>
      <c r="U200" t="s">
        <v>2555</v>
      </c>
      <c r="V200">
        <v>8</v>
      </c>
      <c r="W200">
        <v>8</v>
      </c>
      <c r="X200" t="s">
        <v>2689</v>
      </c>
      <c r="Y200" t="s">
        <v>2689</v>
      </c>
      <c r="Z200" t="s">
        <v>2689</v>
      </c>
      <c r="AA200" t="s">
        <v>2689</v>
      </c>
      <c r="AC200" t="s">
        <v>2689</v>
      </c>
      <c r="AD200" t="s">
        <v>2689</v>
      </c>
      <c r="AE200" t="s">
        <v>2689</v>
      </c>
      <c r="AF200" t="s">
        <v>2689</v>
      </c>
      <c r="AH200">
        <v>213.36</v>
      </c>
      <c r="AI200" t="s">
        <v>2690</v>
      </c>
      <c r="AJ200" t="s">
        <v>2690</v>
      </c>
      <c r="AK200" t="s">
        <v>2690</v>
      </c>
      <c r="AL200" t="s">
        <v>2690</v>
      </c>
      <c r="AP200">
        <v>213.36</v>
      </c>
      <c r="AR200" s="23">
        <v>0.25569444444444445</v>
      </c>
      <c r="AT200" s="23">
        <v>0.25569444444444445</v>
      </c>
      <c r="AU200" t="s">
        <v>2689</v>
      </c>
      <c r="AV200" t="s">
        <v>2556</v>
      </c>
      <c r="AY200">
        <v>0.5</v>
      </c>
      <c r="AZ200" t="s">
        <v>2969</v>
      </c>
      <c r="BA200" t="s">
        <v>2970</v>
      </c>
      <c r="BD200" t="s">
        <v>2557</v>
      </c>
      <c r="BE200" t="s">
        <v>2553</v>
      </c>
      <c r="BF200" t="s">
        <v>2971</v>
      </c>
      <c r="BG200">
        <v>0</v>
      </c>
      <c r="BH200">
        <v>0</v>
      </c>
      <c r="BJ200">
        <v>0</v>
      </c>
    </row>
    <row r="201" spans="1:62" x14ac:dyDescent="0.2">
      <c r="A201" t="s">
        <v>2551</v>
      </c>
      <c r="B201" t="s">
        <v>2551</v>
      </c>
      <c r="C201">
        <v>100059401</v>
      </c>
      <c r="D201" t="s">
        <v>2724</v>
      </c>
      <c r="E201" t="s">
        <v>2552</v>
      </c>
      <c r="F201" t="s">
        <v>2452</v>
      </c>
      <c r="G201" t="s">
        <v>2453</v>
      </c>
      <c r="H201" s="23">
        <v>0.33333333333333331</v>
      </c>
      <c r="I201" t="s">
        <v>2688</v>
      </c>
      <c r="J201" t="s">
        <v>2553</v>
      </c>
      <c r="K201" t="s">
        <v>2554</v>
      </c>
      <c r="L201" t="s">
        <v>2551</v>
      </c>
      <c r="N201" s="6">
        <v>46001</v>
      </c>
      <c r="O201" t="s">
        <v>2458</v>
      </c>
      <c r="P201" t="s">
        <v>2445</v>
      </c>
      <c r="Q201" s="23">
        <v>0.25780092592592591</v>
      </c>
      <c r="R201" s="23">
        <v>0.63244212962962965</v>
      </c>
      <c r="S201">
        <v>26.67</v>
      </c>
      <c r="T201" t="s">
        <v>2443</v>
      </c>
      <c r="U201" t="s">
        <v>2555</v>
      </c>
      <c r="V201">
        <v>8.49</v>
      </c>
      <c r="W201">
        <v>8</v>
      </c>
      <c r="X201">
        <v>0.49</v>
      </c>
      <c r="Y201" t="s">
        <v>2689</v>
      </c>
      <c r="Z201" t="s">
        <v>2689</v>
      </c>
      <c r="AA201" t="s">
        <v>2689</v>
      </c>
      <c r="AC201" t="s">
        <v>2689</v>
      </c>
      <c r="AD201" t="s">
        <v>2689</v>
      </c>
      <c r="AE201" t="s">
        <v>2689</v>
      </c>
      <c r="AF201" t="s">
        <v>2689</v>
      </c>
      <c r="AH201">
        <v>213.36</v>
      </c>
      <c r="AI201">
        <v>19.57</v>
      </c>
      <c r="AJ201" t="s">
        <v>2690</v>
      </c>
      <c r="AK201" t="s">
        <v>2690</v>
      </c>
      <c r="AL201" t="s">
        <v>2690</v>
      </c>
      <c r="AP201">
        <v>232.93</v>
      </c>
      <c r="AR201" s="23">
        <v>0.25780092592592591</v>
      </c>
      <c r="AS201" s="23">
        <v>0.63244212962962965</v>
      </c>
      <c r="AT201" s="23">
        <v>0.25780092592592591</v>
      </c>
      <c r="AU201" t="s">
        <v>2689</v>
      </c>
      <c r="AV201" t="s">
        <v>2556</v>
      </c>
      <c r="AY201">
        <v>0.5</v>
      </c>
      <c r="AZ201" t="s">
        <v>2972</v>
      </c>
      <c r="BA201" t="s">
        <v>2973</v>
      </c>
      <c r="BD201" t="s">
        <v>2557</v>
      </c>
      <c r="BE201" t="s">
        <v>2553</v>
      </c>
      <c r="BG201">
        <v>0</v>
      </c>
      <c r="BH201">
        <v>0</v>
      </c>
      <c r="BJ201">
        <v>0</v>
      </c>
    </row>
    <row r="202" spans="1:62" x14ac:dyDescent="0.2">
      <c r="A202" t="s">
        <v>2551</v>
      </c>
      <c r="B202" t="s">
        <v>2551</v>
      </c>
      <c r="C202">
        <v>100059401</v>
      </c>
      <c r="D202" t="s">
        <v>2724</v>
      </c>
      <c r="E202" t="s">
        <v>2552</v>
      </c>
      <c r="F202" t="s">
        <v>2452</v>
      </c>
      <c r="G202" t="s">
        <v>2453</v>
      </c>
      <c r="H202" s="23">
        <v>0.33333333333333331</v>
      </c>
      <c r="I202" t="s">
        <v>2688</v>
      </c>
      <c r="J202" t="s">
        <v>2553</v>
      </c>
      <c r="K202" t="s">
        <v>2554</v>
      </c>
      <c r="L202" t="s">
        <v>2551</v>
      </c>
      <c r="N202" s="6">
        <v>46003</v>
      </c>
      <c r="O202" t="s">
        <v>2449</v>
      </c>
      <c r="P202" t="s">
        <v>2445</v>
      </c>
      <c r="Q202" s="23">
        <v>0.26797453703703705</v>
      </c>
      <c r="R202" s="23">
        <v>0.62219907407407404</v>
      </c>
      <c r="S202">
        <v>26.67</v>
      </c>
      <c r="T202" t="s">
        <v>2443</v>
      </c>
      <c r="U202" t="s">
        <v>2555</v>
      </c>
      <c r="V202">
        <v>8</v>
      </c>
      <c r="W202">
        <v>8</v>
      </c>
      <c r="X202" t="s">
        <v>2689</v>
      </c>
      <c r="Y202" t="s">
        <v>2689</v>
      </c>
      <c r="Z202" t="s">
        <v>2689</v>
      </c>
      <c r="AA202" t="s">
        <v>2689</v>
      </c>
      <c r="AC202" t="s">
        <v>2689</v>
      </c>
      <c r="AD202" t="s">
        <v>2689</v>
      </c>
      <c r="AE202" t="s">
        <v>2689</v>
      </c>
      <c r="AF202" t="s">
        <v>2689</v>
      </c>
      <c r="AH202">
        <v>213.36</v>
      </c>
      <c r="AI202" t="s">
        <v>2690</v>
      </c>
      <c r="AJ202" t="s">
        <v>2690</v>
      </c>
      <c r="AK202" t="s">
        <v>2690</v>
      </c>
      <c r="AL202" t="s">
        <v>2690</v>
      </c>
      <c r="AP202">
        <v>213.36</v>
      </c>
      <c r="AR202" s="23">
        <v>0.26797453703703705</v>
      </c>
      <c r="AS202" s="23">
        <v>0.62219907407407404</v>
      </c>
      <c r="AT202" s="23">
        <v>0.26797453703703705</v>
      </c>
      <c r="AU202" t="s">
        <v>2689</v>
      </c>
      <c r="AV202" t="s">
        <v>2556</v>
      </c>
      <c r="AY202">
        <v>0.5</v>
      </c>
      <c r="AZ202" t="s">
        <v>2974</v>
      </c>
      <c r="BA202" t="s">
        <v>2973</v>
      </c>
      <c r="BD202" t="s">
        <v>2557</v>
      </c>
      <c r="BE202" t="s">
        <v>2553</v>
      </c>
      <c r="BG202">
        <v>0</v>
      </c>
      <c r="BH202">
        <v>0</v>
      </c>
      <c r="BJ202">
        <v>0</v>
      </c>
    </row>
    <row r="203" spans="1:62" x14ac:dyDescent="0.2">
      <c r="A203" t="s">
        <v>2551</v>
      </c>
      <c r="B203" t="s">
        <v>2551</v>
      </c>
      <c r="C203">
        <v>100059401</v>
      </c>
      <c r="D203" t="s">
        <v>2724</v>
      </c>
      <c r="E203" t="s">
        <v>2552</v>
      </c>
      <c r="F203" t="s">
        <v>2452</v>
      </c>
      <c r="G203" t="s">
        <v>2453</v>
      </c>
      <c r="H203" s="23">
        <v>0.33333333333333331</v>
      </c>
      <c r="I203" t="s">
        <v>2688</v>
      </c>
      <c r="J203" t="s">
        <v>2553</v>
      </c>
      <c r="K203" t="s">
        <v>2554</v>
      </c>
      <c r="L203" t="s">
        <v>2551</v>
      </c>
      <c r="N203" s="6">
        <v>46007</v>
      </c>
      <c r="O203" t="s">
        <v>2457</v>
      </c>
      <c r="P203" t="s">
        <v>2445</v>
      </c>
      <c r="Q203" s="23">
        <v>0.26864583333333331</v>
      </c>
      <c r="R203" s="23">
        <v>0.625</v>
      </c>
      <c r="S203">
        <v>26.67</v>
      </c>
      <c r="T203" t="s">
        <v>2443</v>
      </c>
      <c r="U203" t="s">
        <v>2555</v>
      </c>
      <c r="V203">
        <v>8.0500000000000007</v>
      </c>
      <c r="W203">
        <v>8</v>
      </c>
      <c r="X203">
        <v>0.05</v>
      </c>
      <c r="Y203" t="s">
        <v>2689</v>
      </c>
      <c r="Z203" t="s">
        <v>2689</v>
      </c>
      <c r="AA203" t="s">
        <v>2689</v>
      </c>
      <c r="AC203" t="s">
        <v>2689</v>
      </c>
      <c r="AD203" t="s">
        <v>2689</v>
      </c>
      <c r="AE203" t="s">
        <v>2689</v>
      </c>
      <c r="AF203" t="s">
        <v>2689</v>
      </c>
      <c r="AH203">
        <v>213.36</v>
      </c>
      <c r="AI203">
        <v>2</v>
      </c>
      <c r="AJ203" t="s">
        <v>2690</v>
      </c>
      <c r="AK203" t="s">
        <v>2690</v>
      </c>
      <c r="AL203" t="s">
        <v>2690</v>
      </c>
      <c r="AP203">
        <v>215.36</v>
      </c>
      <c r="AR203" s="23">
        <v>0.26864583333333331</v>
      </c>
      <c r="AT203" s="23">
        <v>0.26864583333333331</v>
      </c>
      <c r="AU203" t="s">
        <v>2689</v>
      </c>
      <c r="AV203" t="s">
        <v>2556</v>
      </c>
      <c r="AY203">
        <v>0.5</v>
      </c>
      <c r="AZ203" t="s">
        <v>2975</v>
      </c>
      <c r="BA203" t="s">
        <v>2973</v>
      </c>
      <c r="BD203" t="s">
        <v>2557</v>
      </c>
      <c r="BE203" t="s">
        <v>2553</v>
      </c>
      <c r="BF203" t="s">
        <v>2971</v>
      </c>
      <c r="BG203">
        <v>0</v>
      </c>
      <c r="BH203">
        <v>0</v>
      </c>
      <c r="BJ203">
        <v>0</v>
      </c>
    </row>
    <row r="204" spans="1:62" x14ac:dyDescent="0.2">
      <c r="A204" t="s">
        <v>2551</v>
      </c>
      <c r="B204" t="s">
        <v>2551</v>
      </c>
      <c r="C204">
        <v>100059401</v>
      </c>
      <c r="D204" t="s">
        <v>2724</v>
      </c>
      <c r="E204" t="s">
        <v>2552</v>
      </c>
      <c r="F204" t="s">
        <v>2452</v>
      </c>
      <c r="G204" t="s">
        <v>2453</v>
      </c>
      <c r="H204" s="23">
        <v>0.33333333333333331</v>
      </c>
      <c r="I204" t="s">
        <v>2688</v>
      </c>
      <c r="J204" t="s">
        <v>2553</v>
      </c>
      <c r="K204" t="s">
        <v>2554</v>
      </c>
      <c r="L204" t="s">
        <v>2551</v>
      </c>
      <c r="N204" s="6">
        <v>46008</v>
      </c>
      <c r="O204" t="s">
        <v>2458</v>
      </c>
      <c r="P204" t="s">
        <v>2445</v>
      </c>
      <c r="Q204" s="23">
        <v>0.26545138888888886</v>
      </c>
      <c r="R204" s="23">
        <v>0.6196180555555556</v>
      </c>
      <c r="S204">
        <v>26.67</v>
      </c>
      <c r="T204" t="s">
        <v>2443</v>
      </c>
      <c r="U204" t="s">
        <v>2555</v>
      </c>
      <c r="V204">
        <v>8</v>
      </c>
      <c r="W204">
        <v>8</v>
      </c>
      <c r="X204" t="s">
        <v>2689</v>
      </c>
      <c r="Y204" t="s">
        <v>2689</v>
      </c>
      <c r="Z204" t="s">
        <v>2689</v>
      </c>
      <c r="AA204" t="s">
        <v>2689</v>
      </c>
      <c r="AC204" t="s">
        <v>2689</v>
      </c>
      <c r="AD204" t="s">
        <v>2689</v>
      </c>
      <c r="AE204" t="s">
        <v>2689</v>
      </c>
      <c r="AF204" t="s">
        <v>2689</v>
      </c>
      <c r="AH204">
        <v>213.36</v>
      </c>
      <c r="AI204" t="s">
        <v>2690</v>
      </c>
      <c r="AJ204" t="s">
        <v>2690</v>
      </c>
      <c r="AK204" t="s">
        <v>2690</v>
      </c>
      <c r="AL204" t="s">
        <v>2690</v>
      </c>
      <c r="AP204">
        <v>213.36</v>
      </c>
      <c r="AR204" s="23">
        <v>0.26545138888888886</v>
      </c>
      <c r="AT204" s="23">
        <v>0.26545138888888886</v>
      </c>
      <c r="AU204" t="s">
        <v>2689</v>
      </c>
      <c r="AV204" t="s">
        <v>2556</v>
      </c>
      <c r="AY204">
        <v>0.5</v>
      </c>
      <c r="AZ204" t="s">
        <v>2976</v>
      </c>
      <c r="BA204" t="s">
        <v>2977</v>
      </c>
      <c r="BD204" t="s">
        <v>2557</v>
      </c>
      <c r="BE204" t="s">
        <v>2553</v>
      </c>
      <c r="BF204" t="s">
        <v>2563</v>
      </c>
      <c r="BG204">
        <v>0</v>
      </c>
      <c r="BH204">
        <v>0</v>
      </c>
      <c r="BJ204">
        <v>0</v>
      </c>
    </row>
    <row r="205" spans="1:62" x14ac:dyDescent="0.2">
      <c r="A205" t="s">
        <v>2551</v>
      </c>
      <c r="B205" t="s">
        <v>2551</v>
      </c>
      <c r="C205">
        <v>100059401</v>
      </c>
      <c r="D205" t="s">
        <v>2724</v>
      </c>
      <c r="E205" t="s">
        <v>2552</v>
      </c>
      <c r="F205" t="s">
        <v>2452</v>
      </c>
      <c r="G205" t="s">
        <v>2453</v>
      </c>
      <c r="H205" s="23">
        <v>0.33333333333333331</v>
      </c>
      <c r="I205" t="s">
        <v>2688</v>
      </c>
      <c r="J205" t="s">
        <v>2553</v>
      </c>
      <c r="K205" t="s">
        <v>2554</v>
      </c>
      <c r="L205" t="s">
        <v>2551</v>
      </c>
      <c r="N205" s="6">
        <v>46014</v>
      </c>
      <c r="O205" t="s">
        <v>2457</v>
      </c>
      <c r="P205" t="s">
        <v>2445</v>
      </c>
      <c r="Q205" s="23">
        <v>0.29166666666666669</v>
      </c>
      <c r="R205" s="23">
        <v>0.64583333333333337</v>
      </c>
      <c r="S205">
        <v>26.67</v>
      </c>
      <c r="T205" t="s">
        <v>2443</v>
      </c>
      <c r="U205" t="s">
        <v>2555</v>
      </c>
      <c r="V205">
        <v>8</v>
      </c>
      <c r="W205">
        <v>8</v>
      </c>
      <c r="X205" t="s">
        <v>2689</v>
      </c>
      <c r="Y205" t="s">
        <v>2689</v>
      </c>
      <c r="Z205" t="s">
        <v>2689</v>
      </c>
      <c r="AA205" t="s">
        <v>2689</v>
      </c>
      <c r="AC205" t="s">
        <v>2689</v>
      </c>
      <c r="AD205" t="s">
        <v>2689</v>
      </c>
      <c r="AE205" t="s">
        <v>2689</v>
      </c>
      <c r="AF205" t="s">
        <v>2689</v>
      </c>
      <c r="AH205">
        <v>213.36</v>
      </c>
      <c r="AI205" t="s">
        <v>2690</v>
      </c>
      <c r="AJ205" t="s">
        <v>2690</v>
      </c>
      <c r="AK205" t="s">
        <v>2690</v>
      </c>
      <c r="AL205" t="s">
        <v>2690</v>
      </c>
      <c r="AP205">
        <v>213.36</v>
      </c>
      <c r="AU205" t="s">
        <v>2689</v>
      </c>
      <c r="AV205" t="s">
        <v>2556</v>
      </c>
      <c r="AY205">
        <v>0.5</v>
      </c>
      <c r="BA205" t="s">
        <v>2977</v>
      </c>
      <c r="BD205" t="s">
        <v>2557</v>
      </c>
      <c r="BE205" t="s">
        <v>2553</v>
      </c>
      <c r="BF205" t="s">
        <v>2978</v>
      </c>
      <c r="BG205">
        <v>0</v>
      </c>
      <c r="BH205">
        <v>0</v>
      </c>
      <c r="BJ205">
        <v>0</v>
      </c>
    </row>
    <row r="206" spans="1:62" x14ac:dyDescent="0.2">
      <c r="A206" t="s">
        <v>2551</v>
      </c>
      <c r="B206" t="s">
        <v>2551</v>
      </c>
      <c r="C206">
        <v>100059401</v>
      </c>
      <c r="D206" t="s">
        <v>2724</v>
      </c>
      <c r="E206" t="s">
        <v>2552</v>
      </c>
      <c r="F206" t="s">
        <v>2452</v>
      </c>
      <c r="G206" t="s">
        <v>2453</v>
      </c>
      <c r="H206" s="23">
        <v>0.33333333333333331</v>
      </c>
      <c r="I206" t="s">
        <v>2688</v>
      </c>
      <c r="J206" t="s">
        <v>2553</v>
      </c>
      <c r="K206" t="s">
        <v>2554</v>
      </c>
      <c r="L206" t="s">
        <v>2551</v>
      </c>
      <c r="N206" s="6">
        <v>46015</v>
      </c>
      <c r="O206" t="s">
        <v>2458</v>
      </c>
      <c r="P206" t="s">
        <v>2445</v>
      </c>
      <c r="Q206" s="23">
        <v>0.27083333333333331</v>
      </c>
      <c r="R206" s="23">
        <v>0.625</v>
      </c>
      <c r="S206">
        <v>26.67</v>
      </c>
      <c r="T206" t="s">
        <v>2443</v>
      </c>
      <c r="U206" t="s">
        <v>2555</v>
      </c>
      <c r="V206">
        <v>8</v>
      </c>
      <c r="W206">
        <v>8</v>
      </c>
      <c r="X206" t="s">
        <v>2689</v>
      </c>
      <c r="Y206" t="s">
        <v>2689</v>
      </c>
      <c r="Z206" t="s">
        <v>2689</v>
      </c>
      <c r="AA206" t="s">
        <v>2689</v>
      </c>
      <c r="AC206" t="s">
        <v>2689</v>
      </c>
      <c r="AD206" t="s">
        <v>2689</v>
      </c>
      <c r="AE206" t="s">
        <v>2689</v>
      </c>
      <c r="AF206" t="s">
        <v>2689</v>
      </c>
      <c r="AH206">
        <v>213.36</v>
      </c>
      <c r="AI206" t="s">
        <v>2690</v>
      </c>
      <c r="AJ206" t="s">
        <v>2690</v>
      </c>
      <c r="AK206" t="s">
        <v>2690</v>
      </c>
      <c r="AL206" t="s">
        <v>2690</v>
      </c>
      <c r="AP206">
        <v>213.36</v>
      </c>
      <c r="AU206" t="s">
        <v>2689</v>
      </c>
      <c r="AV206" t="s">
        <v>2556</v>
      </c>
      <c r="AY206">
        <v>0.5</v>
      </c>
      <c r="BA206" t="s">
        <v>2979</v>
      </c>
      <c r="BD206" t="s">
        <v>2557</v>
      </c>
      <c r="BE206" t="s">
        <v>2553</v>
      </c>
      <c r="BF206" t="s">
        <v>2980</v>
      </c>
      <c r="BG206">
        <v>0</v>
      </c>
      <c r="BH206">
        <v>0</v>
      </c>
      <c r="BJ206">
        <v>0</v>
      </c>
    </row>
    <row r="207" spans="1:62" x14ac:dyDescent="0.2">
      <c r="A207" t="s">
        <v>2551</v>
      </c>
      <c r="B207" t="s">
        <v>2551</v>
      </c>
      <c r="C207">
        <v>100059401</v>
      </c>
      <c r="D207" t="s">
        <v>2724</v>
      </c>
      <c r="E207" t="s">
        <v>2552</v>
      </c>
      <c r="F207" t="s">
        <v>2452</v>
      </c>
      <c r="G207" t="s">
        <v>2453</v>
      </c>
      <c r="H207" s="23">
        <v>0.33333333333333331</v>
      </c>
      <c r="I207" t="s">
        <v>2688</v>
      </c>
      <c r="J207" t="s">
        <v>2553</v>
      </c>
      <c r="K207" t="s">
        <v>2554</v>
      </c>
      <c r="L207" t="s">
        <v>2551</v>
      </c>
      <c r="N207" s="6">
        <v>46021</v>
      </c>
      <c r="O207" t="s">
        <v>2457</v>
      </c>
      <c r="P207" t="s">
        <v>2445</v>
      </c>
      <c r="Q207" s="23">
        <v>0.27083333333333331</v>
      </c>
      <c r="R207" s="23">
        <v>0.625</v>
      </c>
      <c r="S207">
        <v>26.67</v>
      </c>
      <c r="T207" t="s">
        <v>2443</v>
      </c>
      <c r="U207" t="s">
        <v>2555</v>
      </c>
      <c r="V207">
        <v>8</v>
      </c>
      <c r="W207">
        <v>8</v>
      </c>
      <c r="X207" t="s">
        <v>2689</v>
      </c>
      <c r="Y207" t="s">
        <v>2689</v>
      </c>
      <c r="Z207" t="s">
        <v>2689</v>
      </c>
      <c r="AA207" t="s">
        <v>2689</v>
      </c>
      <c r="AC207" t="s">
        <v>2689</v>
      </c>
      <c r="AD207" t="s">
        <v>2689</v>
      </c>
      <c r="AE207" t="s">
        <v>2689</v>
      </c>
      <c r="AF207" t="s">
        <v>2689</v>
      </c>
      <c r="AH207">
        <v>213.36</v>
      </c>
      <c r="AI207" t="s">
        <v>2690</v>
      </c>
      <c r="AJ207" t="s">
        <v>2690</v>
      </c>
      <c r="AK207" t="s">
        <v>2690</v>
      </c>
      <c r="AL207" t="s">
        <v>2690</v>
      </c>
      <c r="AP207">
        <v>213.36</v>
      </c>
      <c r="AU207" t="s">
        <v>2689</v>
      </c>
      <c r="AV207" t="s">
        <v>2556</v>
      </c>
      <c r="AY207">
        <v>0.5</v>
      </c>
      <c r="BA207" t="s">
        <v>2981</v>
      </c>
      <c r="BD207" t="s">
        <v>2557</v>
      </c>
      <c r="BE207" t="s">
        <v>2553</v>
      </c>
      <c r="BF207" t="s">
        <v>2982</v>
      </c>
      <c r="BG207">
        <v>0</v>
      </c>
      <c r="BH207">
        <v>0</v>
      </c>
      <c r="BJ207">
        <v>0</v>
      </c>
    </row>
    <row r="208" spans="1:62" x14ac:dyDescent="0.2">
      <c r="A208" t="s">
        <v>2551</v>
      </c>
      <c r="B208" t="s">
        <v>2551</v>
      </c>
      <c r="C208">
        <v>100059401</v>
      </c>
      <c r="D208" t="s">
        <v>2724</v>
      </c>
      <c r="E208" t="s">
        <v>2552</v>
      </c>
      <c r="F208" t="s">
        <v>2452</v>
      </c>
      <c r="G208" t="s">
        <v>2453</v>
      </c>
      <c r="H208" s="23">
        <v>0.33333333333333331</v>
      </c>
      <c r="I208" t="s">
        <v>2688</v>
      </c>
      <c r="J208" t="s">
        <v>2553</v>
      </c>
      <c r="K208" t="s">
        <v>2554</v>
      </c>
      <c r="L208" t="s">
        <v>2551</v>
      </c>
      <c r="N208" s="6">
        <v>46022</v>
      </c>
      <c r="O208" t="s">
        <v>2458</v>
      </c>
      <c r="P208" t="s">
        <v>2445</v>
      </c>
      <c r="Q208" s="23">
        <v>0.27083333333333331</v>
      </c>
      <c r="R208" s="23">
        <v>0.625</v>
      </c>
      <c r="S208">
        <v>26.67</v>
      </c>
      <c r="T208" t="s">
        <v>2443</v>
      </c>
      <c r="U208" t="s">
        <v>2555</v>
      </c>
      <c r="V208">
        <v>8</v>
      </c>
      <c r="W208">
        <v>8</v>
      </c>
      <c r="X208" t="s">
        <v>2691</v>
      </c>
      <c r="Y208" t="s">
        <v>2691</v>
      </c>
      <c r="Z208" t="s">
        <v>2691</v>
      </c>
      <c r="AA208" t="s">
        <v>2691</v>
      </c>
      <c r="AC208" t="s">
        <v>2691</v>
      </c>
      <c r="AD208" t="s">
        <v>2691</v>
      </c>
      <c r="AE208" t="s">
        <v>2691</v>
      </c>
      <c r="AF208" t="s">
        <v>2691</v>
      </c>
      <c r="AH208">
        <v>213.36</v>
      </c>
      <c r="AI208" t="s">
        <v>2689</v>
      </c>
      <c r="AJ208" t="s">
        <v>2689</v>
      </c>
      <c r="AK208" t="s">
        <v>2690</v>
      </c>
      <c r="AL208" t="s">
        <v>2690</v>
      </c>
      <c r="AP208">
        <v>213.36</v>
      </c>
      <c r="AU208" t="s">
        <v>2689</v>
      </c>
      <c r="AV208" t="s">
        <v>2556</v>
      </c>
      <c r="AY208">
        <v>0.5</v>
      </c>
      <c r="BA208" t="s">
        <v>2983</v>
      </c>
      <c r="BD208" t="s">
        <v>2557</v>
      </c>
      <c r="BE208" t="s">
        <v>2553</v>
      </c>
      <c r="BF208" t="s">
        <v>2456</v>
      </c>
      <c r="BG208">
        <v>0</v>
      </c>
      <c r="BH208">
        <v>0</v>
      </c>
      <c r="BJ208">
        <v>0</v>
      </c>
    </row>
    <row r="209" spans="1:62" x14ac:dyDescent="0.2">
      <c r="A209" t="s">
        <v>2551</v>
      </c>
      <c r="B209" t="s">
        <v>2551</v>
      </c>
      <c r="C209">
        <v>100079257</v>
      </c>
      <c r="D209" t="s">
        <v>2725</v>
      </c>
      <c r="E209" t="s">
        <v>2439</v>
      </c>
      <c r="F209" t="s">
        <v>2452</v>
      </c>
      <c r="G209" t="s">
        <v>2453</v>
      </c>
      <c r="H209" s="23">
        <v>0.33333333333333331</v>
      </c>
      <c r="I209" t="s">
        <v>2688</v>
      </c>
      <c r="J209" t="s">
        <v>2558</v>
      </c>
      <c r="K209" t="s">
        <v>2559</v>
      </c>
      <c r="L209" t="s">
        <v>2551</v>
      </c>
      <c r="M209" t="s">
        <v>2560</v>
      </c>
      <c r="N209" s="6">
        <v>45999</v>
      </c>
      <c r="O209" t="s">
        <v>2455</v>
      </c>
      <c r="P209" t="s">
        <v>2445</v>
      </c>
      <c r="Q209" s="23">
        <v>0.35373842592592591</v>
      </c>
      <c r="R209" s="23">
        <v>0.7079050925925926</v>
      </c>
      <c r="S209">
        <v>24.72</v>
      </c>
      <c r="T209" t="s">
        <v>2443</v>
      </c>
      <c r="U209" t="s">
        <v>2561</v>
      </c>
      <c r="V209">
        <v>8</v>
      </c>
      <c r="W209">
        <v>8</v>
      </c>
      <c r="X209" t="s">
        <v>2689</v>
      </c>
      <c r="Y209" t="s">
        <v>2689</v>
      </c>
      <c r="Z209" t="s">
        <v>2689</v>
      </c>
      <c r="AA209" t="s">
        <v>2689</v>
      </c>
      <c r="AC209" t="s">
        <v>2689</v>
      </c>
      <c r="AD209" t="s">
        <v>2689</v>
      </c>
      <c r="AE209" t="s">
        <v>2689</v>
      </c>
      <c r="AF209" t="s">
        <v>2689</v>
      </c>
      <c r="AH209">
        <v>197.76</v>
      </c>
      <c r="AI209" t="s">
        <v>2690</v>
      </c>
      <c r="AJ209" t="s">
        <v>2690</v>
      </c>
      <c r="AK209" t="s">
        <v>2690</v>
      </c>
      <c r="AL209" t="s">
        <v>2690</v>
      </c>
      <c r="AP209">
        <v>197.76</v>
      </c>
      <c r="AR209" s="23">
        <v>0.35373842592592591</v>
      </c>
      <c r="AT209" s="23">
        <v>0.35373842592592591</v>
      </c>
      <c r="AU209" t="s">
        <v>2689</v>
      </c>
      <c r="AV209" t="s">
        <v>2556</v>
      </c>
      <c r="AY209">
        <v>0.5</v>
      </c>
      <c r="AZ209" t="s">
        <v>2984</v>
      </c>
      <c r="BA209" t="s">
        <v>2985</v>
      </c>
      <c r="BD209" t="s">
        <v>2562</v>
      </c>
      <c r="BE209" t="s">
        <v>2558</v>
      </c>
      <c r="BF209" t="s">
        <v>2563</v>
      </c>
      <c r="BG209">
        <v>0</v>
      </c>
      <c r="BH209">
        <v>0</v>
      </c>
      <c r="BJ209">
        <v>0</v>
      </c>
    </row>
    <row r="210" spans="1:62" x14ac:dyDescent="0.2">
      <c r="A210" t="s">
        <v>2551</v>
      </c>
      <c r="B210" t="s">
        <v>2551</v>
      </c>
      <c r="C210">
        <v>100079257</v>
      </c>
      <c r="D210" t="s">
        <v>2725</v>
      </c>
      <c r="E210" t="s">
        <v>2439</v>
      </c>
      <c r="F210" t="s">
        <v>2452</v>
      </c>
      <c r="G210" t="s">
        <v>2453</v>
      </c>
      <c r="H210" s="23">
        <v>0.33333333333333331</v>
      </c>
      <c r="I210" t="s">
        <v>2688</v>
      </c>
      <c r="J210" t="s">
        <v>2558</v>
      </c>
      <c r="K210" t="s">
        <v>2559</v>
      </c>
      <c r="L210" t="s">
        <v>2551</v>
      </c>
      <c r="M210" t="s">
        <v>2560</v>
      </c>
      <c r="N210" s="6">
        <v>46001</v>
      </c>
      <c r="O210" t="s">
        <v>2458</v>
      </c>
      <c r="P210" t="s">
        <v>2445</v>
      </c>
      <c r="Q210" s="23">
        <v>0.34521990740740743</v>
      </c>
      <c r="R210" s="23">
        <v>0.51001157407407405</v>
      </c>
      <c r="S210">
        <v>24.72</v>
      </c>
      <c r="T210" t="s">
        <v>2443</v>
      </c>
      <c r="U210" t="s">
        <v>2561</v>
      </c>
      <c r="V210">
        <v>3.96</v>
      </c>
      <c r="W210">
        <v>3.96</v>
      </c>
      <c r="X210" t="s">
        <v>2689</v>
      </c>
      <c r="Y210" t="s">
        <v>2689</v>
      </c>
      <c r="Z210" t="s">
        <v>2689</v>
      </c>
      <c r="AA210" t="s">
        <v>2689</v>
      </c>
      <c r="AC210" t="s">
        <v>2689</v>
      </c>
      <c r="AD210" t="s">
        <v>2689</v>
      </c>
      <c r="AE210" t="s">
        <v>2689</v>
      </c>
      <c r="AF210" t="s">
        <v>2689</v>
      </c>
      <c r="AH210">
        <v>97.89</v>
      </c>
      <c r="AI210" t="s">
        <v>2690</v>
      </c>
      <c r="AJ210" t="s">
        <v>2690</v>
      </c>
      <c r="AK210" t="s">
        <v>2690</v>
      </c>
      <c r="AL210" t="s">
        <v>2690</v>
      </c>
      <c r="AP210">
        <v>97.89</v>
      </c>
      <c r="AR210" s="23">
        <v>0.35216435185185185</v>
      </c>
      <c r="AS210" s="23">
        <v>0.50306712962962963</v>
      </c>
      <c r="AT210" s="23">
        <v>0.35216435185185185</v>
      </c>
      <c r="AU210" t="s">
        <v>2689</v>
      </c>
      <c r="AV210" t="s">
        <v>2556</v>
      </c>
      <c r="BA210" t="s">
        <v>2970</v>
      </c>
      <c r="BD210" t="s">
        <v>2562</v>
      </c>
      <c r="BE210" t="s">
        <v>2558</v>
      </c>
      <c r="BF210" t="s">
        <v>2986</v>
      </c>
      <c r="BG210">
        <v>0</v>
      </c>
      <c r="BH210">
        <v>0</v>
      </c>
      <c r="BJ210">
        <v>0</v>
      </c>
    </row>
    <row r="211" spans="1:62" x14ac:dyDescent="0.2">
      <c r="A211" t="s">
        <v>2551</v>
      </c>
      <c r="B211" t="s">
        <v>2551</v>
      </c>
      <c r="C211">
        <v>100079257</v>
      </c>
      <c r="D211" t="s">
        <v>2725</v>
      </c>
      <c r="E211" t="s">
        <v>2439</v>
      </c>
      <c r="F211" t="s">
        <v>2452</v>
      </c>
      <c r="G211" t="s">
        <v>2453</v>
      </c>
      <c r="H211" s="23">
        <v>0.33333333333333331</v>
      </c>
      <c r="I211" t="s">
        <v>2688</v>
      </c>
      <c r="J211" t="s">
        <v>2558</v>
      </c>
      <c r="K211" t="s">
        <v>2559</v>
      </c>
      <c r="L211" t="s">
        <v>2551</v>
      </c>
      <c r="M211" t="s">
        <v>2560</v>
      </c>
      <c r="N211" s="6">
        <v>46008</v>
      </c>
      <c r="O211" t="s">
        <v>2458</v>
      </c>
      <c r="P211" t="s">
        <v>2445</v>
      </c>
      <c r="Q211" s="23">
        <v>0.36040509259259257</v>
      </c>
      <c r="R211" s="23">
        <v>0.71458333333333335</v>
      </c>
      <c r="S211">
        <v>24.72</v>
      </c>
      <c r="T211" t="s">
        <v>2443</v>
      </c>
      <c r="U211" t="s">
        <v>2561</v>
      </c>
      <c r="V211">
        <v>8</v>
      </c>
      <c r="W211">
        <v>8</v>
      </c>
      <c r="X211" t="s">
        <v>2689</v>
      </c>
      <c r="Y211" t="s">
        <v>2689</v>
      </c>
      <c r="Z211" t="s">
        <v>2689</v>
      </c>
      <c r="AA211" t="s">
        <v>2689</v>
      </c>
      <c r="AC211" t="s">
        <v>2689</v>
      </c>
      <c r="AD211" t="s">
        <v>2689</v>
      </c>
      <c r="AE211" t="s">
        <v>2689</v>
      </c>
      <c r="AF211" t="s">
        <v>2689</v>
      </c>
      <c r="AH211">
        <v>197.76</v>
      </c>
      <c r="AI211" t="s">
        <v>2690</v>
      </c>
      <c r="AJ211" t="s">
        <v>2690</v>
      </c>
      <c r="AK211" t="s">
        <v>2690</v>
      </c>
      <c r="AL211" t="s">
        <v>2690</v>
      </c>
      <c r="AP211">
        <v>197.76</v>
      </c>
      <c r="AR211" s="23">
        <v>0.36040509259259257</v>
      </c>
      <c r="AT211" s="23">
        <v>0.36040509259259257</v>
      </c>
      <c r="AU211" t="s">
        <v>2689</v>
      </c>
      <c r="AV211" t="s">
        <v>2556</v>
      </c>
      <c r="AY211">
        <v>0.5</v>
      </c>
      <c r="AZ211" t="s">
        <v>2987</v>
      </c>
      <c r="BA211" t="s">
        <v>2977</v>
      </c>
      <c r="BD211" t="s">
        <v>2562</v>
      </c>
      <c r="BE211" t="s">
        <v>2558</v>
      </c>
      <c r="BF211" t="s">
        <v>2460</v>
      </c>
      <c r="BG211">
        <v>0</v>
      </c>
      <c r="BH211">
        <v>0</v>
      </c>
      <c r="BJ211">
        <v>0</v>
      </c>
    </row>
    <row r="212" spans="1:62" x14ac:dyDescent="0.2">
      <c r="A212" t="s">
        <v>2462</v>
      </c>
      <c r="B212" t="s">
        <v>2462</v>
      </c>
      <c r="C212">
        <v>15055810</v>
      </c>
      <c r="D212" t="s">
        <v>2726</v>
      </c>
      <c r="E212" t="s">
        <v>2439</v>
      </c>
      <c r="F212" t="s">
        <v>2452</v>
      </c>
      <c r="G212" t="s">
        <v>2453</v>
      </c>
      <c r="H212" s="23">
        <v>0.33333333333333331</v>
      </c>
      <c r="I212" t="s">
        <v>2688</v>
      </c>
      <c r="J212" t="s">
        <v>2660</v>
      </c>
      <c r="K212" t="s">
        <v>2661</v>
      </c>
      <c r="L212" t="s">
        <v>2462</v>
      </c>
      <c r="M212" t="s">
        <v>2596</v>
      </c>
      <c r="N212" s="6">
        <v>45992</v>
      </c>
      <c r="O212" t="s">
        <v>2455</v>
      </c>
      <c r="P212" t="s">
        <v>2445</v>
      </c>
      <c r="Q212" s="23">
        <v>0.33319444444444446</v>
      </c>
      <c r="R212" s="23">
        <v>0.65504629629629629</v>
      </c>
      <c r="S212">
        <v>22</v>
      </c>
      <c r="T212" t="s">
        <v>2443</v>
      </c>
      <c r="U212" t="s">
        <v>2662</v>
      </c>
      <c r="V212">
        <v>7.22</v>
      </c>
      <c r="W212">
        <v>7.22</v>
      </c>
      <c r="X212" t="s">
        <v>2689</v>
      </c>
      <c r="Y212" t="s">
        <v>2689</v>
      </c>
      <c r="Z212" t="s">
        <v>2689</v>
      </c>
      <c r="AA212" t="s">
        <v>2689</v>
      </c>
      <c r="AC212" t="s">
        <v>2689</v>
      </c>
      <c r="AD212" t="s">
        <v>2689</v>
      </c>
      <c r="AE212" t="s">
        <v>2689</v>
      </c>
      <c r="AF212" t="s">
        <v>2689</v>
      </c>
      <c r="AH212">
        <v>158.84</v>
      </c>
      <c r="AI212" t="s">
        <v>2690</v>
      </c>
      <c r="AJ212" t="s">
        <v>2690</v>
      </c>
      <c r="AK212" t="s">
        <v>2690</v>
      </c>
      <c r="AL212" t="s">
        <v>2690</v>
      </c>
      <c r="AP212">
        <v>158.84</v>
      </c>
      <c r="AR212" s="23">
        <v>0.33319444444444446</v>
      </c>
      <c r="AS212" s="23">
        <v>0.65504629629629629</v>
      </c>
      <c r="AT212" s="23">
        <v>0.33333333333333331</v>
      </c>
      <c r="AU212" s="23">
        <v>0.6875</v>
      </c>
      <c r="AV212" t="s">
        <v>2565</v>
      </c>
      <c r="AX212">
        <v>100</v>
      </c>
      <c r="AY212">
        <v>0.5</v>
      </c>
      <c r="BA212" t="s">
        <v>2692</v>
      </c>
      <c r="BD212" t="s">
        <v>2578</v>
      </c>
      <c r="BE212" t="s">
        <v>2988</v>
      </c>
      <c r="BF212" t="s">
        <v>2456</v>
      </c>
      <c r="BG212">
        <v>0</v>
      </c>
      <c r="BH212">
        <v>0</v>
      </c>
      <c r="BJ212">
        <v>0</v>
      </c>
    </row>
    <row r="213" spans="1:62" x14ac:dyDescent="0.2">
      <c r="A213" t="s">
        <v>2462</v>
      </c>
      <c r="B213" t="s">
        <v>2462</v>
      </c>
      <c r="C213">
        <v>15055810</v>
      </c>
      <c r="D213" t="s">
        <v>2726</v>
      </c>
      <c r="E213" t="s">
        <v>2439</v>
      </c>
      <c r="F213" t="s">
        <v>2800</v>
      </c>
      <c r="G213" t="s">
        <v>2801</v>
      </c>
      <c r="H213" s="23">
        <v>0.66666666666666663</v>
      </c>
      <c r="I213" t="s">
        <v>2696</v>
      </c>
      <c r="J213" t="s">
        <v>2660</v>
      </c>
      <c r="K213" t="s">
        <v>2661</v>
      </c>
      <c r="L213" t="s">
        <v>2462</v>
      </c>
      <c r="M213" t="s">
        <v>2596</v>
      </c>
      <c r="N213" s="6">
        <v>45993</v>
      </c>
      <c r="O213" t="s">
        <v>2457</v>
      </c>
      <c r="P213" t="s">
        <v>2445</v>
      </c>
      <c r="Q213" s="23">
        <v>0.33577546296296296</v>
      </c>
      <c r="R213" s="23">
        <v>0.67437499999999995</v>
      </c>
      <c r="S213">
        <v>22</v>
      </c>
      <c r="T213" t="s">
        <v>2443</v>
      </c>
      <c r="U213" t="s">
        <v>2662</v>
      </c>
      <c r="V213">
        <v>7.63</v>
      </c>
      <c r="W213">
        <v>7.63</v>
      </c>
      <c r="X213" t="s">
        <v>2689</v>
      </c>
      <c r="Y213" t="s">
        <v>2689</v>
      </c>
      <c r="Z213" t="s">
        <v>2689</v>
      </c>
      <c r="AA213" t="s">
        <v>2689</v>
      </c>
      <c r="AC213" t="s">
        <v>2689</v>
      </c>
      <c r="AD213" t="s">
        <v>2689</v>
      </c>
      <c r="AE213" t="s">
        <v>2689</v>
      </c>
      <c r="AF213" t="s">
        <v>2689</v>
      </c>
      <c r="AH213">
        <v>167.86</v>
      </c>
      <c r="AI213" t="s">
        <v>2690</v>
      </c>
      <c r="AJ213" t="s">
        <v>2690</v>
      </c>
      <c r="AK213" t="s">
        <v>2690</v>
      </c>
      <c r="AL213" t="s">
        <v>2690</v>
      </c>
      <c r="AP213">
        <v>167.86</v>
      </c>
      <c r="AR213" s="23">
        <v>0.33577546296296296</v>
      </c>
      <c r="AS213" s="23">
        <v>0.67437499999999995</v>
      </c>
      <c r="AT213" s="23">
        <v>0.33333333333333331</v>
      </c>
      <c r="AU213" s="23">
        <v>0.66666666666666663</v>
      </c>
      <c r="AV213" t="s">
        <v>2565</v>
      </c>
      <c r="AX213">
        <v>100</v>
      </c>
      <c r="AY213">
        <v>0.5</v>
      </c>
      <c r="AZ213" t="s">
        <v>2989</v>
      </c>
      <c r="BA213" t="s">
        <v>2752</v>
      </c>
      <c r="BD213" t="s">
        <v>2578</v>
      </c>
      <c r="BE213" t="s">
        <v>2988</v>
      </c>
      <c r="BG213">
        <v>0</v>
      </c>
      <c r="BH213">
        <v>0</v>
      </c>
      <c r="BJ213">
        <v>0</v>
      </c>
    </row>
    <row r="214" spans="1:62" x14ac:dyDescent="0.2">
      <c r="A214" t="s">
        <v>2462</v>
      </c>
      <c r="B214" t="s">
        <v>2462</v>
      </c>
      <c r="C214">
        <v>15055810</v>
      </c>
      <c r="D214" t="s">
        <v>2726</v>
      </c>
      <c r="E214" t="s">
        <v>2439</v>
      </c>
      <c r="F214" t="s">
        <v>2782</v>
      </c>
      <c r="G214" t="s">
        <v>2783</v>
      </c>
      <c r="H214" s="23">
        <v>0.70833333333333337</v>
      </c>
      <c r="I214" t="s">
        <v>2696</v>
      </c>
      <c r="J214" t="s">
        <v>2660</v>
      </c>
      <c r="K214" t="s">
        <v>2661</v>
      </c>
      <c r="L214" t="s">
        <v>2462</v>
      </c>
      <c r="M214" t="s">
        <v>2596</v>
      </c>
      <c r="N214" s="6">
        <v>45994</v>
      </c>
      <c r="O214" t="s">
        <v>2458</v>
      </c>
      <c r="P214" t="s">
        <v>2445</v>
      </c>
      <c r="Q214" s="23">
        <v>0.51820601851851855</v>
      </c>
      <c r="R214" s="23">
        <v>0.84375</v>
      </c>
      <c r="S214">
        <v>22</v>
      </c>
      <c r="T214" t="s">
        <v>2443</v>
      </c>
      <c r="U214" t="s">
        <v>2662</v>
      </c>
      <c r="V214">
        <v>7.31</v>
      </c>
      <c r="W214">
        <v>7.31</v>
      </c>
      <c r="X214" t="s">
        <v>2689</v>
      </c>
      <c r="Y214" t="s">
        <v>2689</v>
      </c>
      <c r="Z214" t="s">
        <v>2689</v>
      </c>
      <c r="AA214" t="s">
        <v>2689</v>
      </c>
      <c r="AC214" t="s">
        <v>2689</v>
      </c>
      <c r="AD214" t="s">
        <v>2689</v>
      </c>
      <c r="AE214" t="s">
        <v>2689</v>
      </c>
      <c r="AF214" t="s">
        <v>2689</v>
      </c>
      <c r="AH214">
        <v>160.82</v>
      </c>
      <c r="AI214" t="s">
        <v>2690</v>
      </c>
      <c r="AJ214" t="s">
        <v>2690</v>
      </c>
      <c r="AK214" t="s">
        <v>2690</v>
      </c>
      <c r="AL214" t="s">
        <v>2690</v>
      </c>
      <c r="AP214">
        <v>160.82</v>
      </c>
      <c r="AR214" s="23">
        <v>0.51820601851851855</v>
      </c>
      <c r="AT214" s="23">
        <v>0.52083333333333337</v>
      </c>
      <c r="AU214" s="23">
        <v>0.85416666666666663</v>
      </c>
      <c r="AV214" t="s">
        <v>2565</v>
      </c>
      <c r="AX214">
        <v>100</v>
      </c>
      <c r="AY214">
        <v>0.5</v>
      </c>
      <c r="AZ214" t="s">
        <v>2990</v>
      </c>
      <c r="BA214" t="s">
        <v>2754</v>
      </c>
      <c r="BD214" t="s">
        <v>2578</v>
      </c>
      <c r="BE214" t="s">
        <v>2988</v>
      </c>
      <c r="BF214" t="s">
        <v>2471</v>
      </c>
      <c r="BG214">
        <v>0</v>
      </c>
      <c r="BH214">
        <v>0</v>
      </c>
      <c r="BJ214">
        <v>0</v>
      </c>
    </row>
    <row r="215" spans="1:62" x14ac:dyDescent="0.2">
      <c r="A215" t="s">
        <v>2462</v>
      </c>
      <c r="B215" t="s">
        <v>2462</v>
      </c>
      <c r="C215">
        <v>15055810</v>
      </c>
      <c r="D215" t="s">
        <v>2726</v>
      </c>
      <c r="E215" t="s">
        <v>2439</v>
      </c>
      <c r="F215" t="s">
        <v>2452</v>
      </c>
      <c r="G215" t="s">
        <v>2453</v>
      </c>
      <c r="H215" s="23">
        <v>0.33333333333333331</v>
      </c>
      <c r="I215" t="s">
        <v>2688</v>
      </c>
      <c r="J215" t="s">
        <v>2660</v>
      </c>
      <c r="K215" t="s">
        <v>2661</v>
      </c>
      <c r="L215" t="s">
        <v>2462</v>
      </c>
      <c r="M215" t="s">
        <v>2596</v>
      </c>
      <c r="N215" s="6">
        <v>45998</v>
      </c>
      <c r="O215" t="s">
        <v>2461</v>
      </c>
      <c r="P215" t="s">
        <v>2442</v>
      </c>
      <c r="Q215" s="23">
        <v>0.33297453703703705</v>
      </c>
      <c r="R215" s="23">
        <v>0.64728009259259256</v>
      </c>
      <c r="S215">
        <v>22</v>
      </c>
      <c r="T215" t="s">
        <v>2443</v>
      </c>
      <c r="U215" t="s">
        <v>2662</v>
      </c>
      <c r="V215">
        <v>7.04</v>
      </c>
      <c r="W215">
        <v>7.04</v>
      </c>
      <c r="X215" t="s">
        <v>2689</v>
      </c>
      <c r="Y215" t="s">
        <v>2689</v>
      </c>
      <c r="Z215" t="s">
        <v>2689</v>
      </c>
      <c r="AA215" t="s">
        <v>2689</v>
      </c>
      <c r="AC215" t="s">
        <v>2689</v>
      </c>
      <c r="AD215" t="s">
        <v>2689</v>
      </c>
      <c r="AE215" t="s">
        <v>2689</v>
      </c>
      <c r="AF215" t="s">
        <v>2689</v>
      </c>
      <c r="AH215">
        <v>154.88</v>
      </c>
      <c r="AI215" t="s">
        <v>2690</v>
      </c>
      <c r="AJ215" t="s">
        <v>2690</v>
      </c>
      <c r="AK215" t="s">
        <v>2690</v>
      </c>
      <c r="AL215" t="s">
        <v>2690</v>
      </c>
      <c r="AP215">
        <v>154.88</v>
      </c>
      <c r="AR215" s="23">
        <v>0.33297453703703705</v>
      </c>
      <c r="AS215" s="23">
        <v>0.64728009259259256</v>
      </c>
      <c r="AT215" s="23">
        <v>0.33333333333333331</v>
      </c>
      <c r="AU215" s="23">
        <v>0.66666666666666663</v>
      </c>
      <c r="AV215" t="s">
        <v>2565</v>
      </c>
      <c r="AX215">
        <v>100</v>
      </c>
      <c r="AY215">
        <v>0.5</v>
      </c>
      <c r="AZ215" t="s">
        <v>2991</v>
      </c>
      <c r="BA215" t="s">
        <v>2754</v>
      </c>
      <c r="BD215" t="s">
        <v>2578</v>
      </c>
      <c r="BE215" t="s">
        <v>2988</v>
      </c>
      <c r="BG215">
        <v>0</v>
      </c>
      <c r="BH215">
        <v>0</v>
      </c>
      <c r="BJ215">
        <v>0</v>
      </c>
    </row>
    <row r="216" spans="1:62" x14ac:dyDescent="0.2">
      <c r="A216" t="s">
        <v>2462</v>
      </c>
      <c r="B216" t="s">
        <v>2462</v>
      </c>
      <c r="C216">
        <v>15055810</v>
      </c>
      <c r="D216" t="s">
        <v>2726</v>
      </c>
      <c r="E216" t="s">
        <v>2439</v>
      </c>
      <c r="F216" t="s">
        <v>2786</v>
      </c>
      <c r="G216" t="s">
        <v>2787</v>
      </c>
      <c r="H216" s="23">
        <v>0.66666666666666663</v>
      </c>
      <c r="I216" t="s">
        <v>2696</v>
      </c>
      <c r="J216" t="s">
        <v>2660</v>
      </c>
      <c r="K216" t="s">
        <v>2661</v>
      </c>
      <c r="L216" t="s">
        <v>2462</v>
      </c>
      <c r="M216" t="s">
        <v>2596</v>
      </c>
      <c r="N216" s="6">
        <v>45999</v>
      </c>
      <c r="O216" t="s">
        <v>2455</v>
      </c>
      <c r="P216" t="s">
        <v>2445</v>
      </c>
      <c r="Q216" s="23">
        <v>0.37635416666666666</v>
      </c>
      <c r="R216" s="23">
        <v>0.72555555555555551</v>
      </c>
      <c r="S216">
        <v>22</v>
      </c>
      <c r="T216" t="s">
        <v>2443</v>
      </c>
      <c r="U216" t="s">
        <v>2662</v>
      </c>
      <c r="V216">
        <v>7.88</v>
      </c>
      <c r="W216">
        <v>7.88</v>
      </c>
      <c r="X216" t="s">
        <v>2689</v>
      </c>
      <c r="Y216" t="s">
        <v>2689</v>
      </c>
      <c r="Z216" t="s">
        <v>2689</v>
      </c>
      <c r="AA216" t="s">
        <v>2689</v>
      </c>
      <c r="AC216" t="s">
        <v>2689</v>
      </c>
      <c r="AD216" t="s">
        <v>2689</v>
      </c>
      <c r="AE216" t="s">
        <v>2689</v>
      </c>
      <c r="AF216" t="s">
        <v>2689</v>
      </c>
      <c r="AH216">
        <v>173.36</v>
      </c>
      <c r="AI216" t="s">
        <v>2690</v>
      </c>
      <c r="AJ216" t="s">
        <v>2690</v>
      </c>
      <c r="AK216" t="s">
        <v>2690</v>
      </c>
      <c r="AL216" t="s">
        <v>2690</v>
      </c>
      <c r="AP216">
        <v>173.36</v>
      </c>
      <c r="AR216" s="23">
        <v>0.37635416666666666</v>
      </c>
      <c r="AS216" s="23">
        <v>0.72555555555555551</v>
      </c>
      <c r="AT216" s="23">
        <v>0.375</v>
      </c>
      <c r="AU216" s="23">
        <v>0.70833333333333337</v>
      </c>
      <c r="AV216" t="s">
        <v>2565</v>
      </c>
      <c r="AX216">
        <v>100</v>
      </c>
      <c r="AY216">
        <v>0.5</v>
      </c>
      <c r="AZ216" t="s">
        <v>2992</v>
      </c>
      <c r="BA216" t="s">
        <v>2757</v>
      </c>
      <c r="BD216" t="s">
        <v>2578</v>
      </c>
      <c r="BE216" t="s">
        <v>2988</v>
      </c>
      <c r="BF216" t="s">
        <v>2446</v>
      </c>
      <c r="BG216">
        <v>0</v>
      </c>
      <c r="BH216">
        <v>0</v>
      </c>
      <c r="BJ216">
        <v>0</v>
      </c>
    </row>
    <row r="217" spans="1:62" x14ac:dyDescent="0.2">
      <c r="A217" t="s">
        <v>2462</v>
      </c>
      <c r="B217" t="s">
        <v>2462</v>
      </c>
      <c r="C217">
        <v>15055810</v>
      </c>
      <c r="D217" t="s">
        <v>2726</v>
      </c>
      <c r="E217" t="s">
        <v>2439</v>
      </c>
      <c r="F217" t="s">
        <v>2789</v>
      </c>
      <c r="G217" t="s">
        <v>2790</v>
      </c>
      <c r="H217" s="23">
        <v>0.375</v>
      </c>
      <c r="I217" t="s">
        <v>2696</v>
      </c>
      <c r="J217" t="s">
        <v>2660</v>
      </c>
      <c r="K217" t="s">
        <v>2663</v>
      </c>
      <c r="L217" t="s">
        <v>2462</v>
      </c>
      <c r="M217" t="s">
        <v>2596</v>
      </c>
      <c r="N217" s="6">
        <v>46000</v>
      </c>
      <c r="O217" t="s">
        <v>2457</v>
      </c>
      <c r="P217" t="s">
        <v>2445</v>
      </c>
      <c r="Q217" s="23">
        <v>0.26109953703703703</v>
      </c>
      <c r="R217" s="23">
        <v>0.59846064814814814</v>
      </c>
      <c r="S217">
        <v>22</v>
      </c>
      <c r="T217" t="s">
        <v>2443</v>
      </c>
      <c r="U217" t="s">
        <v>2662</v>
      </c>
      <c r="V217">
        <v>7.6</v>
      </c>
      <c r="W217">
        <v>7.6</v>
      </c>
      <c r="X217" t="s">
        <v>2689</v>
      </c>
      <c r="Y217" t="s">
        <v>2689</v>
      </c>
      <c r="Z217" t="s">
        <v>2689</v>
      </c>
      <c r="AA217" t="s">
        <v>2689</v>
      </c>
      <c r="AC217" t="s">
        <v>2689</v>
      </c>
      <c r="AD217" t="s">
        <v>2689</v>
      </c>
      <c r="AE217" t="s">
        <v>2689</v>
      </c>
      <c r="AF217" t="s">
        <v>2689</v>
      </c>
      <c r="AH217">
        <v>167.2</v>
      </c>
      <c r="AI217" t="s">
        <v>2690</v>
      </c>
      <c r="AJ217" t="s">
        <v>2690</v>
      </c>
      <c r="AK217" t="s">
        <v>2690</v>
      </c>
      <c r="AL217" t="s">
        <v>2690</v>
      </c>
      <c r="AP217">
        <v>167.2</v>
      </c>
      <c r="AQ217" t="s">
        <v>2442</v>
      </c>
      <c r="AR217" s="23">
        <v>0.26109953703703703</v>
      </c>
      <c r="AS217" s="23">
        <v>0.59846064814814814</v>
      </c>
      <c r="AT217" s="23">
        <v>0.25</v>
      </c>
      <c r="AU217" s="23">
        <v>0.58333333333333337</v>
      </c>
      <c r="AV217" t="s">
        <v>2565</v>
      </c>
      <c r="AX217">
        <v>100</v>
      </c>
      <c r="AY217">
        <v>0.5</v>
      </c>
      <c r="AZ217" t="s">
        <v>2993</v>
      </c>
      <c r="BA217" t="s">
        <v>2757</v>
      </c>
      <c r="BD217" t="s">
        <v>2664</v>
      </c>
      <c r="BE217" t="s">
        <v>2994</v>
      </c>
      <c r="BG217">
        <v>0</v>
      </c>
      <c r="BH217">
        <v>0</v>
      </c>
      <c r="BJ217">
        <v>0</v>
      </c>
    </row>
    <row r="218" spans="1:62" x14ac:dyDescent="0.2">
      <c r="A218" t="s">
        <v>2462</v>
      </c>
      <c r="B218" t="s">
        <v>2462</v>
      </c>
      <c r="C218">
        <v>15055810</v>
      </c>
      <c r="D218" t="s">
        <v>2726</v>
      </c>
      <c r="E218" t="s">
        <v>2439</v>
      </c>
      <c r="F218" t="s">
        <v>2452</v>
      </c>
      <c r="G218" t="s">
        <v>2453</v>
      </c>
      <c r="H218" s="23">
        <v>0.33333333333333331</v>
      </c>
      <c r="I218" t="s">
        <v>2688</v>
      </c>
      <c r="J218" t="s">
        <v>2528</v>
      </c>
      <c r="K218" t="s">
        <v>2613</v>
      </c>
      <c r="L218" t="s">
        <v>2462</v>
      </c>
      <c r="M218" t="s">
        <v>2570</v>
      </c>
      <c r="N218" s="6">
        <v>46001</v>
      </c>
      <c r="O218" t="s">
        <v>2458</v>
      </c>
      <c r="P218" t="s">
        <v>2445</v>
      </c>
      <c r="Q218" s="23">
        <v>0.34177083333333336</v>
      </c>
      <c r="R218" s="23">
        <v>0.6875</v>
      </c>
      <c r="S218">
        <v>22</v>
      </c>
      <c r="T218" t="s">
        <v>2443</v>
      </c>
      <c r="U218" t="s">
        <v>2662</v>
      </c>
      <c r="V218">
        <v>7.8</v>
      </c>
      <c r="W218">
        <v>7.8</v>
      </c>
      <c r="X218" t="s">
        <v>2689</v>
      </c>
      <c r="Y218" t="s">
        <v>2689</v>
      </c>
      <c r="Z218" t="s">
        <v>2689</v>
      </c>
      <c r="AA218" t="s">
        <v>2689</v>
      </c>
      <c r="AC218" t="s">
        <v>2689</v>
      </c>
      <c r="AD218" t="s">
        <v>2689</v>
      </c>
      <c r="AE218" t="s">
        <v>2689</v>
      </c>
      <c r="AF218" t="s">
        <v>2689</v>
      </c>
      <c r="AH218">
        <v>171.6</v>
      </c>
      <c r="AI218" t="s">
        <v>2690</v>
      </c>
      <c r="AJ218" t="s">
        <v>2690</v>
      </c>
      <c r="AK218" t="s">
        <v>2690</v>
      </c>
      <c r="AL218" t="s">
        <v>2690</v>
      </c>
      <c r="AP218">
        <v>171.6</v>
      </c>
      <c r="AQ218" t="s">
        <v>2442</v>
      </c>
      <c r="AR218" s="23">
        <v>0.34177083333333336</v>
      </c>
      <c r="AT218" s="23">
        <v>0.33333333333333331</v>
      </c>
      <c r="AU218" s="23">
        <v>0.66666666666666663</v>
      </c>
      <c r="AV218" t="s">
        <v>2565</v>
      </c>
      <c r="AX218">
        <v>230</v>
      </c>
      <c r="AY218">
        <v>0.5</v>
      </c>
      <c r="AZ218" t="s">
        <v>2995</v>
      </c>
      <c r="BA218" t="s">
        <v>2798</v>
      </c>
      <c r="BD218" t="s">
        <v>2578</v>
      </c>
      <c r="BE218" t="s">
        <v>2988</v>
      </c>
      <c r="BF218" t="s">
        <v>2460</v>
      </c>
      <c r="BG218">
        <v>0</v>
      </c>
      <c r="BH218">
        <v>0</v>
      </c>
      <c r="BJ218">
        <v>0</v>
      </c>
    </row>
    <row r="219" spans="1:62" x14ac:dyDescent="0.2">
      <c r="A219" t="s">
        <v>2462</v>
      </c>
      <c r="B219" t="s">
        <v>2462</v>
      </c>
      <c r="C219">
        <v>15055810</v>
      </c>
      <c r="D219" t="s">
        <v>2726</v>
      </c>
      <c r="E219" t="s">
        <v>2439</v>
      </c>
      <c r="F219" t="s">
        <v>2791</v>
      </c>
      <c r="G219" t="s">
        <v>2792</v>
      </c>
      <c r="H219" s="23">
        <v>0.79166666666666663</v>
      </c>
      <c r="I219" t="s">
        <v>2696</v>
      </c>
      <c r="J219" t="s">
        <v>2660</v>
      </c>
      <c r="K219" t="s">
        <v>2661</v>
      </c>
      <c r="L219" t="s">
        <v>2462</v>
      </c>
      <c r="M219" t="s">
        <v>2596</v>
      </c>
      <c r="N219" s="6">
        <v>46002</v>
      </c>
      <c r="O219" t="s">
        <v>2459</v>
      </c>
      <c r="P219" t="s">
        <v>2445</v>
      </c>
      <c r="Q219" s="23">
        <v>0.57847222222222228</v>
      </c>
      <c r="R219" s="23">
        <v>0.93760416666666668</v>
      </c>
      <c r="S219">
        <v>22</v>
      </c>
      <c r="T219" t="s">
        <v>2443</v>
      </c>
      <c r="U219" t="s">
        <v>2662</v>
      </c>
      <c r="V219">
        <v>8.1199999999999992</v>
      </c>
      <c r="W219">
        <v>8</v>
      </c>
      <c r="X219">
        <v>0.12</v>
      </c>
      <c r="Y219" t="s">
        <v>2689</v>
      </c>
      <c r="Z219" t="s">
        <v>2689</v>
      </c>
      <c r="AA219" t="s">
        <v>2689</v>
      </c>
      <c r="AC219" t="s">
        <v>2689</v>
      </c>
      <c r="AD219" t="s">
        <v>2689</v>
      </c>
      <c r="AE219" t="s">
        <v>2689</v>
      </c>
      <c r="AF219" t="s">
        <v>2689</v>
      </c>
      <c r="AH219">
        <v>176</v>
      </c>
      <c r="AI219">
        <v>3.96</v>
      </c>
      <c r="AJ219" t="s">
        <v>2690</v>
      </c>
      <c r="AK219" t="s">
        <v>2690</v>
      </c>
      <c r="AL219" t="s">
        <v>2690</v>
      </c>
      <c r="AP219">
        <v>179.96</v>
      </c>
      <c r="AR219" s="23">
        <v>0.57847222222222228</v>
      </c>
      <c r="AS219" s="23">
        <v>0.93760416666666668</v>
      </c>
      <c r="AT219" s="23">
        <v>0.58333333333333337</v>
      </c>
      <c r="AU219" s="23">
        <v>0.91666666666666663</v>
      </c>
      <c r="AV219" t="s">
        <v>2565</v>
      </c>
      <c r="AX219">
        <v>100</v>
      </c>
      <c r="AY219">
        <v>0.5</v>
      </c>
      <c r="AZ219" t="s">
        <v>2996</v>
      </c>
      <c r="BA219" t="s">
        <v>2759</v>
      </c>
      <c r="BD219" t="s">
        <v>2578</v>
      </c>
      <c r="BE219" t="s">
        <v>2988</v>
      </c>
      <c r="BG219">
        <v>0</v>
      </c>
      <c r="BH219">
        <v>0</v>
      </c>
      <c r="BJ219">
        <v>0</v>
      </c>
    </row>
    <row r="220" spans="1:62" x14ac:dyDescent="0.2">
      <c r="A220" t="s">
        <v>2462</v>
      </c>
      <c r="B220" t="s">
        <v>2462</v>
      </c>
      <c r="C220">
        <v>15055810</v>
      </c>
      <c r="D220" t="s">
        <v>2726</v>
      </c>
      <c r="E220" t="s">
        <v>2439</v>
      </c>
      <c r="F220" t="s">
        <v>2794</v>
      </c>
      <c r="G220" t="s">
        <v>2795</v>
      </c>
      <c r="H220" s="23">
        <v>0.79166666666666663</v>
      </c>
      <c r="I220" t="s">
        <v>2696</v>
      </c>
      <c r="J220" t="s">
        <v>2660</v>
      </c>
      <c r="K220" t="s">
        <v>2661</v>
      </c>
      <c r="L220" t="s">
        <v>2462</v>
      </c>
      <c r="M220" t="s">
        <v>2596</v>
      </c>
      <c r="N220" s="6">
        <v>46003</v>
      </c>
      <c r="O220" t="s">
        <v>2449</v>
      </c>
      <c r="P220" t="s">
        <v>2445</v>
      </c>
      <c r="Q220" s="23">
        <v>0.58534722222222224</v>
      </c>
      <c r="R220" s="23">
        <v>0.8473032407407407</v>
      </c>
      <c r="S220">
        <v>22</v>
      </c>
      <c r="T220" t="s">
        <v>2443</v>
      </c>
      <c r="U220" t="s">
        <v>2662</v>
      </c>
      <c r="V220">
        <v>5.79</v>
      </c>
      <c r="W220">
        <v>5.79</v>
      </c>
      <c r="X220" t="s">
        <v>2689</v>
      </c>
      <c r="Y220" t="s">
        <v>2689</v>
      </c>
      <c r="Z220" t="s">
        <v>2689</v>
      </c>
      <c r="AA220" t="s">
        <v>2689</v>
      </c>
      <c r="AC220" t="s">
        <v>2689</v>
      </c>
      <c r="AD220" t="s">
        <v>2689</v>
      </c>
      <c r="AE220" t="s">
        <v>2689</v>
      </c>
      <c r="AF220" t="s">
        <v>2689</v>
      </c>
      <c r="AH220">
        <v>127.38</v>
      </c>
      <c r="AI220" t="s">
        <v>2690</v>
      </c>
      <c r="AJ220" t="s">
        <v>2690</v>
      </c>
      <c r="AK220" t="s">
        <v>2690</v>
      </c>
      <c r="AL220" t="s">
        <v>2690</v>
      </c>
      <c r="AP220">
        <v>127.38</v>
      </c>
      <c r="AR220" s="23">
        <v>0.58534722222222224</v>
      </c>
      <c r="AS220" s="23">
        <v>0.8473032407407407</v>
      </c>
      <c r="AT220" s="23">
        <v>0.58333333333333337</v>
      </c>
      <c r="AU220" s="23">
        <v>0.91666666666666663</v>
      </c>
      <c r="AV220" t="s">
        <v>2565</v>
      </c>
      <c r="AX220">
        <v>100</v>
      </c>
      <c r="AY220">
        <v>0.5</v>
      </c>
      <c r="AZ220" t="s">
        <v>2997</v>
      </c>
      <c r="BA220" t="s">
        <v>2798</v>
      </c>
      <c r="BD220" t="s">
        <v>2578</v>
      </c>
      <c r="BE220" t="s">
        <v>2988</v>
      </c>
      <c r="BG220">
        <v>0</v>
      </c>
      <c r="BH220">
        <v>0</v>
      </c>
      <c r="BJ220">
        <v>0</v>
      </c>
    </row>
    <row r="221" spans="1:62" x14ac:dyDescent="0.2">
      <c r="A221" t="s">
        <v>2462</v>
      </c>
      <c r="B221" t="s">
        <v>2462</v>
      </c>
      <c r="C221">
        <v>15055810</v>
      </c>
      <c r="D221" t="s">
        <v>2726</v>
      </c>
      <c r="E221" t="s">
        <v>2439</v>
      </c>
      <c r="F221" t="s">
        <v>2811</v>
      </c>
      <c r="G221" t="s">
        <v>2812</v>
      </c>
      <c r="H221" s="23">
        <v>0.6875</v>
      </c>
      <c r="I221" t="s">
        <v>2696</v>
      </c>
      <c r="J221" t="s">
        <v>2660</v>
      </c>
      <c r="K221" t="s">
        <v>2663</v>
      </c>
      <c r="L221" t="s">
        <v>2462</v>
      </c>
      <c r="M221" t="s">
        <v>2596</v>
      </c>
      <c r="N221" s="6">
        <v>46005</v>
      </c>
      <c r="O221" t="s">
        <v>2461</v>
      </c>
      <c r="P221" t="s">
        <v>2442</v>
      </c>
      <c r="Q221" s="23">
        <v>0.53743055555555552</v>
      </c>
      <c r="R221" s="23">
        <v>0.84181712962962962</v>
      </c>
      <c r="S221">
        <v>22</v>
      </c>
      <c r="T221" t="s">
        <v>2443</v>
      </c>
      <c r="U221" t="s">
        <v>2662</v>
      </c>
      <c r="V221">
        <v>6.81</v>
      </c>
      <c r="W221">
        <v>6.81</v>
      </c>
      <c r="X221" t="s">
        <v>2689</v>
      </c>
      <c r="Y221" t="s">
        <v>2689</v>
      </c>
      <c r="Z221" t="s">
        <v>2689</v>
      </c>
      <c r="AA221" t="s">
        <v>2689</v>
      </c>
      <c r="AC221" t="s">
        <v>2689</v>
      </c>
      <c r="AD221" t="s">
        <v>2689</v>
      </c>
      <c r="AE221" t="s">
        <v>2689</v>
      </c>
      <c r="AF221" t="s">
        <v>2689</v>
      </c>
      <c r="AH221">
        <v>149.82</v>
      </c>
      <c r="AI221" t="s">
        <v>2690</v>
      </c>
      <c r="AJ221" t="s">
        <v>2690</v>
      </c>
      <c r="AK221" t="s">
        <v>2690</v>
      </c>
      <c r="AL221" t="s">
        <v>2690</v>
      </c>
      <c r="AP221">
        <v>149.82</v>
      </c>
      <c r="AR221" s="23">
        <v>0.53743055555555552</v>
      </c>
      <c r="AS221" s="23">
        <v>0.84181712962962962</v>
      </c>
      <c r="AT221" s="23">
        <v>0.54166666666666663</v>
      </c>
      <c r="AU221" s="23">
        <v>0.875</v>
      </c>
      <c r="AV221" t="s">
        <v>2565</v>
      </c>
      <c r="AX221">
        <v>100</v>
      </c>
      <c r="AY221">
        <v>0.5</v>
      </c>
      <c r="AZ221" t="s">
        <v>2998</v>
      </c>
      <c r="BA221" t="s">
        <v>2798</v>
      </c>
      <c r="BD221" t="s">
        <v>2664</v>
      </c>
      <c r="BE221" t="s">
        <v>2994</v>
      </c>
      <c r="BG221">
        <v>0</v>
      </c>
      <c r="BH221">
        <v>0</v>
      </c>
      <c r="BJ221">
        <v>0</v>
      </c>
    </row>
    <row r="222" spans="1:62" x14ac:dyDescent="0.2">
      <c r="A222" t="s">
        <v>2462</v>
      </c>
      <c r="B222" t="s">
        <v>2462</v>
      </c>
      <c r="C222">
        <v>15055810</v>
      </c>
      <c r="D222" t="s">
        <v>2726</v>
      </c>
      <c r="E222" t="s">
        <v>2439</v>
      </c>
      <c r="F222" t="s">
        <v>2814</v>
      </c>
      <c r="G222" t="s">
        <v>2815</v>
      </c>
      <c r="H222" s="23">
        <v>0.47916666666666669</v>
      </c>
      <c r="I222" t="s">
        <v>2696</v>
      </c>
      <c r="J222" t="s">
        <v>2660</v>
      </c>
      <c r="K222" t="s">
        <v>2663</v>
      </c>
      <c r="L222" t="s">
        <v>2462</v>
      </c>
      <c r="M222" t="s">
        <v>2596</v>
      </c>
      <c r="N222" s="6">
        <v>46006</v>
      </c>
      <c r="O222" t="s">
        <v>2455</v>
      </c>
      <c r="P222" t="s">
        <v>2445</v>
      </c>
      <c r="Q222" s="23">
        <v>0.29481481481481481</v>
      </c>
      <c r="R222" s="23">
        <v>0.50133101851851847</v>
      </c>
      <c r="S222">
        <v>22</v>
      </c>
      <c r="T222" t="s">
        <v>2443</v>
      </c>
      <c r="U222" t="s">
        <v>2662</v>
      </c>
      <c r="V222">
        <v>4.96</v>
      </c>
      <c r="W222">
        <v>4.96</v>
      </c>
      <c r="X222" t="s">
        <v>2689</v>
      </c>
      <c r="Y222" t="s">
        <v>2689</v>
      </c>
      <c r="Z222" t="s">
        <v>2689</v>
      </c>
      <c r="AA222" t="s">
        <v>2689</v>
      </c>
      <c r="AC222" t="s">
        <v>2689</v>
      </c>
      <c r="AD222" t="s">
        <v>2689</v>
      </c>
      <c r="AE222" t="s">
        <v>2689</v>
      </c>
      <c r="AF222" t="s">
        <v>2689</v>
      </c>
      <c r="AH222">
        <v>109.12</v>
      </c>
      <c r="AI222" t="s">
        <v>2690</v>
      </c>
      <c r="AJ222" t="s">
        <v>2690</v>
      </c>
      <c r="AK222" t="s">
        <v>2690</v>
      </c>
      <c r="AL222" t="s">
        <v>2690</v>
      </c>
      <c r="AP222">
        <v>109.12</v>
      </c>
      <c r="AR222" s="23">
        <v>0.29481481481481481</v>
      </c>
      <c r="AS222" s="23">
        <v>0.50133101851851847</v>
      </c>
      <c r="AT222" s="23">
        <v>0.29166666666666669</v>
      </c>
      <c r="AU222" s="23">
        <v>0.625</v>
      </c>
      <c r="AV222" t="s">
        <v>2565</v>
      </c>
      <c r="AX222">
        <v>100</v>
      </c>
      <c r="BA222" t="s">
        <v>2769</v>
      </c>
      <c r="BD222" t="s">
        <v>2664</v>
      </c>
      <c r="BE222" t="s">
        <v>2994</v>
      </c>
      <c r="BG222">
        <v>0</v>
      </c>
      <c r="BH222">
        <v>0</v>
      </c>
      <c r="BJ222">
        <v>0</v>
      </c>
    </row>
    <row r="223" spans="1:62" x14ac:dyDescent="0.2">
      <c r="A223" t="s">
        <v>2462</v>
      </c>
      <c r="B223" t="s">
        <v>2462</v>
      </c>
      <c r="C223">
        <v>15055817</v>
      </c>
      <c r="D223" t="s">
        <v>2999</v>
      </c>
      <c r="E223" t="s">
        <v>2439</v>
      </c>
      <c r="F223" t="s">
        <v>2452</v>
      </c>
      <c r="G223" t="s">
        <v>2453</v>
      </c>
      <c r="H223" s="23">
        <v>0.33333333333333331</v>
      </c>
      <c r="I223" t="s">
        <v>2688</v>
      </c>
      <c r="J223" t="s">
        <v>2528</v>
      </c>
      <c r="K223" t="s">
        <v>2613</v>
      </c>
      <c r="L223" t="s">
        <v>2462</v>
      </c>
      <c r="M223" t="s">
        <v>2570</v>
      </c>
      <c r="N223" s="6">
        <v>46009</v>
      </c>
      <c r="O223" t="s">
        <v>2459</v>
      </c>
      <c r="P223" t="s">
        <v>2445</v>
      </c>
      <c r="Q223" s="23">
        <v>0.33015046296296297</v>
      </c>
      <c r="R223" s="23">
        <v>0.53767361111111112</v>
      </c>
      <c r="S223">
        <v>25</v>
      </c>
      <c r="T223" t="s">
        <v>2443</v>
      </c>
      <c r="U223" t="s">
        <v>2577</v>
      </c>
      <c r="V223">
        <v>4.9800000000000004</v>
      </c>
      <c r="W223">
        <v>4.9800000000000004</v>
      </c>
      <c r="X223" t="s">
        <v>2689</v>
      </c>
      <c r="Y223" t="s">
        <v>2689</v>
      </c>
      <c r="Z223" t="s">
        <v>2689</v>
      </c>
      <c r="AA223" t="s">
        <v>2689</v>
      </c>
      <c r="AC223" t="s">
        <v>2689</v>
      </c>
      <c r="AD223" t="s">
        <v>2689</v>
      </c>
      <c r="AE223" t="s">
        <v>2689</v>
      </c>
      <c r="AF223" t="s">
        <v>2689</v>
      </c>
      <c r="AH223">
        <v>124.5</v>
      </c>
      <c r="AI223" t="s">
        <v>2690</v>
      </c>
      <c r="AJ223" t="s">
        <v>2690</v>
      </c>
      <c r="AK223" t="s">
        <v>2690</v>
      </c>
      <c r="AL223" t="s">
        <v>2690</v>
      </c>
      <c r="AP223">
        <v>124.5</v>
      </c>
      <c r="AR223" s="23">
        <v>0.33015046296296297</v>
      </c>
      <c r="AS223" s="23">
        <v>0.53767361111111112</v>
      </c>
      <c r="AT223" s="23">
        <v>0.33333333333333331</v>
      </c>
      <c r="AU223" s="23">
        <v>0.54166666666666663</v>
      </c>
      <c r="AV223" t="s">
        <v>2565</v>
      </c>
      <c r="AX223">
        <v>230</v>
      </c>
      <c r="BA223" t="s">
        <v>2765</v>
      </c>
      <c r="BD223" t="s">
        <v>2578</v>
      </c>
      <c r="BE223" t="s">
        <v>2988</v>
      </c>
      <c r="BG223">
        <v>0</v>
      </c>
      <c r="BH223">
        <v>0</v>
      </c>
      <c r="BJ223">
        <v>0</v>
      </c>
    </row>
    <row r="224" spans="1:62" x14ac:dyDescent="0.2">
      <c r="A224" t="s">
        <v>2462</v>
      </c>
      <c r="B224" t="s">
        <v>2462</v>
      </c>
      <c r="C224">
        <v>15060236</v>
      </c>
      <c r="D224" t="s">
        <v>2727</v>
      </c>
      <c r="E224" t="s">
        <v>2439</v>
      </c>
      <c r="F224" t="s">
        <v>2452</v>
      </c>
      <c r="G224" t="s">
        <v>2453</v>
      </c>
      <c r="H224" s="23">
        <v>0.33333333333333331</v>
      </c>
      <c r="I224" t="s">
        <v>2688</v>
      </c>
      <c r="J224" t="s">
        <v>2463</v>
      </c>
      <c r="K224" t="s">
        <v>2464</v>
      </c>
      <c r="L224" t="s">
        <v>2462</v>
      </c>
      <c r="M224" t="s">
        <v>2465</v>
      </c>
      <c r="N224" s="6">
        <v>45992</v>
      </c>
      <c r="O224" t="s">
        <v>2455</v>
      </c>
      <c r="P224" t="s">
        <v>2445</v>
      </c>
      <c r="Q224" s="23">
        <v>0.33392361111111113</v>
      </c>
      <c r="R224" s="23">
        <v>0.67891203703703706</v>
      </c>
      <c r="S224">
        <v>23</v>
      </c>
      <c r="T224" t="s">
        <v>2443</v>
      </c>
      <c r="U224" t="s">
        <v>2728</v>
      </c>
      <c r="V224">
        <v>7.78</v>
      </c>
      <c r="W224">
        <v>7.78</v>
      </c>
      <c r="X224" t="s">
        <v>2689</v>
      </c>
      <c r="Y224" t="s">
        <v>2689</v>
      </c>
      <c r="Z224" t="s">
        <v>2689</v>
      </c>
      <c r="AA224" t="s">
        <v>2689</v>
      </c>
      <c r="AC224" t="s">
        <v>2689</v>
      </c>
      <c r="AD224" t="s">
        <v>2689</v>
      </c>
      <c r="AE224" t="s">
        <v>2689</v>
      </c>
      <c r="AF224" t="s">
        <v>2689</v>
      </c>
      <c r="AH224">
        <v>178.94</v>
      </c>
      <c r="AI224" t="s">
        <v>2690</v>
      </c>
      <c r="AJ224" t="s">
        <v>2690</v>
      </c>
      <c r="AK224" t="s">
        <v>2690</v>
      </c>
      <c r="AL224" t="s">
        <v>2690</v>
      </c>
      <c r="AP224">
        <v>178.94</v>
      </c>
      <c r="AR224" s="23">
        <v>0.33392361111111113</v>
      </c>
      <c r="AS224" s="23">
        <v>0.67891203703703706</v>
      </c>
      <c r="AT224" s="23">
        <v>0.33333333333333331</v>
      </c>
      <c r="AU224" s="23">
        <v>0.70833333333333337</v>
      </c>
      <c r="AV224" t="s">
        <v>2565</v>
      </c>
      <c r="AX224">
        <v>100</v>
      </c>
      <c r="AY224">
        <v>0.5</v>
      </c>
      <c r="AZ224" t="s">
        <v>3000</v>
      </c>
      <c r="BA224" t="s">
        <v>2692</v>
      </c>
      <c r="BD224" t="s">
        <v>2466</v>
      </c>
      <c r="BE224" t="s">
        <v>2463</v>
      </c>
      <c r="BG224">
        <v>0</v>
      </c>
      <c r="BH224">
        <v>0</v>
      </c>
      <c r="BJ224">
        <v>0</v>
      </c>
    </row>
    <row r="225" spans="1:62" x14ac:dyDescent="0.2">
      <c r="A225" t="s">
        <v>2462</v>
      </c>
      <c r="B225" t="s">
        <v>2462</v>
      </c>
      <c r="C225">
        <v>15060236</v>
      </c>
      <c r="D225" t="s">
        <v>2727</v>
      </c>
      <c r="E225" t="s">
        <v>2439</v>
      </c>
      <c r="F225" t="s">
        <v>2800</v>
      </c>
      <c r="G225" t="s">
        <v>2801</v>
      </c>
      <c r="H225" s="23">
        <v>0.66666666666666663</v>
      </c>
      <c r="I225" t="s">
        <v>2696</v>
      </c>
      <c r="J225" t="s">
        <v>2463</v>
      </c>
      <c r="K225" t="s">
        <v>2464</v>
      </c>
      <c r="L225" t="s">
        <v>2462</v>
      </c>
      <c r="M225" t="s">
        <v>2465</v>
      </c>
      <c r="N225" s="6">
        <v>45993</v>
      </c>
      <c r="O225" t="s">
        <v>2457</v>
      </c>
      <c r="P225" t="s">
        <v>2445</v>
      </c>
      <c r="Q225" s="23">
        <v>0.32826388888888891</v>
      </c>
      <c r="R225" s="23">
        <v>0.66399305555555554</v>
      </c>
      <c r="S225">
        <v>23</v>
      </c>
      <c r="T225" t="s">
        <v>2443</v>
      </c>
      <c r="U225" t="s">
        <v>2728</v>
      </c>
      <c r="V225">
        <v>7.56</v>
      </c>
      <c r="W225">
        <v>7.56</v>
      </c>
      <c r="X225" t="s">
        <v>2689</v>
      </c>
      <c r="Y225" t="s">
        <v>2689</v>
      </c>
      <c r="Z225" t="s">
        <v>2689</v>
      </c>
      <c r="AA225" t="s">
        <v>2689</v>
      </c>
      <c r="AC225" t="s">
        <v>2689</v>
      </c>
      <c r="AD225" t="s">
        <v>2689</v>
      </c>
      <c r="AE225" t="s">
        <v>2689</v>
      </c>
      <c r="AF225" t="s">
        <v>2689</v>
      </c>
      <c r="AH225">
        <v>173.88</v>
      </c>
      <c r="AI225" t="s">
        <v>2690</v>
      </c>
      <c r="AJ225" t="s">
        <v>2690</v>
      </c>
      <c r="AK225" t="s">
        <v>2690</v>
      </c>
      <c r="AL225" t="s">
        <v>2690</v>
      </c>
      <c r="AP225">
        <v>173.88</v>
      </c>
      <c r="AR225" s="23">
        <v>0.32826388888888891</v>
      </c>
      <c r="AS225" s="23">
        <v>0.66399305555555554</v>
      </c>
      <c r="AT225" s="23">
        <v>0.33333333333333331</v>
      </c>
      <c r="AU225" s="23">
        <v>0.66666666666666663</v>
      </c>
      <c r="AV225" t="s">
        <v>2565</v>
      </c>
      <c r="AX225">
        <v>100</v>
      </c>
      <c r="AY225">
        <v>0.5</v>
      </c>
      <c r="AZ225" t="s">
        <v>3001</v>
      </c>
      <c r="BA225" t="s">
        <v>2752</v>
      </c>
      <c r="BD225" t="s">
        <v>2466</v>
      </c>
      <c r="BE225" t="s">
        <v>2463</v>
      </c>
      <c r="BG225">
        <v>0</v>
      </c>
      <c r="BH225">
        <v>0</v>
      </c>
      <c r="BJ225">
        <v>0</v>
      </c>
    </row>
    <row r="226" spans="1:62" x14ac:dyDescent="0.2">
      <c r="A226" t="s">
        <v>2462</v>
      </c>
      <c r="B226" t="s">
        <v>2462</v>
      </c>
      <c r="C226">
        <v>15060236</v>
      </c>
      <c r="D226" t="s">
        <v>2727</v>
      </c>
      <c r="E226" t="s">
        <v>2439</v>
      </c>
      <c r="F226" t="s">
        <v>2782</v>
      </c>
      <c r="G226" t="s">
        <v>2783</v>
      </c>
      <c r="H226" s="23">
        <v>0.70833333333333337</v>
      </c>
      <c r="I226" t="s">
        <v>2696</v>
      </c>
      <c r="J226" t="s">
        <v>2463</v>
      </c>
      <c r="K226" t="s">
        <v>2464</v>
      </c>
      <c r="L226" t="s">
        <v>2462</v>
      </c>
      <c r="M226" t="s">
        <v>2465</v>
      </c>
      <c r="N226" s="6">
        <v>45994</v>
      </c>
      <c r="O226" t="s">
        <v>2458</v>
      </c>
      <c r="P226" t="s">
        <v>2445</v>
      </c>
      <c r="Q226" s="23">
        <v>0.32724537037037038</v>
      </c>
      <c r="R226" s="23">
        <v>0.66598379629629634</v>
      </c>
      <c r="S226">
        <v>23</v>
      </c>
      <c r="T226" t="s">
        <v>2443</v>
      </c>
      <c r="U226" t="s">
        <v>2728</v>
      </c>
      <c r="V226">
        <v>7.63</v>
      </c>
      <c r="W226">
        <v>7.63</v>
      </c>
      <c r="X226" t="s">
        <v>2689</v>
      </c>
      <c r="Y226" t="s">
        <v>2689</v>
      </c>
      <c r="Z226" t="s">
        <v>2689</v>
      </c>
      <c r="AA226" t="s">
        <v>2689</v>
      </c>
      <c r="AC226" t="s">
        <v>2689</v>
      </c>
      <c r="AD226" t="s">
        <v>2689</v>
      </c>
      <c r="AE226" t="s">
        <v>2689</v>
      </c>
      <c r="AF226" t="s">
        <v>2689</v>
      </c>
      <c r="AH226">
        <v>175.49</v>
      </c>
      <c r="AI226" t="s">
        <v>2690</v>
      </c>
      <c r="AJ226" t="s">
        <v>2690</v>
      </c>
      <c r="AK226" t="s">
        <v>2690</v>
      </c>
      <c r="AL226" t="s">
        <v>2690</v>
      </c>
      <c r="AP226">
        <v>175.49</v>
      </c>
      <c r="AR226" s="23">
        <v>0.32724537037037038</v>
      </c>
      <c r="AS226" s="23">
        <v>0.66598379629629634</v>
      </c>
      <c r="AT226" s="23">
        <v>0.33333333333333331</v>
      </c>
      <c r="AU226" s="23">
        <v>0.66666666666666663</v>
      </c>
      <c r="AV226" t="s">
        <v>2565</v>
      </c>
      <c r="AX226">
        <v>100</v>
      </c>
      <c r="AY226">
        <v>0.5</v>
      </c>
      <c r="AZ226" t="s">
        <v>3002</v>
      </c>
      <c r="BA226" t="s">
        <v>2754</v>
      </c>
      <c r="BD226" t="s">
        <v>2466</v>
      </c>
      <c r="BE226" t="s">
        <v>2463</v>
      </c>
      <c r="BG226">
        <v>0</v>
      </c>
      <c r="BH226">
        <v>0</v>
      </c>
      <c r="BJ226">
        <v>0</v>
      </c>
    </row>
    <row r="227" spans="1:62" x14ac:dyDescent="0.2">
      <c r="A227" t="s">
        <v>2462</v>
      </c>
      <c r="B227" t="s">
        <v>2462</v>
      </c>
      <c r="C227">
        <v>15060236</v>
      </c>
      <c r="D227" t="s">
        <v>2727</v>
      </c>
      <c r="E227" t="s">
        <v>2439</v>
      </c>
      <c r="F227" t="s">
        <v>2804</v>
      </c>
      <c r="G227" t="s">
        <v>2805</v>
      </c>
      <c r="H227" s="23">
        <v>0.70833333333333337</v>
      </c>
      <c r="I227" t="s">
        <v>2696</v>
      </c>
      <c r="J227" t="s">
        <v>2463</v>
      </c>
      <c r="K227" t="s">
        <v>2464</v>
      </c>
      <c r="L227" t="s">
        <v>2462</v>
      </c>
      <c r="M227" t="s">
        <v>2465</v>
      </c>
      <c r="N227" s="6">
        <v>45995</v>
      </c>
      <c r="O227" t="s">
        <v>2459</v>
      </c>
      <c r="P227" t="s">
        <v>2445</v>
      </c>
      <c r="Q227" s="23">
        <v>0.3321527777777778</v>
      </c>
      <c r="R227" s="23">
        <v>0.68964120370370374</v>
      </c>
      <c r="S227">
        <v>23</v>
      </c>
      <c r="T227" t="s">
        <v>2443</v>
      </c>
      <c r="U227" t="s">
        <v>2728</v>
      </c>
      <c r="V227">
        <v>8.08</v>
      </c>
      <c r="W227">
        <v>8</v>
      </c>
      <c r="X227">
        <v>0.08</v>
      </c>
      <c r="Y227" t="s">
        <v>2689</v>
      </c>
      <c r="Z227" t="s">
        <v>2689</v>
      </c>
      <c r="AA227" t="s">
        <v>2689</v>
      </c>
      <c r="AC227" t="s">
        <v>2689</v>
      </c>
      <c r="AD227" t="s">
        <v>2689</v>
      </c>
      <c r="AE227" t="s">
        <v>2689</v>
      </c>
      <c r="AF227" t="s">
        <v>2689</v>
      </c>
      <c r="AH227">
        <v>184</v>
      </c>
      <c r="AI227">
        <v>2.76</v>
      </c>
      <c r="AJ227" t="s">
        <v>2690</v>
      </c>
      <c r="AK227" t="s">
        <v>2690</v>
      </c>
      <c r="AL227" t="s">
        <v>2690</v>
      </c>
      <c r="AP227">
        <v>186.76</v>
      </c>
      <c r="AR227" s="23">
        <v>0.3321527777777778</v>
      </c>
      <c r="AS227" s="23">
        <v>0.68964120370370374</v>
      </c>
      <c r="AT227" s="23">
        <v>0.33333333333333331</v>
      </c>
      <c r="AU227" s="23">
        <v>0.6875</v>
      </c>
      <c r="AV227" t="s">
        <v>2565</v>
      </c>
      <c r="AX227">
        <v>100</v>
      </c>
      <c r="AY227">
        <v>0.5</v>
      </c>
      <c r="AZ227" t="s">
        <v>3003</v>
      </c>
      <c r="BA227" t="s">
        <v>2754</v>
      </c>
      <c r="BD227" t="s">
        <v>2466</v>
      </c>
      <c r="BE227" t="s">
        <v>2463</v>
      </c>
      <c r="BG227">
        <v>0</v>
      </c>
      <c r="BH227">
        <v>0</v>
      </c>
      <c r="BJ227">
        <v>0</v>
      </c>
    </row>
    <row r="228" spans="1:62" x14ac:dyDescent="0.2">
      <c r="A228" t="s">
        <v>2462</v>
      </c>
      <c r="B228" t="s">
        <v>2462</v>
      </c>
      <c r="C228">
        <v>15060236</v>
      </c>
      <c r="D228" t="s">
        <v>2727</v>
      </c>
      <c r="E228" t="s">
        <v>2439</v>
      </c>
      <c r="F228" t="s">
        <v>2452</v>
      </c>
      <c r="G228" t="s">
        <v>2453</v>
      </c>
      <c r="H228" s="23">
        <v>0.33333333333333331</v>
      </c>
      <c r="I228" t="s">
        <v>2688</v>
      </c>
      <c r="J228" t="s">
        <v>2463</v>
      </c>
      <c r="K228" t="s">
        <v>2464</v>
      </c>
      <c r="L228" t="s">
        <v>2462</v>
      </c>
      <c r="M228" t="s">
        <v>2465</v>
      </c>
      <c r="N228" s="6">
        <v>45996</v>
      </c>
      <c r="O228" t="s">
        <v>2449</v>
      </c>
      <c r="P228" t="s">
        <v>2445</v>
      </c>
      <c r="Q228" s="23">
        <v>0.42010416666666667</v>
      </c>
      <c r="R228" s="23">
        <v>0.74375000000000002</v>
      </c>
      <c r="S228">
        <v>23</v>
      </c>
      <c r="T228" t="s">
        <v>2443</v>
      </c>
      <c r="U228" t="s">
        <v>2728</v>
      </c>
      <c r="V228">
        <v>7.27</v>
      </c>
      <c r="W228">
        <v>7.27</v>
      </c>
      <c r="X228" t="s">
        <v>2689</v>
      </c>
      <c r="Y228" t="s">
        <v>2689</v>
      </c>
      <c r="Z228" t="s">
        <v>2689</v>
      </c>
      <c r="AA228" t="s">
        <v>2689</v>
      </c>
      <c r="AC228" t="s">
        <v>2689</v>
      </c>
      <c r="AD228" t="s">
        <v>2689</v>
      </c>
      <c r="AE228" t="s">
        <v>2689</v>
      </c>
      <c r="AF228" t="s">
        <v>2689</v>
      </c>
      <c r="AH228">
        <v>167.21</v>
      </c>
      <c r="AI228" t="s">
        <v>2690</v>
      </c>
      <c r="AJ228" t="s">
        <v>2690</v>
      </c>
      <c r="AK228" t="s">
        <v>2690</v>
      </c>
      <c r="AL228" t="s">
        <v>2690</v>
      </c>
      <c r="AP228">
        <v>167.21</v>
      </c>
      <c r="AR228" s="23">
        <v>0.42010416666666667</v>
      </c>
      <c r="AS228" s="23">
        <v>0.74375000000000002</v>
      </c>
      <c r="AT228" s="23">
        <v>0.41666666666666669</v>
      </c>
      <c r="AU228" s="23">
        <v>0.66666666666666663</v>
      </c>
      <c r="AV228" t="s">
        <v>2565</v>
      </c>
      <c r="AX228">
        <v>100</v>
      </c>
      <c r="AY228">
        <v>0.5</v>
      </c>
      <c r="AZ228" t="s">
        <v>3004</v>
      </c>
      <c r="BA228" t="s">
        <v>2754</v>
      </c>
      <c r="BD228" t="s">
        <v>2466</v>
      </c>
      <c r="BE228" t="s">
        <v>2463</v>
      </c>
      <c r="BG228">
        <v>0</v>
      </c>
      <c r="BH228">
        <v>0</v>
      </c>
      <c r="BJ228">
        <v>0</v>
      </c>
    </row>
    <row r="229" spans="1:62" x14ac:dyDescent="0.2">
      <c r="A229" t="s">
        <v>2462</v>
      </c>
      <c r="B229" t="s">
        <v>2462</v>
      </c>
      <c r="C229">
        <v>15060236</v>
      </c>
      <c r="D229" t="s">
        <v>2727</v>
      </c>
      <c r="E229" t="s">
        <v>2439</v>
      </c>
      <c r="F229" t="s">
        <v>2786</v>
      </c>
      <c r="G229" t="s">
        <v>2787</v>
      </c>
      <c r="H229" s="23">
        <v>0.66666666666666663</v>
      </c>
      <c r="I229" t="s">
        <v>2696</v>
      </c>
      <c r="J229" t="s">
        <v>2463</v>
      </c>
      <c r="K229" t="s">
        <v>2464</v>
      </c>
      <c r="L229" t="s">
        <v>2462</v>
      </c>
      <c r="M229" t="s">
        <v>2465</v>
      </c>
      <c r="N229" s="6">
        <v>45999</v>
      </c>
      <c r="O229" t="s">
        <v>2455</v>
      </c>
      <c r="P229" t="s">
        <v>2445</v>
      </c>
      <c r="Q229" s="23">
        <v>0.33284722222222224</v>
      </c>
      <c r="R229" s="23">
        <v>0.66666666666666663</v>
      </c>
      <c r="S229">
        <v>23</v>
      </c>
      <c r="T229" t="s">
        <v>2443</v>
      </c>
      <c r="U229" t="s">
        <v>2728</v>
      </c>
      <c r="V229">
        <v>7.51</v>
      </c>
      <c r="W229">
        <v>7.51</v>
      </c>
      <c r="X229" t="s">
        <v>2689</v>
      </c>
      <c r="Y229" t="s">
        <v>2689</v>
      </c>
      <c r="Z229" t="s">
        <v>2689</v>
      </c>
      <c r="AA229" t="s">
        <v>2689</v>
      </c>
      <c r="AC229" t="s">
        <v>2689</v>
      </c>
      <c r="AD229" t="s">
        <v>2689</v>
      </c>
      <c r="AE229" t="s">
        <v>2689</v>
      </c>
      <c r="AF229" t="s">
        <v>2689</v>
      </c>
      <c r="AH229">
        <v>172.73</v>
      </c>
      <c r="AI229" t="s">
        <v>2690</v>
      </c>
      <c r="AJ229" t="s">
        <v>2690</v>
      </c>
      <c r="AK229" t="s">
        <v>2690</v>
      </c>
      <c r="AL229" t="s">
        <v>2690</v>
      </c>
      <c r="AP229">
        <v>172.73</v>
      </c>
      <c r="AR229" s="23">
        <v>0.33284722222222224</v>
      </c>
      <c r="AT229" s="23">
        <v>0.33333333333333331</v>
      </c>
      <c r="AU229" s="23">
        <v>0.66666666666666663</v>
      </c>
      <c r="AV229" t="s">
        <v>2565</v>
      </c>
      <c r="AX229">
        <v>100</v>
      </c>
      <c r="AY229">
        <v>0.5</v>
      </c>
      <c r="AZ229" t="s">
        <v>3005</v>
      </c>
      <c r="BA229" t="s">
        <v>2861</v>
      </c>
      <c r="BD229" t="s">
        <v>2466</v>
      </c>
      <c r="BE229" t="s">
        <v>2463</v>
      </c>
      <c r="BF229" t="s">
        <v>2456</v>
      </c>
      <c r="BG229">
        <v>0</v>
      </c>
      <c r="BH229">
        <v>0</v>
      </c>
      <c r="BJ229">
        <v>0</v>
      </c>
    </row>
    <row r="230" spans="1:62" x14ac:dyDescent="0.2">
      <c r="A230" t="s">
        <v>2462</v>
      </c>
      <c r="B230" t="s">
        <v>2462</v>
      </c>
      <c r="C230">
        <v>15060236</v>
      </c>
      <c r="D230" t="s">
        <v>2727</v>
      </c>
      <c r="E230" t="s">
        <v>2439</v>
      </c>
      <c r="F230" t="s">
        <v>2789</v>
      </c>
      <c r="G230" t="s">
        <v>2790</v>
      </c>
      <c r="H230" s="23">
        <v>0.375</v>
      </c>
      <c r="I230" t="s">
        <v>2696</v>
      </c>
      <c r="J230" t="s">
        <v>2463</v>
      </c>
      <c r="K230" t="s">
        <v>2464</v>
      </c>
      <c r="L230" t="s">
        <v>2462</v>
      </c>
      <c r="M230" t="s">
        <v>2465</v>
      </c>
      <c r="N230" s="6">
        <v>46000</v>
      </c>
      <c r="O230" t="s">
        <v>2457</v>
      </c>
      <c r="P230" t="s">
        <v>2445</v>
      </c>
      <c r="Q230" s="23">
        <v>0.24246527777777777</v>
      </c>
      <c r="R230" s="23">
        <v>0.59931712962962957</v>
      </c>
      <c r="S230">
        <v>23</v>
      </c>
      <c r="T230" t="s">
        <v>2443</v>
      </c>
      <c r="U230" t="s">
        <v>2728</v>
      </c>
      <c r="V230">
        <v>8.06</v>
      </c>
      <c r="W230">
        <v>8</v>
      </c>
      <c r="X230">
        <v>0.06</v>
      </c>
      <c r="Y230" t="s">
        <v>2689</v>
      </c>
      <c r="Z230" t="s">
        <v>2689</v>
      </c>
      <c r="AA230" t="s">
        <v>2689</v>
      </c>
      <c r="AC230" t="s">
        <v>2689</v>
      </c>
      <c r="AD230" t="s">
        <v>2689</v>
      </c>
      <c r="AE230" t="s">
        <v>2689</v>
      </c>
      <c r="AF230" t="s">
        <v>2689</v>
      </c>
      <c r="AH230">
        <v>184</v>
      </c>
      <c r="AI230">
        <v>2.0699999999999998</v>
      </c>
      <c r="AJ230" t="s">
        <v>2690</v>
      </c>
      <c r="AK230" t="s">
        <v>2690</v>
      </c>
      <c r="AL230" t="s">
        <v>2690</v>
      </c>
      <c r="AP230">
        <v>186.07</v>
      </c>
      <c r="AR230" s="23">
        <v>0.24246527777777777</v>
      </c>
      <c r="AS230" s="23">
        <v>0.59931712962962957</v>
      </c>
      <c r="AT230" s="23">
        <v>0.23958333333333334</v>
      </c>
      <c r="AU230" s="23">
        <v>0.58333333333333337</v>
      </c>
      <c r="AV230" t="s">
        <v>2565</v>
      </c>
      <c r="AX230">
        <v>100</v>
      </c>
      <c r="AY230">
        <v>0.5</v>
      </c>
      <c r="AZ230" t="s">
        <v>3006</v>
      </c>
      <c r="BA230" t="s">
        <v>2757</v>
      </c>
      <c r="BD230" t="s">
        <v>2466</v>
      </c>
      <c r="BE230" t="s">
        <v>2463</v>
      </c>
      <c r="BG230">
        <v>0</v>
      </c>
      <c r="BH230">
        <v>0</v>
      </c>
      <c r="BJ230">
        <v>0</v>
      </c>
    </row>
    <row r="231" spans="1:62" x14ac:dyDescent="0.2">
      <c r="A231" t="s">
        <v>2462</v>
      </c>
      <c r="B231" t="s">
        <v>2462</v>
      </c>
      <c r="C231">
        <v>15060236</v>
      </c>
      <c r="D231" t="s">
        <v>2727</v>
      </c>
      <c r="E231" t="s">
        <v>2439</v>
      </c>
      <c r="F231" t="s">
        <v>2452</v>
      </c>
      <c r="G231" t="s">
        <v>2453</v>
      </c>
      <c r="H231" s="23">
        <v>0.33333333333333331</v>
      </c>
      <c r="I231" t="s">
        <v>2688</v>
      </c>
      <c r="J231" t="s">
        <v>2463</v>
      </c>
      <c r="K231" t="s">
        <v>2464</v>
      </c>
      <c r="L231" t="s">
        <v>2462</v>
      </c>
      <c r="M231" t="s">
        <v>2465</v>
      </c>
      <c r="N231" s="6">
        <v>46001</v>
      </c>
      <c r="O231" t="s">
        <v>2458</v>
      </c>
      <c r="P231" t="s">
        <v>2445</v>
      </c>
      <c r="Q231" s="23">
        <v>0.33126157407407408</v>
      </c>
      <c r="R231" s="23">
        <v>0.66400462962962958</v>
      </c>
      <c r="S231">
        <v>23</v>
      </c>
      <c r="T231" t="s">
        <v>2443</v>
      </c>
      <c r="U231" t="s">
        <v>2728</v>
      </c>
      <c r="V231">
        <v>7.49</v>
      </c>
      <c r="W231">
        <v>7.49</v>
      </c>
      <c r="X231" t="s">
        <v>2689</v>
      </c>
      <c r="Y231" t="s">
        <v>2689</v>
      </c>
      <c r="Z231" t="s">
        <v>2689</v>
      </c>
      <c r="AA231" t="s">
        <v>2689</v>
      </c>
      <c r="AC231" t="s">
        <v>2689</v>
      </c>
      <c r="AD231" t="s">
        <v>2689</v>
      </c>
      <c r="AE231" t="s">
        <v>2689</v>
      </c>
      <c r="AF231" t="s">
        <v>2689</v>
      </c>
      <c r="AH231">
        <v>172.27</v>
      </c>
      <c r="AI231" t="s">
        <v>2690</v>
      </c>
      <c r="AJ231" t="s">
        <v>2690</v>
      </c>
      <c r="AK231" t="s">
        <v>2690</v>
      </c>
      <c r="AL231" t="s">
        <v>2690</v>
      </c>
      <c r="AP231">
        <v>172.27</v>
      </c>
      <c r="AR231" s="23">
        <v>0.33126157407407408</v>
      </c>
      <c r="AS231" s="23">
        <v>0.66400462962962958</v>
      </c>
      <c r="AT231" s="23">
        <v>0.33333333333333331</v>
      </c>
      <c r="AU231" s="23">
        <v>0.66666666666666663</v>
      </c>
      <c r="AV231" t="s">
        <v>2565</v>
      </c>
      <c r="AX231">
        <v>100</v>
      </c>
      <c r="AY231">
        <v>0.5</v>
      </c>
      <c r="AZ231" t="s">
        <v>3007</v>
      </c>
      <c r="BA231" t="s">
        <v>2759</v>
      </c>
      <c r="BD231" t="s">
        <v>2466</v>
      </c>
      <c r="BE231" t="s">
        <v>2463</v>
      </c>
      <c r="BG231">
        <v>0</v>
      </c>
      <c r="BH231">
        <v>0</v>
      </c>
      <c r="BJ231">
        <v>0</v>
      </c>
    </row>
    <row r="232" spans="1:62" x14ac:dyDescent="0.2">
      <c r="A232" t="s">
        <v>2462</v>
      </c>
      <c r="B232" t="s">
        <v>2462</v>
      </c>
      <c r="C232">
        <v>15060236</v>
      </c>
      <c r="D232" t="s">
        <v>2727</v>
      </c>
      <c r="E232" t="s">
        <v>2439</v>
      </c>
      <c r="F232" t="s">
        <v>2791</v>
      </c>
      <c r="G232" t="s">
        <v>2792</v>
      </c>
      <c r="H232" s="23">
        <v>0.79166666666666663</v>
      </c>
      <c r="I232" t="s">
        <v>2696</v>
      </c>
      <c r="J232" t="s">
        <v>2463</v>
      </c>
      <c r="K232" t="s">
        <v>2464</v>
      </c>
      <c r="L232" t="s">
        <v>2462</v>
      </c>
      <c r="M232" t="s">
        <v>2465</v>
      </c>
      <c r="N232" s="6">
        <v>46002</v>
      </c>
      <c r="O232" t="s">
        <v>2459</v>
      </c>
      <c r="P232" t="s">
        <v>2445</v>
      </c>
      <c r="Q232" s="23">
        <v>0.33171296296296299</v>
      </c>
      <c r="R232" s="23">
        <v>0.68914351851851852</v>
      </c>
      <c r="S232">
        <v>23</v>
      </c>
      <c r="T232" t="s">
        <v>2443</v>
      </c>
      <c r="U232" t="s">
        <v>2728</v>
      </c>
      <c r="V232">
        <v>8.08</v>
      </c>
      <c r="W232">
        <v>8</v>
      </c>
      <c r="X232">
        <v>0.08</v>
      </c>
      <c r="Y232" t="s">
        <v>2689</v>
      </c>
      <c r="Z232" t="s">
        <v>2689</v>
      </c>
      <c r="AA232" t="s">
        <v>2689</v>
      </c>
      <c r="AC232" t="s">
        <v>2689</v>
      </c>
      <c r="AD232" t="s">
        <v>2689</v>
      </c>
      <c r="AE232" t="s">
        <v>2689</v>
      </c>
      <c r="AF232" t="s">
        <v>2689</v>
      </c>
      <c r="AH232">
        <v>184</v>
      </c>
      <c r="AI232">
        <v>2.76</v>
      </c>
      <c r="AJ232" t="s">
        <v>2690</v>
      </c>
      <c r="AK232" t="s">
        <v>2690</v>
      </c>
      <c r="AL232" t="s">
        <v>2690</v>
      </c>
      <c r="AP232">
        <v>186.76</v>
      </c>
      <c r="AR232" s="23">
        <v>0.33171296296296299</v>
      </c>
      <c r="AS232" s="23">
        <v>0.68914351851851852</v>
      </c>
      <c r="AT232" s="23">
        <v>0.33333333333333331</v>
      </c>
      <c r="AU232" s="23">
        <v>0.66666666666666663</v>
      </c>
      <c r="AV232" t="s">
        <v>2565</v>
      </c>
      <c r="AX232">
        <v>100</v>
      </c>
      <c r="AY232">
        <v>0.5</v>
      </c>
      <c r="AZ232" t="s">
        <v>3008</v>
      </c>
      <c r="BA232" t="s">
        <v>2759</v>
      </c>
      <c r="BD232" t="s">
        <v>2466</v>
      </c>
      <c r="BE232" t="s">
        <v>2463</v>
      </c>
      <c r="BG232">
        <v>0</v>
      </c>
      <c r="BH232">
        <v>0</v>
      </c>
      <c r="BJ232">
        <v>0</v>
      </c>
    </row>
    <row r="233" spans="1:62" x14ac:dyDescent="0.2">
      <c r="A233" t="s">
        <v>2462</v>
      </c>
      <c r="B233" t="s">
        <v>2462</v>
      </c>
      <c r="C233">
        <v>15060236</v>
      </c>
      <c r="D233" t="s">
        <v>2727</v>
      </c>
      <c r="E233" t="s">
        <v>2439</v>
      </c>
      <c r="F233" t="s">
        <v>2794</v>
      </c>
      <c r="G233" t="s">
        <v>2795</v>
      </c>
      <c r="H233" s="23">
        <v>0.79166666666666663</v>
      </c>
      <c r="I233" t="s">
        <v>2696</v>
      </c>
      <c r="J233" t="s">
        <v>2463</v>
      </c>
      <c r="K233" t="s">
        <v>2464</v>
      </c>
      <c r="L233" t="s">
        <v>2462</v>
      </c>
      <c r="M233" t="s">
        <v>2465</v>
      </c>
      <c r="N233" s="6">
        <v>46003</v>
      </c>
      <c r="O233" t="s">
        <v>2449</v>
      </c>
      <c r="P233" t="s">
        <v>2445</v>
      </c>
      <c r="Q233" s="23">
        <v>0.33484953703703701</v>
      </c>
      <c r="R233" s="23">
        <v>0.66515046296296299</v>
      </c>
      <c r="S233">
        <v>23</v>
      </c>
      <c r="T233" t="s">
        <v>2443</v>
      </c>
      <c r="U233" t="s">
        <v>2728</v>
      </c>
      <c r="V233">
        <v>7.43</v>
      </c>
      <c r="W233">
        <v>7.43</v>
      </c>
      <c r="X233" t="s">
        <v>2689</v>
      </c>
      <c r="Y233" t="s">
        <v>2689</v>
      </c>
      <c r="Z233" t="s">
        <v>2689</v>
      </c>
      <c r="AA233" t="s">
        <v>2689</v>
      </c>
      <c r="AC233" t="s">
        <v>2689</v>
      </c>
      <c r="AD233" t="s">
        <v>2689</v>
      </c>
      <c r="AE233" t="s">
        <v>2689</v>
      </c>
      <c r="AF233" t="s">
        <v>2689</v>
      </c>
      <c r="AH233">
        <v>170.89</v>
      </c>
      <c r="AI233" t="s">
        <v>2690</v>
      </c>
      <c r="AJ233" t="s">
        <v>2690</v>
      </c>
      <c r="AK233" t="s">
        <v>2690</v>
      </c>
      <c r="AL233" t="s">
        <v>2690</v>
      </c>
      <c r="AP233">
        <v>170.89</v>
      </c>
      <c r="AR233" s="23">
        <v>0.33484953703703701</v>
      </c>
      <c r="AS233" s="23">
        <v>0.66515046296296299</v>
      </c>
      <c r="AT233" s="23">
        <v>0.33333333333333331</v>
      </c>
      <c r="AU233" s="23">
        <v>0.70833333333333337</v>
      </c>
      <c r="AV233" t="s">
        <v>2565</v>
      </c>
      <c r="AX233">
        <v>100</v>
      </c>
      <c r="AY233">
        <v>0.5</v>
      </c>
      <c r="AZ233" t="s">
        <v>3009</v>
      </c>
      <c r="BA233" t="s">
        <v>2798</v>
      </c>
      <c r="BD233" t="s">
        <v>2466</v>
      </c>
      <c r="BE233" t="s">
        <v>2463</v>
      </c>
      <c r="BG233">
        <v>0</v>
      </c>
      <c r="BH233">
        <v>0</v>
      </c>
      <c r="BJ233">
        <v>0</v>
      </c>
    </row>
    <row r="234" spans="1:62" x14ac:dyDescent="0.2">
      <c r="A234" t="s">
        <v>2462</v>
      </c>
      <c r="B234" t="s">
        <v>2462</v>
      </c>
      <c r="C234">
        <v>15060236</v>
      </c>
      <c r="D234" t="s">
        <v>2727</v>
      </c>
      <c r="E234" t="s">
        <v>2439</v>
      </c>
      <c r="F234" t="s">
        <v>2814</v>
      </c>
      <c r="G234" t="s">
        <v>2815</v>
      </c>
      <c r="H234" s="23">
        <v>0.47916666666666669</v>
      </c>
      <c r="I234" t="s">
        <v>2696</v>
      </c>
      <c r="J234" t="s">
        <v>2463</v>
      </c>
      <c r="K234" t="s">
        <v>2464</v>
      </c>
      <c r="L234" t="s">
        <v>2462</v>
      </c>
      <c r="M234" t="s">
        <v>2465</v>
      </c>
      <c r="N234" s="6">
        <v>46006</v>
      </c>
      <c r="O234" t="s">
        <v>2455</v>
      </c>
      <c r="P234" t="s">
        <v>2445</v>
      </c>
      <c r="Q234" s="23">
        <v>0.24785879629629629</v>
      </c>
      <c r="R234" s="23">
        <v>0.60561342592592593</v>
      </c>
      <c r="S234">
        <v>23</v>
      </c>
      <c r="T234" t="s">
        <v>2443</v>
      </c>
      <c r="U234" t="s">
        <v>2728</v>
      </c>
      <c r="V234">
        <v>8.09</v>
      </c>
      <c r="W234">
        <v>8</v>
      </c>
      <c r="X234">
        <v>0.09</v>
      </c>
      <c r="Y234" t="s">
        <v>2689</v>
      </c>
      <c r="Z234" t="s">
        <v>2689</v>
      </c>
      <c r="AA234" t="s">
        <v>2689</v>
      </c>
      <c r="AC234" t="s">
        <v>2689</v>
      </c>
      <c r="AD234" t="s">
        <v>2689</v>
      </c>
      <c r="AE234" t="s">
        <v>2689</v>
      </c>
      <c r="AF234" t="s">
        <v>2689</v>
      </c>
      <c r="AH234">
        <v>184</v>
      </c>
      <c r="AI234">
        <v>3.11</v>
      </c>
      <c r="AJ234" t="s">
        <v>2690</v>
      </c>
      <c r="AK234" t="s">
        <v>2690</v>
      </c>
      <c r="AL234" t="s">
        <v>2690</v>
      </c>
      <c r="AP234">
        <v>187.11</v>
      </c>
      <c r="AR234" s="23">
        <v>0.24785879629629629</v>
      </c>
      <c r="AS234" s="23">
        <v>0.60561342592592593</v>
      </c>
      <c r="AT234" s="23">
        <v>0.25</v>
      </c>
      <c r="AU234" s="23">
        <v>0.58333333333333337</v>
      </c>
      <c r="AV234" t="s">
        <v>2565</v>
      </c>
      <c r="AX234">
        <v>100</v>
      </c>
      <c r="AY234">
        <v>0.5</v>
      </c>
      <c r="AZ234" t="s">
        <v>3010</v>
      </c>
      <c r="BA234" t="s">
        <v>2769</v>
      </c>
      <c r="BD234" t="s">
        <v>2466</v>
      </c>
      <c r="BE234" t="s">
        <v>2463</v>
      </c>
      <c r="BG234">
        <v>0</v>
      </c>
      <c r="BH234">
        <v>0</v>
      </c>
      <c r="BJ234">
        <v>0</v>
      </c>
    </row>
    <row r="235" spans="1:62" x14ac:dyDescent="0.2">
      <c r="A235" t="s">
        <v>2462</v>
      </c>
      <c r="B235" t="s">
        <v>2462</v>
      </c>
      <c r="C235">
        <v>15060236</v>
      </c>
      <c r="D235" t="s">
        <v>2727</v>
      </c>
      <c r="E235" t="s">
        <v>2439</v>
      </c>
      <c r="F235" t="s">
        <v>2452</v>
      </c>
      <c r="G235" t="s">
        <v>2453</v>
      </c>
      <c r="H235" s="23">
        <v>0.33333333333333331</v>
      </c>
      <c r="I235" t="s">
        <v>2688</v>
      </c>
      <c r="J235" t="s">
        <v>2463</v>
      </c>
      <c r="K235" t="s">
        <v>2464</v>
      </c>
      <c r="L235" t="s">
        <v>2462</v>
      </c>
      <c r="M235" t="s">
        <v>2465</v>
      </c>
      <c r="N235" s="6">
        <v>46007</v>
      </c>
      <c r="O235" t="s">
        <v>2457</v>
      </c>
      <c r="P235" t="s">
        <v>2445</v>
      </c>
      <c r="Q235" s="23">
        <v>0.33372685185185186</v>
      </c>
      <c r="R235" s="23">
        <v>0.68983796296296296</v>
      </c>
      <c r="S235">
        <v>23</v>
      </c>
      <c r="T235" t="s">
        <v>2443</v>
      </c>
      <c r="U235" t="s">
        <v>2728</v>
      </c>
      <c r="V235">
        <v>8.0500000000000007</v>
      </c>
      <c r="W235">
        <v>8</v>
      </c>
      <c r="X235">
        <v>0.05</v>
      </c>
      <c r="Y235" t="s">
        <v>2689</v>
      </c>
      <c r="Z235" t="s">
        <v>2689</v>
      </c>
      <c r="AA235" t="s">
        <v>2689</v>
      </c>
      <c r="AC235" t="s">
        <v>2689</v>
      </c>
      <c r="AD235" t="s">
        <v>2689</v>
      </c>
      <c r="AE235" t="s">
        <v>2689</v>
      </c>
      <c r="AF235" t="s">
        <v>2689</v>
      </c>
      <c r="AH235">
        <v>184</v>
      </c>
      <c r="AI235">
        <v>1.73</v>
      </c>
      <c r="AJ235" t="s">
        <v>2690</v>
      </c>
      <c r="AK235" t="s">
        <v>2690</v>
      </c>
      <c r="AL235" t="s">
        <v>2690</v>
      </c>
      <c r="AP235">
        <v>185.73</v>
      </c>
      <c r="AR235" s="23">
        <v>0.33372685185185186</v>
      </c>
      <c r="AS235" s="23">
        <v>0.68983796296296296</v>
      </c>
      <c r="AT235" s="23">
        <v>0.33333333333333331</v>
      </c>
      <c r="AU235" s="23">
        <v>0.70833333333333337</v>
      </c>
      <c r="AV235" t="s">
        <v>2565</v>
      </c>
      <c r="AX235">
        <v>100</v>
      </c>
      <c r="AY235">
        <v>0.5</v>
      </c>
      <c r="AZ235" t="s">
        <v>3011</v>
      </c>
      <c r="BA235" t="s">
        <v>2761</v>
      </c>
      <c r="BD235" t="s">
        <v>2466</v>
      </c>
      <c r="BE235" t="s">
        <v>2463</v>
      </c>
      <c r="BG235">
        <v>0</v>
      </c>
      <c r="BH235">
        <v>0</v>
      </c>
      <c r="BJ235">
        <v>0</v>
      </c>
    </row>
    <row r="236" spans="1:62" x14ac:dyDescent="0.2">
      <c r="A236" t="s">
        <v>2462</v>
      </c>
      <c r="B236" t="s">
        <v>2462</v>
      </c>
      <c r="C236">
        <v>15060236</v>
      </c>
      <c r="D236" t="s">
        <v>2727</v>
      </c>
      <c r="E236" t="s">
        <v>2439</v>
      </c>
      <c r="F236" t="s">
        <v>2452</v>
      </c>
      <c r="G236" t="s">
        <v>2453</v>
      </c>
      <c r="H236" s="23">
        <v>0.33333333333333331</v>
      </c>
      <c r="I236" t="s">
        <v>2688</v>
      </c>
      <c r="J236" t="s">
        <v>2463</v>
      </c>
      <c r="K236" t="s">
        <v>2464</v>
      </c>
      <c r="L236" t="s">
        <v>2462</v>
      </c>
      <c r="M236" t="s">
        <v>2465</v>
      </c>
      <c r="N236" s="6">
        <v>46008</v>
      </c>
      <c r="O236" t="s">
        <v>2458</v>
      </c>
      <c r="P236" t="s">
        <v>2445</v>
      </c>
      <c r="Q236" s="23">
        <v>0.32896990740740739</v>
      </c>
      <c r="R236" s="23">
        <v>0.66811342592592593</v>
      </c>
      <c r="S236">
        <v>23</v>
      </c>
      <c r="T236" t="s">
        <v>2443</v>
      </c>
      <c r="U236" t="s">
        <v>2728</v>
      </c>
      <c r="V236">
        <v>7.64</v>
      </c>
      <c r="W236">
        <v>7.64</v>
      </c>
      <c r="X236" t="s">
        <v>2689</v>
      </c>
      <c r="Y236" t="s">
        <v>2689</v>
      </c>
      <c r="Z236" t="s">
        <v>2689</v>
      </c>
      <c r="AA236" t="s">
        <v>2689</v>
      </c>
      <c r="AC236" t="s">
        <v>2689</v>
      </c>
      <c r="AD236" t="s">
        <v>2689</v>
      </c>
      <c r="AE236" t="s">
        <v>2689</v>
      </c>
      <c r="AF236" t="s">
        <v>2689</v>
      </c>
      <c r="AH236">
        <v>175.72</v>
      </c>
      <c r="AI236" t="s">
        <v>2690</v>
      </c>
      <c r="AJ236" t="s">
        <v>2690</v>
      </c>
      <c r="AK236" t="s">
        <v>2690</v>
      </c>
      <c r="AL236" t="s">
        <v>2690</v>
      </c>
      <c r="AP236">
        <v>175.72</v>
      </c>
      <c r="AR236" s="23">
        <v>0.32896990740740739</v>
      </c>
      <c r="AS236" s="23">
        <v>0.66811342592592593</v>
      </c>
      <c r="AT236" s="23">
        <v>0.33333333333333331</v>
      </c>
      <c r="AU236" s="23">
        <v>0.54166666666666663</v>
      </c>
      <c r="AV236" t="s">
        <v>2565</v>
      </c>
      <c r="AX236">
        <v>100</v>
      </c>
      <c r="AY236">
        <v>0.5</v>
      </c>
      <c r="AZ236" t="s">
        <v>3012</v>
      </c>
      <c r="BA236" t="s">
        <v>2771</v>
      </c>
      <c r="BD236" t="s">
        <v>2466</v>
      </c>
      <c r="BE236" t="s">
        <v>2463</v>
      </c>
      <c r="BG236">
        <v>0</v>
      </c>
      <c r="BH236">
        <v>0</v>
      </c>
      <c r="BJ236">
        <v>0</v>
      </c>
    </row>
    <row r="237" spans="1:62" x14ac:dyDescent="0.2">
      <c r="A237" t="s">
        <v>2462</v>
      </c>
      <c r="B237" t="s">
        <v>2462</v>
      </c>
      <c r="C237">
        <v>15060236</v>
      </c>
      <c r="D237" t="s">
        <v>2727</v>
      </c>
      <c r="E237" t="s">
        <v>2439</v>
      </c>
      <c r="F237" t="s">
        <v>2452</v>
      </c>
      <c r="G237" t="s">
        <v>2453</v>
      </c>
      <c r="H237" s="23">
        <v>0.33333333333333331</v>
      </c>
      <c r="I237" t="s">
        <v>2688</v>
      </c>
      <c r="J237" t="s">
        <v>2463</v>
      </c>
      <c r="K237" t="s">
        <v>2464</v>
      </c>
      <c r="L237" t="s">
        <v>2462</v>
      </c>
      <c r="M237" t="s">
        <v>2465</v>
      </c>
      <c r="N237" s="6">
        <v>46009</v>
      </c>
      <c r="O237" t="s">
        <v>2459</v>
      </c>
      <c r="P237" t="s">
        <v>2445</v>
      </c>
      <c r="Q237" s="23">
        <v>0.32847222222222222</v>
      </c>
      <c r="R237" s="23">
        <v>0.67621527777777779</v>
      </c>
      <c r="S237">
        <v>23</v>
      </c>
      <c r="T237" t="s">
        <v>2443</v>
      </c>
      <c r="U237" t="s">
        <v>2728</v>
      </c>
      <c r="V237">
        <v>7.85</v>
      </c>
      <c r="W237">
        <v>7.85</v>
      </c>
      <c r="X237" t="s">
        <v>2689</v>
      </c>
      <c r="Y237" t="s">
        <v>2689</v>
      </c>
      <c r="Z237" t="s">
        <v>2689</v>
      </c>
      <c r="AA237" t="s">
        <v>2689</v>
      </c>
      <c r="AC237" t="s">
        <v>2689</v>
      </c>
      <c r="AD237" t="s">
        <v>2689</v>
      </c>
      <c r="AE237" t="s">
        <v>2689</v>
      </c>
      <c r="AF237" t="s">
        <v>2689</v>
      </c>
      <c r="AH237">
        <v>180.55</v>
      </c>
      <c r="AI237" t="s">
        <v>2690</v>
      </c>
      <c r="AJ237" t="s">
        <v>2690</v>
      </c>
      <c r="AK237" t="s">
        <v>2690</v>
      </c>
      <c r="AL237" t="s">
        <v>2690</v>
      </c>
      <c r="AP237">
        <v>180.55</v>
      </c>
      <c r="AR237" s="23">
        <v>0.32847222222222222</v>
      </c>
      <c r="AS237" s="23">
        <v>0.67621527777777779</v>
      </c>
      <c r="AT237" s="23">
        <v>0.33333333333333331</v>
      </c>
      <c r="AU237" s="23">
        <v>0.54166666666666663</v>
      </c>
      <c r="AV237" t="s">
        <v>2565</v>
      </c>
      <c r="AX237">
        <v>100</v>
      </c>
      <c r="AY237">
        <v>0.5</v>
      </c>
      <c r="AZ237" t="s">
        <v>3013</v>
      </c>
      <c r="BA237" t="s">
        <v>2765</v>
      </c>
      <c r="BD237" t="s">
        <v>2466</v>
      </c>
      <c r="BE237" t="s">
        <v>2463</v>
      </c>
      <c r="BG237">
        <v>0</v>
      </c>
      <c r="BH237">
        <v>0</v>
      </c>
      <c r="BJ237">
        <v>0</v>
      </c>
    </row>
    <row r="238" spans="1:62" x14ac:dyDescent="0.2">
      <c r="A238" t="s">
        <v>2462</v>
      </c>
      <c r="B238" t="s">
        <v>2462</v>
      </c>
      <c r="C238">
        <v>15060236</v>
      </c>
      <c r="D238" t="s">
        <v>2727</v>
      </c>
      <c r="E238" t="s">
        <v>2439</v>
      </c>
      <c r="F238" t="s">
        <v>2452</v>
      </c>
      <c r="G238" t="s">
        <v>2453</v>
      </c>
      <c r="H238" s="23">
        <v>0.33333333333333331</v>
      </c>
      <c r="I238" t="s">
        <v>2688</v>
      </c>
      <c r="J238" t="s">
        <v>2463</v>
      </c>
      <c r="K238" t="s">
        <v>2464</v>
      </c>
      <c r="L238" t="s">
        <v>2462</v>
      </c>
      <c r="M238" t="s">
        <v>2465</v>
      </c>
      <c r="N238" s="6">
        <v>46010</v>
      </c>
      <c r="O238" t="s">
        <v>2449</v>
      </c>
      <c r="P238" t="s">
        <v>2445</v>
      </c>
      <c r="Q238" s="23">
        <v>0.426875</v>
      </c>
      <c r="R238" s="23">
        <v>0.76396990740740744</v>
      </c>
      <c r="S238">
        <v>23</v>
      </c>
      <c r="T238" t="s">
        <v>2443</v>
      </c>
      <c r="U238" t="s">
        <v>2728</v>
      </c>
      <c r="V238">
        <v>7.59</v>
      </c>
      <c r="W238">
        <v>7.59</v>
      </c>
      <c r="X238" t="s">
        <v>2689</v>
      </c>
      <c r="Y238" t="s">
        <v>2689</v>
      </c>
      <c r="Z238" t="s">
        <v>2689</v>
      </c>
      <c r="AA238" t="s">
        <v>2689</v>
      </c>
      <c r="AC238" t="s">
        <v>2689</v>
      </c>
      <c r="AD238" t="s">
        <v>2689</v>
      </c>
      <c r="AE238" t="s">
        <v>2689</v>
      </c>
      <c r="AF238" t="s">
        <v>2689</v>
      </c>
      <c r="AH238">
        <v>174.57</v>
      </c>
      <c r="AI238" t="s">
        <v>2690</v>
      </c>
      <c r="AJ238" t="s">
        <v>2690</v>
      </c>
      <c r="AK238" t="s">
        <v>2690</v>
      </c>
      <c r="AL238" t="s">
        <v>2690</v>
      </c>
      <c r="AP238">
        <v>174.57</v>
      </c>
      <c r="AR238" s="23">
        <v>0.426875</v>
      </c>
      <c r="AS238" s="23">
        <v>0.76396990740740744</v>
      </c>
      <c r="AT238" s="23">
        <v>0.426875</v>
      </c>
      <c r="AU238" t="s">
        <v>2689</v>
      </c>
      <c r="AV238" t="s">
        <v>2565</v>
      </c>
      <c r="AX238">
        <v>100</v>
      </c>
      <c r="AY238">
        <v>0.5</v>
      </c>
      <c r="AZ238" t="s">
        <v>3014</v>
      </c>
      <c r="BA238" t="s">
        <v>2765</v>
      </c>
      <c r="BD238" t="s">
        <v>2466</v>
      </c>
      <c r="BE238" t="s">
        <v>2463</v>
      </c>
      <c r="BG238">
        <v>0</v>
      </c>
      <c r="BH238">
        <v>0</v>
      </c>
      <c r="BJ238">
        <v>0</v>
      </c>
    </row>
    <row r="239" spans="1:62" x14ac:dyDescent="0.2">
      <c r="A239" t="s">
        <v>2462</v>
      </c>
      <c r="B239" t="s">
        <v>2462</v>
      </c>
      <c r="C239">
        <v>100029706</v>
      </c>
      <c r="D239" t="s">
        <v>2729</v>
      </c>
      <c r="E239" t="s">
        <v>2439</v>
      </c>
      <c r="F239" t="s">
        <v>2452</v>
      </c>
      <c r="G239" t="s">
        <v>2453</v>
      </c>
      <c r="H239" s="23">
        <v>0.33333333333333331</v>
      </c>
      <c r="I239" t="s">
        <v>2688</v>
      </c>
      <c r="J239" t="s">
        <v>2568</v>
      </c>
      <c r="K239" t="s">
        <v>3015</v>
      </c>
      <c r="L239" t="s">
        <v>2462</v>
      </c>
      <c r="M239" t="s">
        <v>2570</v>
      </c>
      <c r="N239" s="6">
        <v>46001</v>
      </c>
      <c r="O239" t="s">
        <v>2458</v>
      </c>
      <c r="P239" t="s">
        <v>2445</v>
      </c>
      <c r="Q239" s="23">
        <v>0.33525462962962965</v>
      </c>
      <c r="R239" s="23">
        <v>0.66971064814814818</v>
      </c>
      <c r="S239">
        <v>19.600000000000001</v>
      </c>
      <c r="T239" t="s">
        <v>2443</v>
      </c>
      <c r="U239" t="s">
        <v>2571</v>
      </c>
      <c r="V239">
        <v>7.53</v>
      </c>
      <c r="W239">
        <v>7.53</v>
      </c>
      <c r="X239" t="s">
        <v>2689</v>
      </c>
      <c r="Y239" t="s">
        <v>2689</v>
      </c>
      <c r="Z239" t="s">
        <v>2689</v>
      </c>
      <c r="AA239" t="s">
        <v>2689</v>
      </c>
      <c r="AC239" t="s">
        <v>2689</v>
      </c>
      <c r="AD239" t="s">
        <v>2689</v>
      </c>
      <c r="AE239" t="s">
        <v>2689</v>
      </c>
      <c r="AF239" t="s">
        <v>2689</v>
      </c>
      <c r="AH239">
        <v>147.59</v>
      </c>
      <c r="AI239" t="s">
        <v>2690</v>
      </c>
      <c r="AJ239" t="s">
        <v>2690</v>
      </c>
      <c r="AK239" t="s">
        <v>2690</v>
      </c>
      <c r="AL239" t="s">
        <v>2690</v>
      </c>
      <c r="AP239">
        <v>147.59</v>
      </c>
      <c r="AR239" s="23">
        <v>0.33525462962962965</v>
      </c>
      <c r="AS239" s="23">
        <v>0.66971064814814818</v>
      </c>
      <c r="AT239" s="23">
        <v>0.33333333333333331</v>
      </c>
      <c r="AU239" s="23">
        <v>0.66666666666666663</v>
      </c>
      <c r="AV239" t="s">
        <v>2565</v>
      </c>
      <c r="AX239">
        <v>230</v>
      </c>
      <c r="AY239">
        <v>0.5</v>
      </c>
      <c r="AZ239" t="s">
        <v>3016</v>
      </c>
      <c r="BA239" t="s">
        <v>2759</v>
      </c>
      <c r="BD239" t="s">
        <v>2572</v>
      </c>
      <c r="BE239" t="s">
        <v>3017</v>
      </c>
      <c r="BG239">
        <v>0</v>
      </c>
      <c r="BH239">
        <v>0</v>
      </c>
      <c r="BJ239">
        <v>0</v>
      </c>
    </row>
    <row r="240" spans="1:62" x14ac:dyDescent="0.2">
      <c r="A240" t="s">
        <v>2462</v>
      </c>
      <c r="B240" t="s">
        <v>2462</v>
      </c>
      <c r="C240">
        <v>100029764</v>
      </c>
      <c r="D240" t="s">
        <v>2574</v>
      </c>
      <c r="E240" t="s">
        <v>2439</v>
      </c>
      <c r="F240" t="s">
        <v>2452</v>
      </c>
      <c r="G240" t="s">
        <v>2453</v>
      </c>
      <c r="H240" s="23">
        <v>0.33333333333333331</v>
      </c>
      <c r="I240" t="s">
        <v>2688</v>
      </c>
      <c r="J240" t="s">
        <v>2575</v>
      </c>
      <c r="K240" t="s">
        <v>2592</v>
      </c>
      <c r="L240" t="s">
        <v>2462</v>
      </c>
      <c r="M240" t="s">
        <v>2467</v>
      </c>
      <c r="N240" s="6">
        <v>45992</v>
      </c>
      <c r="O240" t="s">
        <v>2455</v>
      </c>
      <c r="P240" t="s">
        <v>2445</v>
      </c>
      <c r="Q240" s="23">
        <v>0.33226851851851852</v>
      </c>
      <c r="R240" s="23">
        <v>0.66557870370370376</v>
      </c>
      <c r="S240">
        <v>25</v>
      </c>
      <c r="T240" t="s">
        <v>2443</v>
      </c>
      <c r="U240" t="s">
        <v>2577</v>
      </c>
      <c r="V240">
        <v>7.5</v>
      </c>
      <c r="W240">
        <v>7.5</v>
      </c>
      <c r="X240" t="s">
        <v>2689</v>
      </c>
      <c r="Y240" t="s">
        <v>2689</v>
      </c>
      <c r="Z240" t="s">
        <v>2689</v>
      </c>
      <c r="AA240" t="s">
        <v>2689</v>
      </c>
      <c r="AC240" t="s">
        <v>2689</v>
      </c>
      <c r="AD240" t="s">
        <v>2689</v>
      </c>
      <c r="AE240" t="s">
        <v>2689</v>
      </c>
      <c r="AF240" t="s">
        <v>2689</v>
      </c>
      <c r="AH240">
        <v>187.5</v>
      </c>
      <c r="AI240" t="s">
        <v>2690</v>
      </c>
      <c r="AJ240" t="s">
        <v>2690</v>
      </c>
      <c r="AK240" t="s">
        <v>2690</v>
      </c>
      <c r="AL240" t="s">
        <v>2690</v>
      </c>
      <c r="AP240">
        <v>187.5</v>
      </c>
      <c r="AR240" s="23">
        <v>0.33226851851851852</v>
      </c>
      <c r="AS240" s="23">
        <v>0.66557870370370376</v>
      </c>
      <c r="AT240" s="23">
        <v>0.33333333333333331</v>
      </c>
      <c r="AU240" s="23">
        <v>0.6875</v>
      </c>
      <c r="AV240" t="s">
        <v>2565</v>
      </c>
      <c r="AX240">
        <v>100</v>
      </c>
      <c r="AY240">
        <v>0.5</v>
      </c>
      <c r="AZ240" t="s">
        <v>3018</v>
      </c>
      <c r="BA240" t="s">
        <v>2692</v>
      </c>
      <c r="BD240" t="s">
        <v>2578</v>
      </c>
      <c r="BE240" t="s">
        <v>2988</v>
      </c>
      <c r="BG240">
        <v>0</v>
      </c>
      <c r="BH240">
        <v>0</v>
      </c>
      <c r="BJ240">
        <v>0</v>
      </c>
    </row>
    <row r="241" spans="1:62" x14ac:dyDescent="0.2">
      <c r="A241" t="s">
        <v>2462</v>
      </c>
      <c r="B241" t="s">
        <v>2462</v>
      </c>
      <c r="C241">
        <v>100029764</v>
      </c>
      <c r="D241" t="s">
        <v>2574</v>
      </c>
      <c r="E241" t="s">
        <v>2439</v>
      </c>
      <c r="F241" t="s">
        <v>2800</v>
      </c>
      <c r="G241" t="s">
        <v>2801</v>
      </c>
      <c r="H241" s="23">
        <v>0.66666666666666663</v>
      </c>
      <c r="I241" t="s">
        <v>2696</v>
      </c>
      <c r="J241" t="s">
        <v>2575</v>
      </c>
      <c r="K241" t="s">
        <v>2592</v>
      </c>
      <c r="L241" t="s">
        <v>2462</v>
      </c>
      <c r="M241" t="s">
        <v>2467</v>
      </c>
      <c r="N241" s="6">
        <v>45993</v>
      </c>
      <c r="O241" t="s">
        <v>2457</v>
      </c>
      <c r="P241" t="s">
        <v>2445</v>
      </c>
      <c r="Q241" s="23">
        <v>0.33259259259259261</v>
      </c>
      <c r="R241" s="23">
        <v>0.64619212962962957</v>
      </c>
      <c r="S241">
        <v>25</v>
      </c>
      <c r="T241" t="s">
        <v>2443</v>
      </c>
      <c r="U241" t="s">
        <v>2577</v>
      </c>
      <c r="V241">
        <v>7.03</v>
      </c>
      <c r="W241">
        <v>7.03</v>
      </c>
      <c r="X241" t="s">
        <v>2689</v>
      </c>
      <c r="Y241" t="s">
        <v>2689</v>
      </c>
      <c r="Z241" t="s">
        <v>2689</v>
      </c>
      <c r="AA241" t="s">
        <v>2689</v>
      </c>
      <c r="AC241" t="s">
        <v>2689</v>
      </c>
      <c r="AD241" t="s">
        <v>2689</v>
      </c>
      <c r="AE241" t="s">
        <v>2689</v>
      </c>
      <c r="AF241" t="s">
        <v>2689</v>
      </c>
      <c r="AH241">
        <v>175.75</v>
      </c>
      <c r="AI241" t="s">
        <v>2690</v>
      </c>
      <c r="AJ241" t="s">
        <v>2690</v>
      </c>
      <c r="AK241" t="s">
        <v>2690</v>
      </c>
      <c r="AL241" t="s">
        <v>2690</v>
      </c>
      <c r="AP241">
        <v>175.75</v>
      </c>
      <c r="AR241" s="23">
        <v>0.33259259259259261</v>
      </c>
      <c r="AS241" s="23">
        <v>0.64619212962962957</v>
      </c>
      <c r="AT241" s="23">
        <v>0.33333333333333331</v>
      </c>
      <c r="AU241" s="23">
        <v>0.66666666666666663</v>
      </c>
      <c r="AV241" t="s">
        <v>2565</v>
      </c>
      <c r="AX241">
        <v>100</v>
      </c>
      <c r="AY241">
        <v>0.5</v>
      </c>
      <c r="AZ241" t="s">
        <v>3019</v>
      </c>
      <c r="BA241" t="s">
        <v>2752</v>
      </c>
      <c r="BD241" t="s">
        <v>2578</v>
      </c>
      <c r="BE241" t="s">
        <v>2988</v>
      </c>
      <c r="BG241">
        <v>0</v>
      </c>
      <c r="BH241">
        <v>0</v>
      </c>
      <c r="BJ241">
        <v>0</v>
      </c>
    </row>
    <row r="242" spans="1:62" x14ac:dyDescent="0.2">
      <c r="A242" t="s">
        <v>2462</v>
      </c>
      <c r="B242" t="s">
        <v>2462</v>
      </c>
      <c r="C242">
        <v>100029764</v>
      </c>
      <c r="D242" t="s">
        <v>2574</v>
      </c>
      <c r="E242" t="s">
        <v>2439</v>
      </c>
      <c r="F242" t="s">
        <v>2804</v>
      </c>
      <c r="G242" t="s">
        <v>2805</v>
      </c>
      <c r="H242" s="23">
        <v>0.70833333333333337</v>
      </c>
      <c r="I242" t="s">
        <v>2696</v>
      </c>
      <c r="J242" t="s">
        <v>2575</v>
      </c>
      <c r="K242" t="s">
        <v>2580</v>
      </c>
      <c r="L242" t="s">
        <v>2462</v>
      </c>
      <c r="M242" t="s">
        <v>2467</v>
      </c>
      <c r="N242" s="6">
        <v>45995</v>
      </c>
      <c r="O242" t="s">
        <v>2459</v>
      </c>
      <c r="P242" t="s">
        <v>2445</v>
      </c>
      <c r="Q242" s="23">
        <v>0.51869212962962963</v>
      </c>
      <c r="R242" s="23">
        <v>0.81505787037037036</v>
      </c>
      <c r="S242">
        <v>25</v>
      </c>
      <c r="T242" t="s">
        <v>2443</v>
      </c>
      <c r="U242" t="s">
        <v>2577</v>
      </c>
      <c r="V242">
        <v>6.61</v>
      </c>
      <c r="W242">
        <v>6.61</v>
      </c>
      <c r="X242" t="s">
        <v>2689</v>
      </c>
      <c r="Y242" t="s">
        <v>2689</v>
      </c>
      <c r="Z242" t="s">
        <v>2689</v>
      </c>
      <c r="AA242" t="s">
        <v>2689</v>
      </c>
      <c r="AC242" t="s">
        <v>2689</v>
      </c>
      <c r="AD242" t="s">
        <v>2689</v>
      </c>
      <c r="AE242" t="s">
        <v>2689</v>
      </c>
      <c r="AF242" t="s">
        <v>2689</v>
      </c>
      <c r="AH242">
        <v>165.25</v>
      </c>
      <c r="AI242" t="s">
        <v>2690</v>
      </c>
      <c r="AJ242" t="s">
        <v>2690</v>
      </c>
      <c r="AK242" t="s">
        <v>2690</v>
      </c>
      <c r="AL242" t="s">
        <v>2690</v>
      </c>
      <c r="AP242">
        <v>165.25</v>
      </c>
      <c r="AR242" s="23">
        <v>0.51869212962962963</v>
      </c>
      <c r="AS242" s="23">
        <v>0.81505787037037036</v>
      </c>
      <c r="AT242" s="23">
        <v>0.52083333333333337</v>
      </c>
      <c r="AU242" s="23">
        <v>0.85416666666666663</v>
      </c>
      <c r="AV242" t="s">
        <v>2565</v>
      </c>
      <c r="AX242">
        <v>100</v>
      </c>
      <c r="AY242">
        <v>0.5</v>
      </c>
      <c r="AZ242" t="s">
        <v>3020</v>
      </c>
      <c r="BA242" t="s">
        <v>2754</v>
      </c>
      <c r="BD242" t="s">
        <v>2578</v>
      </c>
      <c r="BE242" t="s">
        <v>2988</v>
      </c>
      <c r="BG242">
        <v>0</v>
      </c>
      <c r="BH242">
        <v>0</v>
      </c>
      <c r="BJ242">
        <v>0</v>
      </c>
    </row>
    <row r="243" spans="1:62" x14ac:dyDescent="0.2">
      <c r="A243" t="s">
        <v>2462</v>
      </c>
      <c r="B243" t="s">
        <v>2462</v>
      </c>
      <c r="C243">
        <v>100029764</v>
      </c>
      <c r="D243" t="s">
        <v>2574</v>
      </c>
      <c r="E243" t="s">
        <v>2439</v>
      </c>
      <c r="F243" t="s">
        <v>2452</v>
      </c>
      <c r="G243" t="s">
        <v>2453</v>
      </c>
      <c r="H243" s="23">
        <v>0.33333333333333331</v>
      </c>
      <c r="I243" t="s">
        <v>2688</v>
      </c>
      <c r="J243" t="s">
        <v>2528</v>
      </c>
      <c r="K243" t="s">
        <v>2613</v>
      </c>
      <c r="L243" t="s">
        <v>2462</v>
      </c>
      <c r="M243" t="s">
        <v>2570</v>
      </c>
      <c r="N243" s="6">
        <v>45996</v>
      </c>
      <c r="O243" t="s">
        <v>2449</v>
      </c>
      <c r="P243" t="s">
        <v>2445</v>
      </c>
      <c r="Q243" s="23">
        <v>0.33164351851851853</v>
      </c>
      <c r="R243" s="23">
        <v>0.54378472222222218</v>
      </c>
      <c r="S243">
        <v>25</v>
      </c>
      <c r="T243" t="s">
        <v>2443</v>
      </c>
      <c r="U243" t="s">
        <v>2577</v>
      </c>
      <c r="V243">
        <v>5.09</v>
      </c>
      <c r="W243">
        <v>5.09</v>
      </c>
      <c r="X243" t="s">
        <v>2689</v>
      </c>
      <c r="Y243" t="s">
        <v>2689</v>
      </c>
      <c r="Z243" t="s">
        <v>2689</v>
      </c>
      <c r="AA243" t="s">
        <v>2689</v>
      </c>
      <c r="AC243" t="s">
        <v>2689</v>
      </c>
      <c r="AD243" t="s">
        <v>2689</v>
      </c>
      <c r="AE243" t="s">
        <v>2689</v>
      </c>
      <c r="AF243" t="s">
        <v>2689</v>
      </c>
      <c r="AH243">
        <v>127.25</v>
      </c>
      <c r="AI243" t="s">
        <v>2690</v>
      </c>
      <c r="AJ243" t="s">
        <v>2690</v>
      </c>
      <c r="AK243" t="s">
        <v>2690</v>
      </c>
      <c r="AL243" t="s">
        <v>2690</v>
      </c>
      <c r="AP243">
        <v>127.25</v>
      </c>
      <c r="AR243" s="23">
        <v>0.33164351851851853</v>
      </c>
      <c r="AS243" s="23">
        <v>0.54378472222222218</v>
      </c>
      <c r="AT243" s="23">
        <v>0.33333333333333331</v>
      </c>
      <c r="AU243" s="23">
        <v>0.66666666666666663</v>
      </c>
      <c r="AV243" t="s">
        <v>2565</v>
      </c>
      <c r="AX243">
        <v>230</v>
      </c>
      <c r="BA243" t="s">
        <v>2754</v>
      </c>
      <c r="BD243" t="s">
        <v>2578</v>
      </c>
      <c r="BE243" t="s">
        <v>2988</v>
      </c>
      <c r="BG243">
        <v>0</v>
      </c>
      <c r="BH243">
        <v>0</v>
      </c>
      <c r="BJ243">
        <v>0</v>
      </c>
    </row>
    <row r="244" spans="1:62" x14ac:dyDescent="0.2">
      <c r="A244" t="s">
        <v>2462</v>
      </c>
      <c r="B244" t="s">
        <v>2462</v>
      </c>
      <c r="C244">
        <v>100029764</v>
      </c>
      <c r="D244" t="s">
        <v>2574</v>
      </c>
      <c r="E244" t="s">
        <v>2439</v>
      </c>
      <c r="F244" t="s">
        <v>2452</v>
      </c>
      <c r="G244" t="s">
        <v>2453</v>
      </c>
      <c r="H244" s="23">
        <v>0.33333333333333331</v>
      </c>
      <c r="I244" t="s">
        <v>2688</v>
      </c>
      <c r="J244" t="s">
        <v>2528</v>
      </c>
      <c r="K244" t="s">
        <v>3021</v>
      </c>
      <c r="L244" t="s">
        <v>2462</v>
      </c>
      <c r="M244" t="s">
        <v>2570</v>
      </c>
      <c r="N244" s="6">
        <v>45998</v>
      </c>
      <c r="O244" t="s">
        <v>2461</v>
      </c>
      <c r="P244" t="s">
        <v>2442</v>
      </c>
      <c r="Q244" s="23">
        <v>0.32978009259259261</v>
      </c>
      <c r="R244" s="23">
        <v>0.67107638888888888</v>
      </c>
      <c r="S244">
        <v>25</v>
      </c>
      <c r="T244" t="s">
        <v>2443</v>
      </c>
      <c r="U244" t="s">
        <v>2577</v>
      </c>
      <c r="V244">
        <v>7.69</v>
      </c>
      <c r="W244">
        <v>7.69</v>
      </c>
      <c r="X244" t="s">
        <v>2689</v>
      </c>
      <c r="Y244" t="s">
        <v>2689</v>
      </c>
      <c r="Z244" t="s">
        <v>2689</v>
      </c>
      <c r="AA244" t="s">
        <v>2689</v>
      </c>
      <c r="AC244" t="s">
        <v>2689</v>
      </c>
      <c r="AD244" t="s">
        <v>2689</v>
      </c>
      <c r="AE244" t="s">
        <v>2689</v>
      </c>
      <c r="AF244" t="s">
        <v>2689</v>
      </c>
      <c r="AH244">
        <v>192.25</v>
      </c>
      <c r="AI244" t="s">
        <v>2690</v>
      </c>
      <c r="AJ244" t="s">
        <v>2690</v>
      </c>
      <c r="AK244" t="s">
        <v>2690</v>
      </c>
      <c r="AL244" t="s">
        <v>2690</v>
      </c>
      <c r="AP244">
        <v>192.25</v>
      </c>
      <c r="AR244" s="23">
        <v>0.32978009259259261</v>
      </c>
      <c r="AS244" s="23">
        <v>0.67107638888888888</v>
      </c>
      <c r="AT244" s="23">
        <v>0.33333333333333331</v>
      </c>
      <c r="AU244" s="23">
        <v>0.66666666666666663</v>
      </c>
      <c r="AV244" t="s">
        <v>2565</v>
      </c>
      <c r="AX244">
        <v>230</v>
      </c>
      <c r="AY244">
        <v>0.5</v>
      </c>
      <c r="AZ244" t="s">
        <v>3022</v>
      </c>
      <c r="BA244" t="s">
        <v>2754</v>
      </c>
      <c r="BD244" t="s">
        <v>2578</v>
      </c>
      <c r="BE244" t="s">
        <v>2988</v>
      </c>
      <c r="BG244">
        <v>0</v>
      </c>
      <c r="BH244">
        <v>0</v>
      </c>
      <c r="BJ244">
        <v>0</v>
      </c>
    </row>
    <row r="245" spans="1:62" x14ac:dyDescent="0.2">
      <c r="A245" t="s">
        <v>2462</v>
      </c>
      <c r="B245" t="s">
        <v>2462</v>
      </c>
      <c r="C245">
        <v>100029764</v>
      </c>
      <c r="D245" t="s">
        <v>2574</v>
      </c>
      <c r="E245" t="s">
        <v>2439</v>
      </c>
      <c r="F245" t="s">
        <v>2786</v>
      </c>
      <c r="G245" t="s">
        <v>2787</v>
      </c>
      <c r="H245" s="23">
        <v>0.66666666666666663</v>
      </c>
      <c r="I245" t="s">
        <v>2696</v>
      </c>
      <c r="J245" t="s">
        <v>2528</v>
      </c>
      <c r="K245" t="s">
        <v>3023</v>
      </c>
      <c r="L245" t="s">
        <v>2462</v>
      </c>
      <c r="M245" t="s">
        <v>2570</v>
      </c>
      <c r="N245" s="6">
        <v>45999</v>
      </c>
      <c r="O245" t="s">
        <v>2455</v>
      </c>
      <c r="P245" t="s">
        <v>2445</v>
      </c>
      <c r="Q245" s="23">
        <v>0.51451388888888894</v>
      </c>
      <c r="R245" s="23">
        <v>0.85481481481481481</v>
      </c>
      <c r="S245">
        <v>25</v>
      </c>
      <c r="T245" t="s">
        <v>2443</v>
      </c>
      <c r="U245" t="s">
        <v>2577</v>
      </c>
      <c r="V245">
        <v>7.67</v>
      </c>
      <c r="W245">
        <v>7.67</v>
      </c>
      <c r="X245" t="s">
        <v>2689</v>
      </c>
      <c r="Y245" t="s">
        <v>2689</v>
      </c>
      <c r="Z245" t="s">
        <v>2689</v>
      </c>
      <c r="AA245" t="s">
        <v>2689</v>
      </c>
      <c r="AC245" t="s">
        <v>2689</v>
      </c>
      <c r="AD245" t="s">
        <v>2689</v>
      </c>
      <c r="AE245" t="s">
        <v>2689</v>
      </c>
      <c r="AF245" t="s">
        <v>2689</v>
      </c>
      <c r="AH245">
        <v>191.75</v>
      </c>
      <c r="AI245" t="s">
        <v>2690</v>
      </c>
      <c r="AJ245" t="s">
        <v>2690</v>
      </c>
      <c r="AK245" t="s">
        <v>2690</v>
      </c>
      <c r="AL245" t="s">
        <v>2690</v>
      </c>
      <c r="AP245">
        <v>191.75</v>
      </c>
      <c r="AR245" s="23">
        <v>0.51451388888888894</v>
      </c>
      <c r="AS245" s="23">
        <v>0.85481481481481481</v>
      </c>
      <c r="AT245" s="23">
        <v>0.52083333333333337</v>
      </c>
      <c r="AU245" s="23">
        <v>0.85416666666666663</v>
      </c>
      <c r="AV245" t="s">
        <v>2565</v>
      </c>
      <c r="AX245">
        <v>230</v>
      </c>
      <c r="AY245">
        <v>0.5</v>
      </c>
      <c r="AZ245" t="s">
        <v>3024</v>
      </c>
      <c r="BA245" t="s">
        <v>2861</v>
      </c>
      <c r="BD245" t="s">
        <v>2578</v>
      </c>
      <c r="BE245" t="s">
        <v>2988</v>
      </c>
      <c r="BG245">
        <v>0</v>
      </c>
      <c r="BH245">
        <v>0</v>
      </c>
      <c r="BJ245">
        <v>0</v>
      </c>
    </row>
    <row r="246" spans="1:62" x14ac:dyDescent="0.2">
      <c r="A246" t="s">
        <v>2462</v>
      </c>
      <c r="B246" t="s">
        <v>2462</v>
      </c>
      <c r="C246">
        <v>100029764</v>
      </c>
      <c r="D246" t="s">
        <v>2574</v>
      </c>
      <c r="E246" t="s">
        <v>2439</v>
      </c>
      <c r="F246" t="s">
        <v>2789</v>
      </c>
      <c r="G246" t="s">
        <v>2790</v>
      </c>
      <c r="H246" s="23">
        <v>0.375</v>
      </c>
      <c r="I246" t="s">
        <v>2696</v>
      </c>
      <c r="J246" t="s">
        <v>2528</v>
      </c>
      <c r="K246" t="s">
        <v>2667</v>
      </c>
      <c r="L246" t="s">
        <v>2462</v>
      </c>
      <c r="M246" t="s">
        <v>2570</v>
      </c>
      <c r="N246" s="6">
        <v>46000</v>
      </c>
      <c r="O246" t="s">
        <v>2457</v>
      </c>
      <c r="P246" t="s">
        <v>2445</v>
      </c>
      <c r="Q246" s="23">
        <v>0.24730324074074075</v>
      </c>
      <c r="R246" s="23">
        <v>0.58616898148148144</v>
      </c>
      <c r="S246">
        <v>25</v>
      </c>
      <c r="T246" t="s">
        <v>2443</v>
      </c>
      <c r="U246" t="s">
        <v>2577</v>
      </c>
      <c r="V246">
        <v>7.63</v>
      </c>
      <c r="W246">
        <v>7.63</v>
      </c>
      <c r="X246" t="s">
        <v>2689</v>
      </c>
      <c r="Y246" t="s">
        <v>2689</v>
      </c>
      <c r="Z246" t="s">
        <v>2689</v>
      </c>
      <c r="AA246" t="s">
        <v>2689</v>
      </c>
      <c r="AC246" t="s">
        <v>2689</v>
      </c>
      <c r="AD246" t="s">
        <v>2689</v>
      </c>
      <c r="AE246" t="s">
        <v>2689</v>
      </c>
      <c r="AF246" t="s">
        <v>2689</v>
      </c>
      <c r="AH246">
        <v>190.75</v>
      </c>
      <c r="AI246" t="s">
        <v>2690</v>
      </c>
      <c r="AJ246" t="s">
        <v>2690</v>
      </c>
      <c r="AK246" t="s">
        <v>2690</v>
      </c>
      <c r="AL246" t="s">
        <v>2690</v>
      </c>
      <c r="AP246">
        <v>190.75</v>
      </c>
      <c r="AR246" s="23">
        <v>0.24730324074074075</v>
      </c>
      <c r="AS246" s="23">
        <v>0.58616898148148144</v>
      </c>
      <c r="AT246" s="23">
        <v>0.25</v>
      </c>
      <c r="AU246" s="23">
        <v>0.58333333333333337</v>
      </c>
      <c r="AV246" t="s">
        <v>2565</v>
      </c>
      <c r="AX246">
        <v>230</v>
      </c>
      <c r="AY246">
        <v>0.5</v>
      </c>
      <c r="AZ246" t="s">
        <v>3025</v>
      </c>
      <c r="BA246" t="s">
        <v>2757</v>
      </c>
      <c r="BD246" t="s">
        <v>2578</v>
      </c>
      <c r="BE246" t="s">
        <v>2988</v>
      </c>
      <c r="BG246">
        <v>0</v>
      </c>
      <c r="BH246">
        <v>0</v>
      </c>
      <c r="BJ246">
        <v>0</v>
      </c>
    </row>
    <row r="247" spans="1:62" x14ac:dyDescent="0.2">
      <c r="A247" t="s">
        <v>2462</v>
      </c>
      <c r="B247" t="s">
        <v>2462</v>
      </c>
      <c r="C247">
        <v>100029764</v>
      </c>
      <c r="D247" t="s">
        <v>2574</v>
      </c>
      <c r="E247" t="s">
        <v>2439</v>
      </c>
      <c r="F247" t="s">
        <v>2452</v>
      </c>
      <c r="G247" t="s">
        <v>2453</v>
      </c>
      <c r="H247" s="23">
        <v>0.33333333333333331</v>
      </c>
      <c r="I247" t="s">
        <v>2688</v>
      </c>
      <c r="J247" t="s">
        <v>2528</v>
      </c>
      <c r="K247" t="s">
        <v>3026</v>
      </c>
      <c r="L247" t="s">
        <v>2462</v>
      </c>
      <c r="M247" t="s">
        <v>2570</v>
      </c>
      <c r="N247" s="6">
        <v>46001</v>
      </c>
      <c r="O247" t="s">
        <v>2458</v>
      </c>
      <c r="P247" t="s">
        <v>2445</v>
      </c>
      <c r="Q247" s="23">
        <v>0.33204861111111111</v>
      </c>
      <c r="R247" s="23">
        <v>0.66622685185185182</v>
      </c>
      <c r="S247">
        <v>25</v>
      </c>
      <c r="T247" t="s">
        <v>2443</v>
      </c>
      <c r="U247" t="s">
        <v>2577</v>
      </c>
      <c r="V247">
        <v>7.52</v>
      </c>
      <c r="W247">
        <v>7.52</v>
      </c>
      <c r="X247" t="s">
        <v>2689</v>
      </c>
      <c r="Y247" t="s">
        <v>2689</v>
      </c>
      <c r="Z247" t="s">
        <v>2689</v>
      </c>
      <c r="AA247" t="s">
        <v>2689</v>
      </c>
      <c r="AC247" t="s">
        <v>2689</v>
      </c>
      <c r="AD247" t="s">
        <v>2689</v>
      </c>
      <c r="AE247" t="s">
        <v>2689</v>
      </c>
      <c r="AF247" t="s">
        <v>2689</v>
      </c>
      <c r="AH247">
        <v>188</v>
      </c>
      <c r="AI247" t="s">
        <v>2690</v>
      </c>
      <c r="AJ247" t="s">
        <v>2690</v>
      </c>
      <c r="AK247" t="s">
        <v>2690</v>
      </c>
      <c r="AL247" t="s">
        <v>2690</v>
      </c>
      <c r="AP247">
        <v>188</v>
      </c>
      <c r="AR247" s="23">
        <v>0.33204861111111111</v>
      </c>
      <c r="AS247" s="23">
        <v>0.66622685185185182</v>
      </c>
      <c r="AT247" s="23">
        <v>0.33333333333333331</v>
      </c>
      <c r="AU247" s="23">
        <v>0.66666666666666663</v>
      </c>
      <c r="AV247" t="s">
        <v>2565</v>
      </c>
      <c r="AX247">
        <v>230</v>
      </c>
      <c r="AY247">
        <v>0.5</v>
      </c>
      <c r="AZ247" t="s">
        <v>3027</v>
      </c>
      <c r="BA247" t="s">
        <v>2759</v>
      </c>
      <c r="BD247" t="s">
        <v>2578</v>
      </c>
      <c r="BE247" t="s">
        <v>2988</v>
      </c>
      <c r="BG247">
        <v>0</v>
      </c>
      <c r="BH247">
        <v>0</v>
      </c>
      <c r="BJ247">
        <v>0</v>
      </c>
    </row>
    <row r="248" spans="1:62" x14ac:dyDescent="0.2">
      <c r="A248" t="s">
        <v>2462</v>
      </c>
      <c r="B248" t="s">
        <v>2462</v>
      </c>
      <c r="C248">
        <v>100029764</v>
      </c>
      <c r="D248" t="s">
        <v>2574</v>
      </c>
      <c r="E248" t="s">
        <v>2439</v>
      </c>
      <c r="F248" t="s">
        <v>2791</v>
      </c>
      <c r="G248" t="s">
        <v>2792</v>
      </c>
      <c r="H248" s="23">
        <v>0.79166666666666663</v>
      </c>
      <c r="I248" t="s">
        <v>2696</v>
      </c>
      <c r="J248" t="s">
        <v>2528</v>
      </c>
      <c r="K248" t="s">
        <v>3028</v>
      </c>
      <c r="L248" t="s">
        <v>2462</v>
      </c>
      <c r="M248" t="s">
        <v>2570</v>
      </c>
      <c r="N248" s="6">
        <v>46002</v>
      </c>
      <c r="O248" t="s">
        <v>2459</v>
      </c>
      <c r="P248" t="s">
        <v>2445</v>
      </c>
      <c r="Q248" s="23">
        <v>0.57979166666666671</v>
      </c>
      <c r="R248" s="23">
        <v>8.4490740740740739E-4</v>
      </c>
      <c r="S248">
        <v>25</v>
      </c>
      <c r="T248" t="s">
        <v>2443</v>
      </c>
      <c r="U248" t="s">
        <v>2577</v>
      </c>
      <c r="V248">
        <v>9.61</v>
      </c>
      <c r="W248">
        <v>8</v>
      </c>
      <c r="X248">
        <v>1.61</v>
      </c>
      <c r="Y248" t="s">
        <v>2689</v>
      </c>
      <c r="Z248" t="s">
        <v>2689</v>
      </c>
      <c r="AA248" t="s">
        <v>2689</v>
      </c>
      <c r="AC248" t="s">
        <v>2689</v>
      </c>
      <c r="AD248" t="s">
        <v>2689</v>
      </c>
      <c r="AE248" t="s">
        <v>2689</v>
      </c>
      <c r="AF248" t="s">
        <v>2689</v>
      </c>
      <c r="AH248">
        <v>200</v>
      </c>
      <c r="AI248">
        <v>60.38</v>
      </c>
      <c r="AJ248" t="s">
        <v>2690</v>
      </c>
      <c r="AK248" t="s">
        <v>2690</v>
      </c>
      <c r="AL248" t="s">
        <v>2690</v>
      </c>
      <c r="AP248">
        <v>260.38</v>
      </c>
      <c r="AR248" s="23">
        <v>0.57979166666666671</v>
      </c>
      <c r="AS248" s="23">
        <v>8.4490740740740739E-4</v>
      </c>
      <c r="AT248" s="23">
        <v>0.58333333333333337</v>
      </c>
      <c r="AU248" s="23">
        <v>0.91666666666666663</v>
      </c>
      <c r="AV248" t="s">
        <v>2565</v>
      </c>
      <c r="AX248">
        <v>230</v>
      </c>
      <c r="AY248">
        <v>0.5</v>
      </c>
      <c r="AZ248" t="s">
        <v>3029</v>
      </c>
      <c r="BA248" t="s">
        <v>2759</v>
      </c>
      <c r="BD248" t="s">
        <v>2578</v>
      </c>
      <c r="BE248" t="s">
        <v>2988</v>
      </c>
      <c r="BG248">
        <v>0</v>
      </c>
      <c r="BH248">
        <v>0</v>
      </c>
      <c r="BJ248">
        <v>0</v>
      </c>
    </row>
    <row r="249" spans="1:62" x14ac:dyDescent="0.2">
      <c r="A249" t="s">
        <v>2462</v>
      </c>
      <c r="B249" t="s">
        <v>2462</v>
      </c>
      <c r="C249">
        <v>100029764</v>
      </c>
      <c r="D249" t="s">
        <v>2574</v>
      </c>
      <c r="E249" t="s">
        <v>2439</v>
      </c>
      <c r="F249" t="s">
        <v>2794</v>
      </c>
      <c r="G249" t="s">
        <v>2795</v>
      </c>
      <c r="H249" s="23">
        <v>0.79166666666666663</v>
      </c>
      <c r="I249" t="s">
        <v>2696</v>
      </c>
      <c r="J249" t="s">
        <v>2575</v>
      </c>
      <c r="K249" t="s">
        <v>2592</v>
      </c>
      <c r="L249" t="s">
        <v>2462</v>
      </c>
      <c r="M249" t="s">
        <v>2467</v>
      </c>
      <c r="N249" s="6">
        <v>46003</v>
      </c>
      <c r="O249" t="s">
        <v>2449</v>
      </c>
      <c r="P249" t="s">
        <v>2445</v>
      </c>
      <c r="Q249" s="23">
        <v>0.58215277777777774</v>
      </c>
      <c r="R249" s="23">
        <v>0.94901620370370365</v>
      </c>
      <c r="S249">
        <v>25</v>
      </c>
      <c r="T249" t="s">
        <v>2443</v>
      </c>
      <c r="U249" t="s">
        <v>2577</v>
      </c>
      <c r="V249">
        <v>8.3000000000000007</v>
      </c>
      <c r="W249">
        <v>8</v>
      </c>
      <c r="X249">
        <v>0.3</v>
      </c>
      <c r="Y249" t="s">
        <v>2689</v>
      </c>
      <c r="Z249" t="s">
        <v>2689</v>
      </c>
      <c r="AA249" t="s">
        <v>2689</v>
      </c>
      <c r="AC249" t="s">
        <v>2689</v>
      </c>
      <c r="AD249" t="s">
        <v>2689</v>
      </c>
      <c r="AE249" t="s">
        <v>2689</v>
      </c>
      <c r="AF249" t="s">
        <v>2689</v>
      </c>
      <c r="AH249">
        <v>200</v>
      </c>
      <c r="AI249">
        <v>11.25</v>
      </c>
      <c r="AJ249" t="s">
        <v>2690</v>
      </c>
      <c r="AK249" t="s">
        <v>2690</v>
      </c>
      <c r="AL249" t="s">
        <v>2690</v>
      </c>
      <c r="AP249">
        <v>211.25</v>
      </c>
      <c r="AR249" s="23">
        <v>0.58215277777777774</v>
      </c>
      <c r="AS249" s="23">
        <v>0.94901620370370365</v>
      </c>
      <c r="AT249" s="23">
        <v>0.58333333333333337</v>
      </c>
      <c r="AU249" s="23">
        <v>0.91666666666666663</v>
      </c>
      <c r="AV249" t="s">
        <v>2565</v>
      </c>
      <c r="AX249">
        <v>100</v>
      </c>
      <c r="AY249">
        <v>0.5</v>
      </c>
      <c r="AZ249" t="s">
        <v>3030</v>
      </c>
      <c r="BA249" t="s">
        <v>2798</v>
      </c>
      <c r="BD249" t="s">
        <v>2578</v>
      </c>
      <c r="BE249" t="s">
        <v>2988</v>
      </c>
      <c r="BG249">
        <v>0</v>
      </c>
      <c r="BH249">
        <v>0</v>
      </c>
      <c r="BJ249">
        <v>0</v>
      </c>
    </row>
    <row r="250" spans="1:62" x14ac:dyDescent="0.2">
      <c r="A250" t="s">
        <v>2462</v>
      </c>
      <c r="B250" t="s">
        <v>2462</v>
      </c>
      <c r="C250">
        <v>100029764</v>
      </c>
      <c r="D250" t="s">
        <v>2574</v>
      </c>
      <c r="E250" t="s">
        <v>2439</v>
      </c>
      <c r="F250" t="s">
        <v>2811</v>
      </c>
      <c r="G250" t="s">
        <v>2812</v>
      </c>
      <c r="H250" s="23">
        <v>0.6875</v>
      </c>
      <c r="I250" t="s">
        <v>2696</v>
      </c>
      <c r="J250" t="s">
        <v>2528</v>
      </c>
      <c r="K250" t="s">
        <v>2665</v>
      </c>
      <c r="L250" t="s">
        <v>2462</v>
      </c>
      <c r="M250" t="s">
        <v>2570</v>
      </c>
      <c r="N250" s="6">
        <v>46005</v>
      </c>
      <c r="O250" t="s">
        <v>2461</v>
      </c>
      <c r="P250" t="s">
        <v>2442</v>
      </c>
      <c r="Q250" s="23">
        <v>0.54295138888888894</v>
      </c>
      <c r="R250" s="23">
        <v>0.87578703703703709</v>
      </c>
      <c r="S250">
        <v>25</v>
      </c>
      <c r="T250" t="s">
        <v>2443</v>
      </c>
      <c r="U250" t="s">
        <v>2577</v>
      </c>
      <c r="V250">
        <v>7.49</v>
      </c>
      <c r="W250">
        <v>7.49</v>
      </c>
      <c r="X250" t="s">
        <v>2689</v>
      </c>
      <c r="Y250" t="s">
        <v>2689</v>
      </c>
      <c r="Z250" t="s">
        <v>2689</v>
      </c>
      <c r="AA250" t="s">
        <v>2689</v>
      </c>
      <c r="AC250" t="s">
        <v>2689</v>
      </c>
      <c r="AD250" t="s">
        <v>2689</v>
      </c>
      <c r="AE250" t="s">
        <v>2689</v>
      </c>
      <c r="AF250" t="s">
        <v>2689</v>
      </c>
      <c r="AH250">
        <v>187.25</v>
      </c>
      <c r="AI250" t="s">
        <v>2690</v>
      </c>
      <c r="AJ250" t="s">
        <v>2690</v>
      </c>
      <c r="AK250" t="s">
        <v>2690</v>
      </c>
      <c r="AL250" t="s">
        <v>2690</v>
      </c>
      <c r="AP250">
        <v>187.25</v>
      </c>
      <c r="AR250" s="23">
        <v>0.54295138888888894</v>
      </c>
      <c r="AS250" s="23">
        <v>0.87578703703703709</v>
      </c>
      <c r="AT250" s="23">
        <v>0.54166666666666663</v>
      </c>
      <c r="AU250" s="23">
        <v>0.875</v>
      </c>
      <c r="AV250" t="s">
        <v>2565</v>
      </c>
      <c r="AX250">
        <v>230</v>
      </c>
      <c r="AY250">
        <v>0.5</v>
      </c>
      <c r="AZ250" t="s">
        <v>3031</v>
      </c>
      <c r="BA250" t="s">
        <v>2798</v>
      </c>
      <c r="BD250" t="s">
        <v>2578</v>
      </c>
      <c r="BE250" t="s">
        <v>2988</v>
      </c>
      <c r="BG250">
        <v>0</v>
      </c>
      <c r="BH250">
        <v>0</v>
      </c>
      <c r="BJ250">
        <v>0</v>
      </c>
    </row>
    <row r="251" spans="1:62" x14ac:dyDescent="0.2">
      <c r="A251" t="s">
        <v>2462</v>
      </c>
      <c r="B251" t="s">
        <v>2462</v>
      </c>
      <c r="C251">
        <v>100029764</v>
      </c>
      <c r="D251" t="s">
        <v>2574</v>
      </c>
      <c r="E251" t="s">
        <v>2439</v>
      </c>
      <c r="F251" t="s">
        <v>2814</v>
      </c>
      <c r="G251" t="s">
        <v>2815</v>
      </c>
      <c r="H251" s="23">
        <v>0.47916666666666669</v>
      </c>
      <c r="I251" t="s">
        <v>2696</v>
      </c>
      <c r="J251" t="s">
        <v>2528</v>
      </c>
      <c r="K251" t="s">
        <v>3021</v>
      </c>
      <c r="L251" t="s">
        <v>2462</v>
      </c>
      <c r="M251" t="s">
        <v>2570</v>
      </c>
      <c r="N251" s="6">
        <v>46006</v>
      </c>
      <c r="O251" t="s">
        <v>2455</v>
      </c>
      <c r="P251" t="s">
        <v>2445</v>
      </c>
      <c r="Q251" s="23">
        <v>0.28998842592592594</v>
      </c>
      <c r="R251" s="23">
        <v>0.56731481481481483</v>
      </c>
      <c r="S251">
        <v>25</v>
      </c>
      <c r="T251" t="s">
        <v>2443</v>
      </c>
      <c r="U251" t="s">
        <v>2577</v>
      </c>
      <c r="V251">
        <v>6.16</v>
      </c>
      <c r="W251">
        <v>6.16</v>
      </c>
      <c r="X251" t="s">
        <v>2689</v>
      </c>
      <c r="Y251" t="s">
        <v>2689</v>
      </c>
      <c r="Z251" t="s">
        <v>2689</v>
      </c>
      <c r="AA251" t="s">
        <v>2689</v>
      </c>
      <c r="AC251" t="s">
        <v>2689</v>
      </c>
      <c r="AD251" t="s">
        <v>2689</v>
      </c>
      <c r="AE251" t="s">
        <v>2689</v>
      </c>
      <c r="AF251" t="s">
        <v>2689</v>
      </c>
      <c r="AH251">
        <v>154</v>
      </c>
      <c r="AI251" t="s">
        <v>2690</v>
      </c>
      <c r="AJ251" t="s">
        <v>2690</v>
      </c>
      <c r="AK251" t="s">
        <v>2690</v>
      </c>
      <c r="AL251" t="s">
        <v>2690</v>
      </c>
      <c r="AP251">
        <v>154</v>
      </c>
      <c r="AR251" s="23">
        <v>0.28998842592592594</v>
      </c>
      <c r="AS251" s="23">
        <v>0.56731481481481483</v>
      </c>
      <c r="AT251" s="23">
        <v>0.29166666666666669</v>
      </c>
      <c r="AU251" s="23">
        <v>0.625</v>
      </c>
      <c r="AV251" t="s">
        <v>2565</v>
      </c>
      <c r="AX251">
        <v>230</v>
      </c>
      <c r="AY251">
        <v>0.5</v>
      </c>
      <c r="AZ251" t="s">
        <v>3032</v>
      </c>
      <c r="BA251" t="s">
        <v>2769</v>
      </c>
      <c r="BD251" t="s">
        <v>2578</v>
      </c>
      <c r="BE251" t="s">
        <v>2988</v>
      </c>
      <c r="BG251">
        <v>0</v>
      </c>
      <c r="BH251">
        <v>0</v>
      </c>
      <c r="BJ251">
        <v>0</v>
      </c>
    </row>
    <row r="252" spans="1:62" x14ac:dyDescent="0.2">
      <c r="A252" t="s">
        <v>2462</v>
      </c>
      <c r="B252" t="s">
        <v>2462</v>
      </c>
      <c r="C252">
        <v>100029764</v>
      </c>
      <c r="D252" t="s">
        <v>2574</v>
      </c>
      <c r="E252" t="s">
        <v>2439</v>
      </c>
      <c r="F252" t="s">
        <v>2452</v>
      </c>
      <c r="G252" t="s">
        <v>2453</v>
      </c>
      <c r="H252" s="23">
        <v>0.33333333333333331</v>
      </c>
      <c r="I252" t="s">
        <v>2688</v>
      </c>
      <c r="J252" t="s">
        <v>2575</v>
      </c>
      <c r="K252" t="s">
        <v>2580</v>
      </c>
      <c r="L252" t="s">
        <v>2462</v>
      </c>
      <c r="M252" t="s">
        <v>2467</v>
      </c>
      <c r="N252" s="6">
        <v>46008</v>
      </c>
      <c r="O252" t="s">
        <v>2458</v>
      </c>
      <c r="P252" t="s">
        <v>2445</v>
      </c>
      <c r="Q252" s="23">
        <v>0.33165509259259257</v>
      </c>
      <c r="R252" s="23">
        <v>0.54060185185185183</v>
      </c>
      <c r="S252">
        <v>25</v>
      </c>
      <c r="T252" t="s">
        <v>2443</v>
      </c>
      <c r="U252" t="s">
        <v>2577</v>
      </c>
      <c r="V252">
        <v>5.01</v>
      </c>
      <c r="W252">
        <v>5.01</v>
      </c>
      <c r="X252" t="s">
        <v>2689</v>
      </c>
      <c r="Y252" t="s">
        <v>2689</v>
      </c>
      <c r="Z252" t="s">
        <v>2689</v>
      </c>
      <c r="AA252" t="s">
        <v>2689</v>
      </c>
      <c r="AC252" t="s">
        <v>2689</v>
      </c>
      <c r="AD252" t="s">
        <v>2689</v>
      </c>
      <c r="AE252" t="s">
        <v>2689</v>
      </c>
      <c r="AF252" t="s">
        <v>2689</v>
      </c>
      <c r="AH252">
        <v>125.25</v>
      </c>
      <c r="AI252" t="s">
        <v>2690</v>
      </c>
      <c r="AJ252" t="s">
        <v>2690</v>
      </c>
      <c r="AK252" t="s">
        <v>2690</v>
      </c>
      <c r="AL252" t="s">
        <v>2690</v>
      </c>
      <c r="AP252">
        <v>125.25</v>
      </c>
      <c r="AR252" s="23">
        <v>0.33165509259259257</v>
      </c>
      <c r="AS252" s="23">
        <v>0.54060185185185183</v>
      </c>
      <c r="AT252" s="23">
        <v>0.33333333333333331</v>
      </c>
      <c r="AU252" s="23">
        <v>0.54166666666666663</v>
      </c>
      <c r="AV252" t="s">
        <v>2565</v>
      </c>
      <c r="AX252">
        <v>100</v>
      </c>
      <c r="BA252" t="s">
        <v>2771</v>
      </c>
      <c r="BD252" t="s">
        <v>2578</v>
      </c>
      <c r="BE252" t="s">
        <v>2988</v>
      </c>
      <c r="BG252">
        <v>0</v>
      </c>
      <c r="BH252">
        <v>0</v>
      </c>
      <c r="BJ252">
        <v>0</v>
      </c>
    </row>
    <row r="253" spans="1:62" x14ac:dyDescent="0.2">
      <c r="A253" t="s">
        <v>2462</v>
      </c>
      <c r="B253" t="s">
        <v>2462</v>
      </c>
      <c r="C253">
        <v>100029769</v>
      </c>
      <c r="D253" t="s">
        <v>2582</v>
      </c>
      <c r="E253" t="s">
        <v>2439</v>
      </c>
      <c r="F253" t="s">
        <v>2452</v>
      </c>
      <c r="G253" t="s">
        <v>2453</v>
      </c>
      <c r="H253" s="23">
        <v>0.33333333333333331</v>
      </c>
      <c r="I253" t="s">
        <v>2688</v>
      </c>
      <c r="J253" t="s">
        <v>2568</v>
      </c>
      <c r="K253" t="s">
        <v>2611</v>
      </c>
      <c r="L253" t="s">
        <v>2462</v>
      </c>
      <c r="M253" t="s">
        <v>2570</v>
      </c>
      <c r="N253" s="6">
        <v>45992</v>
      </c>
      <c r="O253" t="s">
        <v>2455</v>
      </c>
      <c r="P253" t="s">
        <v>2445</v>
      </c>
      <c r="Q253" s="23">
        <v>0.32672453703703702</v>
      </c>
      <c r="R253" s="23">
        <v>0.66996527777777781</v>
      </c>
      <c r="S253">
        <v>19.600000000000001</v>
      </c>
      <c r="T253" t="s">
        <v>2443</v>
      </c>
      <c r="U253" t="s">
        <v>2571</v>
      </c>
      <c r="V253">
        <v>7.65</v>
      </c>
      <c r="W253">
        <v>7.65</v>
      </c>
      <c r="X253" t="s">
        <v>2689</v>
      </c>
      <c r="Y253" t="s">
        <v>2689</v>
      </c>
      <c r="Z253" t="s">
        <v>2689</v>
      </c>
      <c r="AA253" t="s">
        <v>2689</v>
      </c>
      <c r="AC253" t="s">
        <v>2689</v>
      </c>
      <c r="AD253" t="s">
        <v>2689</v>
      </c>
      <c r="AE253" t="s">
        <v>2689</v>
      </c>
      <c r="AF253" t="s">
        <v>2689</v>
      </c>
      <c r="AH253">
        <v>149.94</v>
      </c>
      <c r="AI253" t="s">
        <v>2690</v>
      </c>
      <c r="AJ253" t="s">
        <v>2690</v>
      </c>
      <c r="AK253" t="s">
        <v>2690</v>
      </c>
      <c r="AL253" t="s">
        <v>2690</v>
      </c>
      <c r="AP253">
        <v>149.94</v>
      </c>
      <c r="AR253" s="23">
        <v>0.32672453703703702</v>
      </c>
      <c r="AS253" s="23">
        <v>0.66996527777777781</v>
      </c>
      <c r="AT253" s="23">
        <v>0.33333333333333331</v>
      </c>
      <c r="AU253" s="23">
        <v>0.6875</v>
      </c>
      <c r="AV253" t="s">
        <v>2565</v>
      </c>
      <c r="AX253">
        <v>230</v>
      </c>
      <c r="AY253">
        <v>0.57999999999999996</v>
      </c>
      <c r="AZ253" t="s">
        <v>3033</v>
      </c>
      <c r="BA253" t="s">
        <v>2692</v>
      </c>
      <c r="BD253" t="s">
        <v>2572</v>
      </c>
      <c r="BE253" t="s">
        <v>3017</v>
      </c>
      <c r="BG253">
        <v>0</v>
      </c>
      <c r="BH253">
        <v>0</v>
      </c>
      <c r="BJ253">
        <v>0</v>
      </c>
    </row>
    <row r="254" spans="1:62" x14ac:dyDescent="0.2">
      <c r="A254" t="s">
        <v>2462</v>
      </c>
      <c r="B254" t="s">
        <v>2462</v>
      </c>
      <c r="C254">
        <v>100029769</v>
      </c>
      <c r="D254" t="s">
        <v>2582</v>
      </c>
      <c r="E254" t="s">
        <v>2439</v>
      </c>
      <c r="F254" t="s">
        <v>2800</v>
      </c>
      <c r="G254" t="s">
        <v>2801</v>
      </c>
      <c r="H254" s="23">
        <v>0.66666666666666663</v>
      </c>
      <c r="I254" t="s">
        <v>2696</v>
      </c>
      <c r="J254" t="s">
        <v>2568</v>
      </c>
      <c r="K254" t="s">
        <v>2611</v>
      </c>
      <c r="L254" t="s">
        <v>2462</v>
      </c>
      <c r="M254" t="s">
        <v>2570</v>
      </c>
      <c r="N254" s="6">
        <v>45993</v>
      </c>
      <c r="O254" t="s">
        <v>2457</v>
      </c>
      <c r="P254" t="s">
        <v>2445</v>
      </c>
      <c r="Q254" s="23">
        <v>0.32708333333333334</v>
      </c>
      <c r="R254" s="23">
        <v>0.65159722222222227</v>
      </c>
      <c r="S254">
        <v>19.600000000000001</v>
      </c>
      <c r="T254" t="s">
        <v>2443</v>
      </c>
      <c r="U254" t="s">
        <v>2571</v>
      </c>
      <c r="V254">
        <v>7.29</v>
      </c>
      <c r="W254">
        <v>7.29</v>
      </c>
      <c r="X254" t="s">
        <v>2689</v>
      </c>
      <c r="Y254" t="s">
        <v>2689</v>
      </c>
      <c r="Z254" t="s">
        <v>2689</v>
      </c>
      <c r="AA254" t="s">
        <v>2689</v>
      </c>
      <c r="AC254" t="s">
        <v>2689</v>
      </c>
      <c r="AD254" t="s">
        <v>2689</v>
      </c>
      <c r="AE254" t="s">
        <v>2689</v>
      </c>
      <c r="AF254" t="s">
        <v>2689</v>
      </c>
      <c r="AH254">
        <v>142.88</v>
      </c>
      <c r="AI254" t="s">
        <v>2690</v>
      </c>
      <c r="AJ254" t="s">
        <v>2690</v>
      </c>
      <c r="AK254" t="s">
        <v>2690</v>
      </c>
      <c r="AL254" t="s">
        <v>2690</v>
      </c>
      <c r="AP254">
        <v>142.88</v>
      </c>
      <c r="AR254" s="23">
        <v>0.32708333333333334</v>
      </c>
      <c r="AS254" s="23">
        <v>0.65159722222222227</v>
      </c>
      <c r="AT254" s="23">
        <v>0.33333333333333331</v>
      </c>
      <c r="AU254" s="23">
        <v>0.66666666666666663</v>
      </c>
      <c r="AV254" t="s">
        <v>2565</v>
      </c>
      <c r="AX254">
        <v>230</v>
      </c>
      <c r="AY254">
        <v>0.5</v>
      </c>
      <c r="AZ254" t="s">
        <v>3034</v>
      </c>
      <c r="BA254" t="s">
        <v>2752</v>
      </c>
      <c r="BD254" t="s">
        <v>2572</v>
      </c>
      <c r="BE254" t="s">
        <v>3017</v>
      </c>
      <c r="BG254">
        <v>0</v>
      </c>
      <c r="BH254">
        <v>0</v>
      </c>
      <c r="BJ254">
        <v>0</v>
      </c>
    </row>
    <row r="255" spans="1:62" x14ac:dyDescent="0.2">
      <c r="A255" t="s">
        <v>2462</v>
      </c>
      <c r="B255" t="s">
        <v>2462</v>
      </c>
      <c r="C255">
        <v>100029769</v>
      </c>
      <c r="D255" t="s">
        <v>2582</v>
      </c>
      <c r="E255" t="s">
        <v>2439</v>
      </c>
      <c r="F255" t="s">
        <v>2782</v>
      </c>
      <c r="G255" t="s">
        <v>2783</v>
      </c>
      <c r="H255" s="23">
        <v>0.70833333333333337</v>
      </c>
      <c r="I255" t="s">
        <v>2696</v>
      </c>
      <c r="J255" t="s">
        <v>2568</v>
      </c>
      <c r="K255" t="s">
        <v>2611</v>
      </c>
      <c r="L255" t="s">
        <v>2462</v>
      </c>
      <c r="M255" t="s">
        <v>2570</v>
      </c>
      <c r="N255" s="6">
        <v>45994</v>
      </c>
      <c r="O255" t="s">
        <v>2458</v>
      </c>
      <c r="P255" t="s">
        <v>2445</v>
      </c>
      <c r="Q255" s="23">
        <v>0.52719907407407407</v>
      </c>
      <c r="R255" s="23">
        <v>0.84740740740740739</v>
      </c>
      <c r="S255">
        <v>19.600000000000001</v>
      </c>
      <c r="T255" t="s">
        <v>2443</v>
      </c>
      <c r="U255" t="s">
        <v>2571</v>
      </c>
      <c r="V255">
        <v>7.09</v>
      </c>
      <c r="W255">
        <v>7.09</v>
      </c>
      <c r="X255" t="s">
        <v>2689</v>
      </c>
      <c r="Y255" t="s">
        <v>2689</v>
      </c>
      <c r="Z255" t="s">
        <v>2689</v>
      </c>
      <c r="AA255" t="s">
        <v>2689</v>
      </c>
      <c r="AC255" t="s">
        <v>2689</v>
      </c>
      <c r="AD255" t="s">
        <v>2689</v>
      </c>
      <c r="AE255" t="s">
        <v>2689</v>
      </c>
      <c r="AF255" t="s">
        <v>2689</v>
      </c>
      <c r="AH255">
        <v>138.96</v>
      </c>
      <c r="AI255" t="s">
        <v>2690</v>
      </c>
      <c r="AJ255" t="s">
        <v>2690</v>
      </c>
      <c r="AK255" t="s">
        <v>2690</v>
      </c>
      <c r="AL255" t="s">
        <v>2690</v>
      </c>
      <c r="AP255">
        <v>138.96</v>
      </c>
      <c r="AR255" s="23">
        <v>0.52719907407407407</v>
      </c>
      <c r="AS255" s="23">
        <v>0.84740740740740739</v>
      </c>
      <c r="AT255" s="23">
        <v>0.52083333333333337</v>
      </c>
      <c r="AU255" s="23">
        <v>0.85416666666666663</v>
      </c>
      <c r="AV255" t="s">
        <v>2565</v>
      </c>
      <c r="AX255">
        <v>230</v>
      </c>
      <c r="AY255">
        <v>0.59</v>
      </c>
      <c r="AZ255" t="s">
        <v>3035</v>
      </c>
      <c r="BA255" t="s">
        <v>2754</v>
      </c>
      <c r="BD255" t="s">
        <v>2572</v>
      </c>
      <c r="BE255" t="s">
        <v>3017</v>
      </c>
      <c r="BG255">
        <v>0</v>
      </c>
      <c r="BH255">
        <v>0</v>
      </c>
      <c r="BJ255">
        <v>0</v>
      </c>
    </row>
    <row r="256" spans="1:62" x14ac:dyDescent="0.2">
      <c r="A256" t="s">
        <v>2462</v>
      </c>
      <c r="B256" t="s">
        <v>2462</v>
      </c>
      <c r="C256">
        <v>100029769</v>
      </c>
      <c r="D256" t="s">
        <v>2582</v>
      </c>
      <c r="E256" t="s">
        <v>2439</v>
      </c>
      <c r="F256" t="s">
        <v>2804</v>
      </c>
      <c r="G256" t="s">
        <v>2805</v>
      </c>
      <c r="H256" s="23">
        <v>0.70833333333333337</v>
      </c>
      <c r="I256" t="s">
        <v>2696</v>
      </c>
      <c r="J256" t="s">
        <v>2568</v>
      </c>
      <c r="K256" t="s">
        <v>2611</v>
      </c>
      <c r="L256" t="s">
        <v>2462</v>
      </c>
      <c r="M256" t="s">
        <v>2570</v>
      </c>
      <c r="N256" s="6">
        <v>45995</v>
      </c>
      <c r="O256" t="s">
        <v>2459</v>
      </c>
      <c r="P256" t="s">
        <v>2445</v>
      </c>
      <c r="Q256" s="23">
        <v>0.51825231481481482</v>
      </c>
      <c r="R256" s="23">
        <v>0.81387731481481485</v>
      </c>
      <c r="S256">
        <v>19.600000000000001</v>
      </c>
      <c r="T256" t="s">
        <v>2443</v>
      </c>
      <c r="U256" t="s">
        <v>2571</v>
      </c>
      <c r="V256">
        <v>6.6</v>
      </c>
      <c r="W256">
        <v>6.6</v>
      </c>
      <c r="X256" t="s">
        <v>2689</v>
      </c>
      <c r="Y256" t="s">
        <v>2689</v>
      </c>
      <c r="Z256" t="s">
        <v>2689</v>
      </c>
      <c r="AA256" t="s">
        <v>2689</v>
      </c>
      <c r="AC256" t="s">
        <v>2689</v>
      </c>
      <c r="AD256" t="s">
        <v>2689</v>
      </c>
      <c r="AE256" t="s">
        <v>2689</v>
      </c>
      <c r="AF256" t="s">
        <v>2689</v>
      </c>
      <c r="AH256">
        <v>129.36000000000001</v>
      </c>
      <c r="AI256" t="s">
        <v>2690</v>
      </c>
      <c r="AJ256" t="s">
        <v>2690</v>
      </c>
      <c r="AK256" t="s">
        <v>2690</v>
      </c>
      <c r="AL256" t="s">
        <v>2690</v>
      </c>
      <c r="AP256">
        <v>129.36000000000001</v>
      </c>
      <c r="AR256" s="23">
        <v>0.51825231481481482</v>
      </c>
      <c r="AS256" s="23">
        <v>0.81387731481481485</v>
      </c>
      <c r="AT256" s="23">
        <v>0.52083333333333337</v>
      </c>
      <c r="AU256" s="23">
        <v>0.85416666666666663</v>
      </c>
      <c r="AV256" t="s">
        <v>2565</v>
      </c>
      <c r="AX256">
        <v>230</v>
      </c>
      <c r="AY256">
        <v>0.5</v>
      </c>
      <c r="AZ256" t="s">
        <v>3036</v>
      </c>
      <c r="BA256" t="s">
        <v>2754</v>
      </c>
      <c r="BD256" t="s">
        <v>2572</v>
      </c>
      <c r="BE256" t="s">
        <v>3017</v>
      </c>
      <c r="BG256">
        <v>0</v>
      </c>
      <c r="BH256">
        <v>0</v>
      </c>
      <c r="BJ256">
        <v>0</v>
      </c>
    </row>
    <row r="257" spans="1:62" x14ac:dyDescent="0.2">
      <c r="A257" t="s">
        <v>2462</v>
      </c>
      <c r="B257" t="s">
        <v>2462</v>
      </c>
      <c r="C257">
        <v>100029769</v>
      </c>
      <c r="D257" t="s">
        <v>2582</v>
      </c>
      <c r="E257" t="s">
        <v>2439</v>
      </c>
      <c r="F257" t="s">
        <v>2452</v>
      </c>
      <c r="G257" t="s">
        <v>2453</v>
      </c>
      <c r="H257" s="23">
        <v>0.33333333333333331</v>
      </c>
      <c r="I257" t="s">
        <v>2688</v>
      </c>
      <c r="J257" t="s">
        <v>2568</v>
      </c>
      <c r="K257" t="s">
        <v>2573</v>
      </c>
      <c r="L257" t="s">
        <v>2462</v>
      </c>
      <c r="M257" t="s">
        <v>2570</v>
      </c>
      <c r="N257" s="6">
        <v>45998</v>
      </c>
      <c r="O257" t="s">
        <v>2461</v>
      </c>
      <c r="P257" t="s">
        <v>2442</v>
      </c>
      <c r="Q257" s="23">
        <v>0.32657407407407407</v>
      </c>
      <c r="R257" s="23">
        <v>0.66887731481481483</v>
      </c>
      <c r="S257">
        <v>19.600000000000001</v>
      </c>
      <c r="T257" t="s">
        <v>2443</v>
      </c>
      <c r="U257" t="s">
        <v>2571</v>
      </c>
      <c r="V257">
        <v>7.63</v>
      </c>
      <c r="W257">
        <v>7.63</v>
      </c>
      <c r="X257" t="s">
        <v>2689</v>
      </c>
      <c r="Y257" t="s">
        <v>2689</v>
      </c>
      <c r="Z257" t="s">
        <v>2689</v>
      </c>
      <c r="AA257" t="s">
        <v>2689</v>
      </c>
      <c r="AC257" t="s">
        <v>2689</v>
      </c>
      <c r="AD257" t="s">
        <v>2689</v>
      </c>
      <c r="AE257" t="s">
        <v>2689</v>
      </c>
      <c r="AF257" t="s">
        <v>2689</v>
      </c>
      <c r="AH257">
        <v>149.55000000000001</v>
      </c>
      <c r="AI257" t="s">
        <v>2690</v>
      </c>
      <c r="AJ257" t="s">
        <v>2690</v>
      </c>
      <c r="AK257" t="s">
        <v>2690</v>
      </c>
      <c r="AL257" t="s">
        <v>2690</v>
      </c>
      <c r="AP257">
        <v>149.55000000000001</v>
      </c>
      <c r="AR257" s="23">
        <v>0.32657407407407407</v>
      </c>
      <c r="AS257" s="23">
        <v>0.66887731481481483</v>
      </c>
      <c r="AT257" s="23">
        <v>0.33333333333333331</v>
      </c>
      <c r="AU257" s="23">
        <v>0.66666666666666663</v>
      </c>
      <c r="AV257" t="s">
        <v>2565</v>
      </c>
      <c r="AX257">
        <v>230</v>
      </c>
      <c r="AY257">
        <v>0.57999999999999996</v>
      </c>
      <c r="AZ257" t="s">
        <v>3037</v>
      </c>
      <c r="BA257" t="s">
        <v>2754</v>
      </c>
      <c r="BD257" t="s">
        <v>2572</v>
      </c>
      <c r="BE257" t="s">
        <v>3017</v>
      </c>
      <c r="BG257">
        <v>0</v>
      </c>
      <c r="BH257">
        <v>0</v>
      </c>
      <c r="BJ257">
        <v>0</v>
      </c>
    </row>
    <row r="258" spans="1:62" x14ac:dyDescent="0.2">
      <c r="A258" t="s">
        <v>2462</v>
      </c>
      <c r="B258" t="s">
        <v>2462</v>
      </c>
      <c r="C258">
        <v>100029769</v>
      </c>
      <c r="D258" t="s">
        <v>2582</v>
      </c>
      <c r="E258" t="s">
        <v>2439</v>
      </c>
      <c r="F258" t="s">
        <v>2786</v>
      </c>
      <c r="G258" t="s">
        <v>2787</v>
      </c>
      <c r="H258" s="23">
        <v>0.66666666666666663</v>
      </c>
      <c r="I258" t="s">
        <v>2696</v>
      </c>
      <c r="J258" t="s">
        <v>2568</v>
      </c>
      <c r="K258" t="s">
        <v>2569</v>
      </c>
      <c r="L258" t="s">
        <v>2462</v>
      </c>
      <c r="M258" t="s">
        <v>2570</v>
      </c>
      <c r="N258" s="6">
        <v>45999</v>
      </c>
      <c r="O258" t="s">
        <v>2455</v>
      </c>
      <c r="P258" t="s">
        <v>2445</v>
      </c>
      <c r="Q258" s="23">
        <v>0.32653935185185184</v>
      </c>
      <c r="R258" s="23">
        <v>0.70247685185185182</v>
      </c>
      <c r="S258">
        <v>19.600000000000001</v>
      </c>
      <c r="T258" t="s">
        <v>2443</v>
      </c>
      <c r="U258" t="s">
        <v>2571</v>
      </c>
      <c r="V258">
        <v>8.42</v>
      </c>
      <c r="W258">
        <v>8</v>
      </c>
      <c r="X258">
        <v>0.42</v>
      </c>
      <c r="Y258" t="s">
        <v>2689</v>
      </c>
      <c r="Z258" t="s">
        <v>2689</v>
      </c>
      <c r="AA258" t="s">
        <v>2689</v>
      </c>
      <c r="AC258" t="s">
        <v>2689</v>
      </c>
      <c r="AD258" t="s">
        <v>2689</v>
      </c>
      <c r="AE258" t="s">
        <v>2689</v>
      </c>
      <c r="AF258" t="s">
        <v>2689</v>
      </c>
      <c r="AH258">
        <v>156.80000000000001</v>
      </c>
      <c r="AI258">
        <v>12.35</v>
      </c>
      <c r="AJ258" t="s">
        <v>2690</v>
      </c>
      <c r="AK258" t="s">
        <v>2690</v>
      </c>
      <c r="AL258" t="s">
        <v>2690</v>
      </c>
      <c r="AP258">
        <v>169.15</v>
      </c>
      <c r="AR258" s="23">
        <v>0.32653935185185184</v>
      </c>
      <c r="AS258" s="23">
        <v>0.70247685185185182</v>
      </c>
      <c r="AT258" s="23">
        <v>0.33333333333333331</v>
      </c>
      <c r="AU258" s="23">
        <v>0.66666666666666663</v>
      </c>
      <c r="AV258" t="s">
        <v>2565</v>
      </c>
      <c r="AX258">
        <v>230</v>
      </c>
      <c r="AY258">
        <v>0.6</v>
      </c>
      <c r="AZ258" t="s">
        <v>3038</v>
      </c>
      <c r="BA258" t="s">
        <v>2861</v>
      </c>
      <c r="BD258" t="s">
        <v>2572</v>
      </c>
      <c r="BE258" t="s">
        <v>3017</v>
      </c>
      <c r="BG258">
        <v>0</v>
      </c>
      <c r="BH258">
        <v>0</v>
      </c>
      <c r="BJ258">
        <v>0</v>
      </c>
    </row>
    <row r="259" spans="1:62" x14ac:dyDescent="0.2">
      <c r="A259" t="s">
        <v>2462</v>
      </c>
      <c r="B259" t="s">
        <v>2462</v>
      </c>
      <c r="C259">
        <v>100029769</v>
      </c>
      <c r="D259" t="s">
        <v>2582</v>
      </c>
      <c r="E259" t="s">
        <v>2439</v>
      </c>
      <c r="F259" t="s">
        <v>2789</v>
      </c>
      <c r="G259" t="s">
        <v>2790</v>
      </c>
      <c r="H259" s="23">
        <v>0.375</v>
      </c>
      <c r="I259" t="s">
        <v>2696</v>
      </c>
      <c r="J259" t="s">
        <v>2568</v>
      </c>
      <c r="K259" t="s">
        <v>2569</v>
      </c>
      <c r="L259" t="s">
        <v>2462</v>
      </c>
      <c r="M259" t="s">
        <v>2570</v>
      </c>
      <c r="N259" s="6">
        <v>46000</v>
      </c>
      <c r="O259" t="s">
        <v>2457</v>
      </c>
      <c r="P259" t="s">
        <v>2445</v>
      </c>
      <c r="Q259" s="23">
        <v>0.24679398148148149</v>
      </c>
      <c r="R259" s="23">
        <v>0.58809027777777778</v>
      </c>
      <c r="S259">
        <v>19.600000000000001</v>
      </c>
      <c r="T259" t="s">
        <v>2443</v>
      </c>
      <c r="U259" t="s">
        <v>2571</v>
      </c>
      <c r="V259">
        <v>7.61</v>
      </c>
      <c r="W259">
        <v>7.61</v>
      </c>
      <c r="X259" t="s">
        <v>2689</v>
      </c>
      <c r="Y259" t="s">
        <v>2689</v>
      </c>
      <c r="Z259" t="s">
        <v>2689</v>
      </c>
      <c r="AA259" t="s">
        <v>2689</v>
      </c>
      <c r="AC259" t="s">
        <v>2689</v>
      </c>
      <c r="AD259" t="s">
        <v>2689</v>
      </c>
      <c r="AE259" t="s">
        <v>2689</v>
      </c>
      <c r="AF259" t="s">
        <v>2689</v>
      </c>
      <c r="AH259">
        <v>149.16</v>
      </c>
      <c r="AI259" t="s">
        <v>2690</v>
      </c>
      <c r="AJ259" t="s">
        <v>2690</v>
      </c>
      <c r="AK259" t="s">
        <v>2690</v>
      </c>
      <c r="AL259" t="s">
        <v>2690</v>
      </c>
      <c r="AP259">
        <v>149.16</v>
      </c>
      <c r="AR259" s="23">
        <v>0.24679398148148149</v>
      </c>
      <c r="AS259" s="23">
        <v>0.58809027777777778</v>
      </c>
      <c r="AT259" s="23">
        <v>0.25</v>
      </c>
      <c r="AU259" s="23">
        <v>0.58333333333333337</v>
      </c>
      <c r="AV259" t="s">
        <v>2565</v>
      </c>
      <c r="AX259">
        <v>230</v>
      </c>
      <c r="AY259">
        <v>0.57999999999999996</v>
      </c>
      <c r="AZ259" t="s">
        <v>3039</v>
      </c>
      <c r="BA259" t="s">
        <v>2757</v>
      </c>
      <c r="BD259" t="s">
        <v>2572</v>
      </c>
      <c r="BE259" t="s">
        <v>3017</v>
      </c>
      <c r="BG259">
        <v>0</v>
      </c>
      <c r="BH259">
        <v>0</v>
      </c>
      <c r="BJ259">
        <v>0</v>
      </c>
    </row>
    <row r="260" spans="1:62" x14ac:dyDescent="0.2">
      <c r="A260" t="s">
        <v>2462</v>
      </c>
      <c r="B260" t="s">
        <v>2462</v>
      </c>
      <c r="C260">
        <v>100029769</v>
      </c>
      <c r="D260" t="s">
        <v>2582</v>
      </c>
      <c r="E260" t="s">
        <v>2439</v>
      </c>
      <c r="F260" t="s">
        <v>2452</v>
      </c>
      <c r="G260" t="s">
        <v>2453</v>
      </c>
      <c r="H260" s="23">
        <v>0.33333333333333331</v>
      </c>
      <c r="I260" t="s">
        <v>2688</v>
      </c>
      <c r="J260" t="s">
        <v>2568</v>
      </c>
      <c r="K260" t="s">
        <v>2609</v>
      </c>
      <c r="L260" t="s">
        <v>2462</v>
      </c>
      <c r="M260" t="s">
        <v>2570</v>
      </c>
      <c r="N260" s="6">
        <v>46001</v>
      </c>
      <c r="O260" t="s">
        <v>2458</v>
      </c>
      <c r="P260" t="s">
        <v>2445</v>
      </c>
      <c r="Q260" s="23">
        <v>0.32732638888888888</v>
      </c>
      <c r="R260" s="23">
        <v>0.54276620370370365</v>
      </c>
      <c r="S260">
        <v>19.600000000000001</v>
      </c>
      <c r="T260" t="s">
        <v>2443</v>
      </c>
      <c r="U260" t="s">
        <v>2571</v>
      </c>
      <c r="V260">
        <v>5.17</v>
      </c>
      <c r="W260">
        <v>5.17</v>
      </c>
      <c r="X260" t="s">
        <v>2689</v>
      </c>
      <c r="Y260" t="s">
        <v>2689</v>
      </c>
      <c r="Z260" t="s">
        <v>2689</v>
      </c>
      <c r="AA260" t="s">
        <v>2689</v>
      </c>
      <c r="AC260" t="s">
        <v>2689</v>
      </c>
      <c r="AD260" t="s">
        <v>2689</v>
      </c>
      <c r="AE260" t="s">
        <v>2689</v>
      </c>
      <c r="AF260" t="s">
        <v>2689</v>
      </c>
      <c r="AH260">
        <v>101.33</v>
      </c>
      <c r="AI260" t="s">
        <v>2690</v>
      </c>
      <c r="AJ260" t="s">
        <v>2690</v>
      </c>
      <c r="AK260" t="s">
        <v>2690</v>
      </c>
      <c r="AL260" t="s">
        <v>2690</v>
      </c>
      <c r="AP260">
        <v>101.33</v>
      </c>
      <c r="AR260" s="23">
        <v>0.32732638888888888</v>
      </c>
      <c r="AS260" s="23">
        <v>0.54276620370370365</v>
      </c>
      <c r="AT260" s="23">
        <v>0.33333333333333331</v>
      </c>
      <c r="AU260" s="23">
        <v>0.66666666666666663</v>
      </c>
      <c r="AV260" t="s">
        <v>2565</v>
      </c>
      <c r="AX260">
        <v>230</v>
      </c>
      <c r="BA260" t="s">
        <v>2759</v>
      </c>
      <c r="BD260" t="s">
        <v>2572</v>
      </c>
      <c r="BE260" t="s">
        <v>3017</v>
      </c>
      <c r="BG260">
        <v>0</v>
      </c>
      <c r="BH260">
        <v>0</v>
      </c>
      <c r="BJ260">
        <v>0</v>
      </c>
    </row>
    <row r="261" spans="1:62" x14ac:dyDescent="0.2">
      <c r="A261" t="s">
        <v>2462</v>
      </c>
      <c r="B261" t="s">
        <v>2462</v>
      </c>
      <c r="C261">
        <v>100029769</v>
      </c>
      <c r="D261" t="s">
        <v>2582</v>
      </c>
      <c r="E261" t="s">
        <v>2439</v>
      </c>
      <c r="F261" t="s">
        <v>2791</v>
      </c>
      <c r="G261" t="s">
        <v>2792</v>
      </c>
      <c r="H261" s="23">
        <v>0.79166666666666663</v>
      </c>
      <c r="I261" t="s">
        <v>2696</v>
      </c>
      <c r="J261" t="s">
        <v>2568</v>
      </c>
      <c r="K261" t="s">
        <v>2569</v>
      </c>
      <c r="L261" t="s">
        <v>2462</v>
      </c>
      <c r="M261" t="s">
        <v>2570</v>
      </c>
      <c r="N261" s="6">
        <v>46002</v>
      </c>
      <c r="O261" t="s">
        <v>2459</v>
      </c>
      <c r="P261" t="s">
        <v>2445</v>
      </c>
      <c r="Q261" s="23">
        <v>0.57943287037037039</v>
      </c>
      <c r="R261" s="23">
        <v>0.99539351851851854</v>
      </c>
      <c r="S261">
        <v>19.600000000000001</v>
      </c>
      <c r="T261" t="s">
        <v>2443</v>
      </c>
      <c r="U261" t="s">
        <v>2571</v>
      </c>
      <c r="V261">
        <v>9.48</v>
      </c>
      <c r="W261">
        <v>8</v>
      </c>
      <c r="X261">
        <v>1.48</v>
      </c>
      <c r="Y261" t="s">
        <v>2689</v>
      </c>
      <c r="Z261" t="s">
        <v>2689</v>
      </c>
      <c r="AA261" t="s">
        <v>2689</v>
      </c>
      <c r="AC261" t="s">
        <v>2689</v>
      </c>
      <c r="AD261" t="s">
        <v>2689</v>
      </c>
      <c r="AE261" t="s">
        <v>2689</v>
      </c>
      <c r="AF261" t="s">
        <v>2689</v>
      </c>
      <c r="AH261">
        <v>156.80000000000001</v>
      </c>
      <c r="AI261">
        <v>43.51</v>
      </c>
      <c r="AJ261" t="s">
        <v>2690</v>
      </c>
      <c r="AK261" t="s">
        <v>2690</v>
      </c>
      <c r="AL261" t="s">
        <v>2690</v>
      </c>
      <c r="AP261">
        <v>200.31</v>
      </c>
      <c r="AR261" s="23">
        <v>0.57943287037037039</v>
      </c>
      <c r="AS261" s="23">
        <v>0.99539351851851854</v>
      </c>
      <c r="AT261" s="23">
        <v>0.58333333333333337</v>
      </c>
      <c r="AU261" s="23">
        <v>0.91666666666666663</v>
      </c>
      <c r="AV261" t="s">
        <v>2565</v>
      </c>
      <c r="AX261">
        <v>230</v>
      </c>
      <c r="AY261">
        <v>0.5</v>
      </c>
      <c r="AZ261" t="s">
        <v>3040</v>
      </c>
      <c r="BA261" t="s">
        <v>2759</v>
      </c>
      <c r="BD261" t="s">
        <v>2572</v>
      </c>
      <c r="BE261" t="s">
        <v>3017</v>
      </c>
      <c r="BG261">
        <v>0</v>
      </c>
      <c r="BH261">
        <v>0</v>
      </c>
      <c r="BJ261">
        <v>0</v>
      </c>
    </row>
    <row r="262" spans="1:62" x14ac:dyDescent="0.2">
      <c r="A262" t="s">
        <v>2462</v>
      </c>
      <c r="B262" t="s">
        <v>2462</v>
      </c>
      <c r="C262">
        <v>100029769</v>
      </c>
      <c r="D262" t="s">
        <v>2582</v>
      </c>
      <c r="E262" t="s">
        <v>2439</v>
      </c>
      <c r="F262" t="s">
        <v>2794</v>
      </c>
      <c r="G262" t="s">
        <v>2795</v>
      </c>
      <c r="H262" s="23">
        <v>0.79166666666666663</v>
      </c>
      <c r="I262" t="s">
        <v>2696</v>
      </c>
      <c r="J262" t="s">
        <v>2568</v>
      </c>
      <c r="K262" t="s">
        <v>2569</v>
      </c>
      <c r="L262" t="s">
        <v>2462</v>
      </c>
      <c r="M262" t="s">
        <v>2570</v>
      </c>
      <c r="N262" s="6">
        <v>46003</v>
      </c>
      <c r="O262" t="s">
        <v>2449</v>
      </c>
      <c r="P262" t="s">
        <v>2445</v>
      </c>
      <c r="Q262" s="23">
        <v>0.5801736111111111</v>
      </c>
      <c r="R262" s="23">
        <v>0.96090277777777777</v>
      </c>
      <c r="S262">
        <v>19.600000000000001</v>
      </c>
      <c r="T262" t="s">
        <v>2443</v>
      </c>
      <c r="U262" t="s">
        <v>2571</v>
      </c>
      <c r="V262">
        <v>8.49</v>
      </c>
      <c r="W262">
        <v>8</v>
      </c>
      <c r="X262">
        <v>0.49</v>
      </c>
      <c r="Y262" t="s">
        <v>2689</v>
      </c>
      <c r="Z262" t="s">
        <v>2689</v>
      </c>
      <c r="AA262" t="s">
        <v>2689</v>
      </c>
      <c r="AC262" t="s">
        <v>2689</v>
      </c>
      <c r="AD262" t="s">
        <v>2689</v>
      </c>
      <c r="AE262" t="s">
        <v>2689</v>
      </c>
      <c r="AF262" t="s">
        <v>2689</v>
      </c>
      <c r="AH262">
        <v>156.80000000000001</v>
      </c>
      <c r="AI262">
        <v>14.41</v>
      </c>
      <c r="AJ262" t="s">
        <v>2690</v>
      </c>
      <c r="AK262" t="s">
        <v>2690</v>
      </c>
      <c r="AL262" t="s">
        <v>2690</v>
      </c>
      <c r="AP262">
        <v>171.21</v>
      </c>
      <c r="AR262" s="23">
        <v>0.5801736111111111</v>
      </c>
      <c r="AS262" s="23">
        <v>0.96090277777777777</v>
      </c>
      <c r="AT262" s="23">
        <v>0.58333333333333337</v>
      </c>
      <c r="AU262" s="23">
        <v>0.91666666666666663</v>
      </c>
      <c r="AV262" t="s">
        <v>2565</v>
      </c>
      <c r="AX262">
        <v>230</v>
      </c>
      <c r="AY262">
        <v>0.65</v>
      </c>
      <c r="AZ262" t="s">
        <v>3041</v>
      </c>
      <c r="BA262" t="s">
        <v>2798</v>
      </c>
      <c r="BD262" t="s">
        <v>2572</v>
      </c>
      <c r="BE262" t="s">
        <v>3017</v>
      </c>
      <c r="BG262">
        <v>0</v>
      </c>
      <c r="BH262">
        <v>0</v>
      </c>
      <c r="BJ262">
        <v>0</v>
      </c>
    </row>
    <row r="263" spans="1:62" x14ac:dyDescent="0.2">
      <c r="A263" t="s">
        <v>2462</v>
      </c>
      <c r="B263" t="s">
        <v>2462</v>
      </c>
      <c r="C263">
        <v>100029769</v>
      </c>
      <c r="D263" t="s">
        <v>2582</v>
      </c>
      <c r="E263" t="s">
        <v>2439</v>
      </c>
      <c r="F263" t="s">
        <v>2811</v>
      </c>
      <c r="G263" t="s">
        <v>2812</v>
      </c>
      <c r="H263" s="23">
        <v>0.6875</v>
      </c>
      <c r="I263" t="s">
        <v>2696</v>
      </c>
      <c r="J263" t="s">
        <v>2568</v>
      </c>
      <c r="K263" t="s">
        <v>2610</v>
      </c>
      <c r="L263" t="s">
        <v>2462</v>
      </c>
      <c r="M263" t="s">
        <v>2570</v>
      </c>
      <c r="N263" s="6">
        <v>46005</v>
      </c>
      <c r="O263" t="s">
        <v>2461</v>
      </c>
      <c r="P263" t="s">
        <v>2442</v>
      </c>
      <c r="Q263" s="23">
        <v>0.53512731481481479</v>
      </c>
      <c r="R263" s="23">
        <v>0.84844907407407411</v>
      </c>
      <c r="S263">
        <v>19.600000000000001</v>
      </c>
      <c r="T263" t="s">
        <v>2443</v>
      </c>
      <c r="U263" t="s">
        <v>2571</v>
      </c>
      <c r="V263">
        <v>7.02</v>
      </c>
      <c r="W263">
        <v>7.02</v>
      </c>
      <c r="X263" t="s">
        <v>2689</v>
      </c>
      <c r="Y263" t="s">
        <v>2689</v>
      </c>
      <c r="Z263" t="s">
        <v>2689</v>
      </c>
      <c r="AA263" t="s">
        <v>2689</v>
      </c>
      <c r="AC263" t="s">
        <v>2689</v>
      </c>
      <c r="AD263" t="s">
        <v>2689</v>
      </c>
      <c r="AE263" t="s">
        <v>2689</v>
      </c>
      <c r="AF263" t="s">
        <v>2689</v>
      </c>
      <c r="AH263">
        <v>137.59</v>
      </c>
      <c r="AI263" t="s">
        <v>2690</v>
      </c>
      <c r="AJ263" t="s">
        <v>2690</v>
      </c>
      <c r="AK263" t="s">
        <v>2690</v>
      </c>
      <c r="AL263" t="s">
        <v>2690</v>
      </c>
      <c r="AP263">
        <v>137.59</v>
      </c>
      <c r="AR263" s="23">
        <v>0.53512731481481479</v>
      </c>
      <c r="AS263" s="23">
        <v>0.84844907407407411</v>
      </c>
      <c r="AT263" s="23">
        <v>0.54166666666666663</v>
      </c>
      <c r="AU263" s="23">
        <v>0.875</v>
      </c>
      <c r="AV263" t="s">
        <v>2565</v>
      </c>
      <c r="AX263">
        <v>230</v>
      </c>
      <c r="AY263">
        <v>0.5</v>
      </c>
      <c r="AZ263" t="s">
        <v>3042</v>
      </c>
      <c r="BA263" t="s">
        <v>2798</v>
      </c>
      <c r="BD263" t="s">
        <v>2572</v>
      </c>
      <c r="BE263" t="s">
        <v>3017</v>
      </c>
      <c r="BG263">
        <v>0</v>
      </c>
      <c r="BH263">
        <v>0</v>
      </c>
      <c r="BJ263">
        <v>0</v>
      </c>
    </row>
    <row r="264" spans="1:62" x14ac:dyDescent="0.2">
      <c r="A264" t="s">
        <v>2462</v>
      </c>
      <c r="B264" t="s">
        <v>2462</v>
      </c>
      <c r="C264">
        <v>100029769</v>
      </c>
      <c r="D264" t="s">
        <v>2582</v>
      </c>
      <c r="E264" t="s">
        <v>2439</v>
      </c>
      <c r="F264" t="s">
        <v>2814</v>
      </c>
      <c r="G264" t="s">
        <v>2815</v>
      </c>
      <c r="H264" s="23">
        <v>0.47916666666666669</v>
      </c>
      <c r="I264" t="s">
        <v>2696</v>
      </c>
      <c r="J264" t="s">
        <v>2583</v>
      </c>
      <c r="K264" t="s">
        <v>2600</v>
      </c>
      <c r="L264" t="s">
        <v>2462</v>
      </c>
      <c r="M264" t="s">
        <v>2567</v>
      </c>
      <c r="N264" s="6">
        <v>46006</v>
      </c>
      <c r="O264" t="s">
        <v>2455</v>
      </c>
      <c r="P264" t="s">
        <v>2445</v>
      </c>
      <c r="Q264" s="23">
        <v>0.28871527777777778</v>
      </c>
      <c r="R264" s="23">
        <v>0.50334490740740745</v>
      </c>
      <c r="S264">
        <v>19.600000000000001</v>
      </c>
      <c r="T264" t="s">
        <v>2443</v>
      </c>
      <c r="U264" t="s">
        <v>2571</v>
      </c>
      <c r="V264">
        <v>5.15</v>
      </c>
      <c r="W264">
        <v>5.15</v>
      </c>
      <c r="X264" t="s">
        <v>2689</v>
      </c>
      <c r="Y264" t="s">
        <v>2689</v>
      </c>
      <c r="Z264" t="s">
        <v>2689</v>
      </c>
      <c r="AA264" t="s">
        <v>2689</v>
      </c>
      <c r="AC264" t="s">
        <v>2689</v>
      </c>
      <c r="AD264" t="s">
        <v>2689</v>
      </c>
      <c r="AE264" t="s">
        <v>2689</v>
      </c>
      <c r="AF264" t="s">
        <v>2689</v>
      </c>
      <c r="AH264">
        <v>100.94</v>
      </c>
      <c r="AI264" t="s">
        <v>2690</v>
      </c>
      <c r="AJ264" t="s">
        <v>2690</v>
      </c>
      <c r="AK264" t="s">
        <v>2690</v>
      </c>
      <c r="AL264" t="s">
        <v>2690</v>
      </c>
      <c r="AP264">
        <v>100.94</v>
      </c>
      <c r="AR264" s="23">
        <v>0.28871527777777778</v>
      </c>
      <c r="AS264" s="23">
        <v>0.50334490740740745</v>
      </c>
      <c r="AT264" s="23">
        <v>0.29166666666666669</v>
      </c>
      <c r="AU264" s="23">
        <v>0.625</v>
      </c>
      <c r="AV264" t="s">
        <v>2565</v>
      </c>
      <c r="AX264">
        <v>100</v>
      </c>
      <c r="AZ264" t="s">
        <v>3043</v>
      </c>
      <c r="BA264" t="s">
        <v>2769</v>
      </c>
      <c r="BD264" t="s">
        <v>2572</v>
      </c>
      <c r="BE264" t="s">
        <v>3017</v>
      </c>
      <c r="BF264" t="s">
        <v>3044</v>
      </c>
      <c r="BG264">
        <v>0</v>
      </c>
      <c r="BH264">
        <v>0</v>
      </c>
      <c r="BJ264">
        <v>0</v>
      </c>
    </row>
    <row r="265" spans="1:62" x14ac:dyDescent="0.2">
      <c r="A265" t="s">
        <v>2462</v>
      </c>
      <c r="B265" t="s">
        <v>2462</v>
      </c>
      <c r="C265">
        <v>100029771</v>
      </c>
      <c r="D265" t="s">
        <v>2731</v>
      </c>
      <c r="E265" t="s">
        <v>2439</v>
      </c>
      <c r="F265" t="s">
        <v>2452</v>
      </c>
      <c r="G265" t="s">
        <v>2453</v>
      </c>
      <c r="H265" s="23">
        <v>0.33333333333333331</v>
      </c>
      <c r="I265" t="s">
        <v>2688</v>
      </c>
      <c r="J265" t="s">
        <v>2575</v>
      </c>
      <c r="K265" t="s">
        <v>2579</v>
      </c>
      <c r="L265" t="s">
        <v>2462</v>
      </c>
      <c r="M265" t="s">
        <v>2467</v>
      </c>
      <c r="N265" s="6">
        <v>45992</v>
      </c>
      <c r="O265" t="s">
        <v>2455</v>
      </c>
      <c r="P265" t="s">
        <v>2445</v>
      </c>
      <c r="Q265" s="23">
        <v>0.3311574074074074</v>
      </c>
      <c r="R265" s="23">
        <v>0.6843055555555555</v>
      </c>
      <c r="S265">
        <v>25</v>
      </c>
      <c r="T265" t="s">
        <v>2443</v>
      </c>
      <c r="U265" t="s">
        <v>2577</v>
      </c>
      <c r="V265">
        <v>7.98</v>
      </c>
      <c r="W265">
        <v>7.98</v>
      </c>
      <c r="X265" t="s">
        <v>2689</v>
      </c>
      <c r="Y265" t="s">
        <v>2689</v>
      </c>
      <c r="Z265" t="s">
        <v>2689</v>
      </c>
      <c r="AA265" t="s">
        <v>2689</v>
      </c>
      <c r="AC265" t="s">
        <v>2689</v>
      </c>
      <c r="AD265" t="s">
        <v>2689</v>
      </c>
      <c r="AE265" t="s">
        <v>2689</v>
      </c>
      <c r="AF265" t="s">
        <v>2689</v>
      </c>
      <c r="AH265">
        <v>199.5</v>
      </c>
      <c r="AI265" t="s">
        <v>2690</v>
      </c>
      <c r="AJ265" t="s">
        <v>2690</v>
      </c>
      <c r="AK265" t="s">
        <v>2690</v>
      </c>
      <c r="AL265" t="s">
        <v>2690</v>
      </c>
      <c r="AP265">
        <v>199.5</v>
      </c>
      <c r="AR265" s="23">
        <v>0.3311574074074074</v>
      </c>
      <c r="AS265" s="23">
        <v>0.6843055555555555</v>
      </c>
      <c r="AT265" s="23">
        <v>0.33333333333333331</v>
      </c>
      <c r="AU265" s="23">
        <v>0.6875</v>
      </c>
      <c r="AV265" t="s">
        <v>2565</v>
      </c>
      <c r="AX265">
        <v>100</v>
      </c>
      <c r="AY265">
        <v>0.5</v>
      </c>
      <c r="AZ265" t="s">
        <v>3045</v>
      </c>
      <c r="BA265" t="s">
        <v>2692</v>
      </c>
      <c r="BD265" t="s">
        <v>2578</v>
      </c>
      <c r="BE265" t="s">
        <v>2988</v>
      </c>
      <c r="BG265">
        <v>0</v>
      </c>
      <c r="BH265">
        <v>0</v>
      </c>
      <c r="BJ265">
        <v>0</v>
      </c>
    </row>
    <row r="266" spans="1:62" x14ac:dyDescent="0.2">
      <c r="A266" t="s">
        <v>2462</v>
      </c>
      <c r="B266" t="s">
        <v>2462</v>
      </c>
      <c r="C266">
        <v>100029771</v>
      </c>
      <c r="D266" t="s">
        <v>2731</v>
      </c>
      <c r="E266" t="s">
        <v>2439</v>
      </c>
      <c r="F266" t="s">
        <v>2800</v>
      </c>
      <c r="G266" t="s">
        <v>2801</v>
      </c>
      <c r="H266" s="23">
        <v>0.66666666666666663</v>
      </c>
      <c r="I266" t="s">
        <v>2696</v>
      </c>
      <c r="J266" t="s">
        <v>2575</v>
      </c>
      <c r="K266" t="s">
        <v>2579</v>
      </c>
      <c r="L266" t="s">
        <v>2462</v>
      </c>
      <c r="M266" t="s">
        <v>2467</v>
      </c>
      <c r="N266" s="6">
        <v>45993</v>
      </c>
      <c r="O266" t="s">
        <v>2457</v>
      </c>
      <c r="P266" t="s">
        <v>2445</v>
      </c>
      <c r="Q266" s="23">
        <v>0.37004629629629632</v>
      </c>
      <c r="R266" s="23">
        <v>0.66762731481481485</v>
      </c>
      <c r="S266">
        <v>25</v>
      </c>
      <c r="T266" t="s">
        <v>2443</v>
      </c>
      <c r="U266" t="s">
        <v>2577</v>
      </c>
      <c r="V266">
        <v>6.64</v>
      </c>
      <c r="W266">
        <v>6.64</v>
      </c>
      <c r="X266" t="s">
        <v>2689</v>
      </c>
      <c r="Y266" t="s">
        <v>2689</v>
      </c>
      <c r="Z266" t="s">
        <v>2689</v>
      </c>
      <c r="AA266" t="s">
        <v>2689</v>
      </c>
      <c r="AC266" t="s">
        <v>2689</v>
      </c>
      <c r="AD266" t="s">
        <v>2689</v>
      </c>
      <c r="AE266" t="s">
        <v>2689</v>
      </c>
      <c r="AF266" t="s">
        <v>2689</v>
      </c>
      <c r="AH266">
        <v>166</v>
      </c>
      <c r="AI266" t="s">
        <v>2690</v>
      </c>
      <c r="AJ266" t="s">
        <v>2690</v>
      </c>
      <c r="AK266" t="s">
        <v>2690</v>
      </c>
      <c r="AL266" t="s">
        <v>2690</v>
      </c>
      <c r="AP266">
        <v>166</v>
      </c>
      <c r="AR266" s="23">
        <v>0.37004629629629632</v>
      </c>
      <c r="AS266" s="23">
        <v>0.66762731481481485</v>
      </c>
      <c r="AT266" s="23">
        <v>0.375</v>
      </c>
      <c r="AU266" s="23">
        <v>0.70833333333333337</v>
      </c>
      <c r="AV266" t="s">
        <v>2565</v>
      </c>
      <c r="AX266">
        <v>100</v>
      </c>
      <c r="AY266">
        <v>0.5</v>
      </c>
      <c r="AZ266" t="s">
        <v>3046</v>
      </c>
      <c r="BA266" t="s">
        <v>2752</v>
      </c>
      <c r="BD266" t="s">
        <v>2578</v>
      </c>
      <c r="BE266" t="s">
        <v>2988</v>
      </c>
      <c r="BG266">
        <v>0</v>
      </c>
      <c r="BH266">
        <v>0</v>
      </c>
      <c r="BJ266">
        <v>0</v>
      </c>
    </row>
    <row r="267" spans="1:62" x14ac:dyDescent="0.2">
      <c r="A267" t="s">
        <v>2462</v>
      </c>
      <c r="B267" t="s">
        <v>2462</v>
      </c>
      <c r="C267">
        <v>100029771</v>
      </c>
      <c r="D267" t="s">
        <v>2731</v>
      </c>
      <c r="E267" t="s">
        <v>2439</v>
      </c>
      <c r="F267" t="s">
        <v>2782</v>
      </c>
      <c r="G267" t="s">
        <v>2783</v>
      </c>
      <c r="H267" s="23">
        <v>0.70833333333333337</v>
      </c>
      <c r="I267" t="s">
        <v>2696</v>
      </c>
      <c r="J267" t="s">
        <v>2575</v>
      </c>
      <c r="K267" t="s">
        <v>2586</v>
      </c>
      <c r="L267" t="s">
        <v>2462</v>
      </c>
      <c r="M267" t="s">
        <v>2467</v>
      </c>
      <c r="N267" s="6">
        <v>45994</v>
      </c>
      <c r="O267" t="s">
        <v>2458</v>
      </c>
      <c r="P267" t="s">
        <v>2445</v>
      </c>
      <c r="Q267" s="23">
        <v>0.55871527777777774</v>
      </c>
      <c r="R267" s="23">
        <v>0.89118055555555553</v>
      </c>
      <c r="S267">
        <v>25</v>
      </c>
      <c r="T267" t="s">
        <v>2443</v>
      </c>
      <c r="U267" t="s">
        <v>2577</v>
      </c>
      <c r="V267">
        <v>7.48</v>
      </c>
      <c r="W267">
        <v>7.48</v>
      </c>
      <c r="X267" t="s">
        <v>2689</v>
      </c>
      <c r="Y267" t="s">
        <v>2689</v>
      </c>
      <c r="Z267" t="s">
        <v>2689</v>
      </c>
      <c r="AA267" t="s">
        <v>2689</v>
      </c>
      <c r="AC267" t="s">
        <v>2689</v>
      </c>
      <c r="AD267" t="s">
        <v>2689</v>
      </c>
      <c r="AE267" t="s">
        <v>2689</v>
      </c>
      <c r="AF267" t="s">
        <v>2689</v>
      </c>
      <c r="AH267">
        <v>187</v>
      </c>
      <c r="AI267" t="s">
        <v>2690</v>
      </c>
      <c r="AJ267" t="s">
        <v>2690</v>
      </c>
      <c r="AK267" t="s">
        <v>2690</v>
      </c>
      <c r="AL267" t="s">
        <v>2690</v>
      </c>
      <c r="AP267">
        <v>187</v>
      </c>
      <c r="AR267" s="23">
        <v>0.55871527777777774</v>
      </c>
      <c r="AS267" s="23">
        <v>0.89118055555555553</v>
      </c>
      <c r="AT267" s="23">
        <v>0.5625</v>
      </c>
      <c r="AU267" s="23">
        <v>0.875</v>
      </c>
      <c r="AV267" t="s">
        <v>2565</v>
      </c>
      <c r="AX267">
        <v>100</v>
      </c>
      <c r="AY267">
        <v>0.5</v>
      </c>
      <c r="AZ267" t="s">
        <v>3047</v>
      </c>
      <c r="BA267" t="s">
        <v>2754</v>
      </c>
      <c r="BD267" t="s">
        <v>2578</v>
      </c>
      <c r="BE267" t="s">
        <v>2988</v>
      </c>
      <c r="BG267">
        <v>0</v>
      </c>
      <c r="BH267">
        <v>0</v>
      </c>
      <c r="BJ267">
        <v>0</v>
      </c>
    </row>
    <row r="268" spans="1:62" x14ac:dyDescent="0.2">
      <c r="A268" t="s">
        <v>2462</v>
      </c>
      <c r="B268" t="s">
        <v>2462</v>
      </c>
      <c r="C268">
        <v>100029771</v>
      </c>
      <c r="D268" t="s">
        <v>2731</v>
      </c>
      <c r="E268" t="s">
        <v>2439</v>
      </c>
      <c r="F268" t="s">
        <v>2804</v>
      </c>
      <c r="G268" t="s">
        <v>2805</v>
      </c>
      <c r="H268" s="23">
        <v>0.70833333333333337</v>
      </c>
      <c r="I268" t="s">
        <v>2696</v>
      </c>
      <c r="J268" t="s">
        <v>2575</v>
      </c>
      <c r="K268" t="s">
        <v>2579</v>
      </c>
      <c r="L268" t="s">
        <v>2462</v>
      </c>
      <c r="M268" t="s">
        <v>2467</v>
      </c>
      <c r="N268" s="6">
        <v>45995</v>
      </c>
      <c r="O268" t="s">
        <v>2459</v>
      </c>
      <c r="P268" t="s">
        <v>2445</v>
      </c>
      <c r="Q268" s="23">
        <v>0.55944444444444441</v>
      </c>
      <c r="R268" s="23">
        <v>0.84325231481481477</v>
      </c>
      <c r="S268">
        <v>25</v>
      </c>
      <c r="T268" t="s">
        <v>2443</v>
      </c>
      <c r="U268" t="s">
        <v>2577</v>
      </c>
      <c r="V268">
        <v>6.31</v>
      </c>
      <c r="W268">
        <v>6.31</v>
      </c>
      <c r="X268" t="s">
        <v>2689</v>
      </c>
      <c r="Y268" t="s">
        <v>2689</v>
      </c>
      <c r="Z268" t="s">
        <v>2689</v>
      </c>
      <c r="AA268" t="s">
        <v>2689</v>
      </c>
      <c r="AC268" t="s">
        <v>2689</v>
      </c>
      <c r="AD268" t="s">
        <v>2689</v>
      </c>
      <c r="AE268" t="s">
        <v>2689</v>
      </c>
      <c r="AF268" t="s">
        <v>2689</v>
      </c>
      <c r="AH268">
        <v>157.75</v>
      </c>
      <c r="AI268" t="s">
        <v>2690</v>
      </c>
      <c r="AJ268" t="s">
        <v>2690</v>
      </c>
      <c r="AK268" t="s">
        <v>2690</v>
      </c>
      <c r="AL268" t="s">
        <v>2690</v>
      </c>
      <c r="AP268">
        <v>157.75</v>
      </c>
      <c r="AR268" s="23">
        <v>0.55944444444444441</v>
      </c>
      <c r="AS268" s="23">
        <v>0.84325231481481477</v>
      </c>
      <c r="AT268" s="23">
        <v>0.5625</v>
      </c>
      <c r="AU268" s="23">
        <v>0.875</v>
      </c>
      <c r="AV268" t="s">
        <v>2565</v>
      </c>
      <c r="AX268">
        <v>100</v>
      </c>
      <c r="AY268">
        <v>0.5</v>
      </c>
      <c r="BA268" t="s">
        <v>2754</v>
      </c>
      <c r="BD268" t="s">
        <v>2578</v>
      </c>
      <c r="BE268" t="s">
        <v>2988</v>
      </c>
      <c r="BF268" t="s">
        <v>2456</v>
      </c>
      <c r="BG268">
        <v>0</v>
      </c>
      <c r="BH268">
        <v>0</v>
      </c>
      <c r="BJ268">
        <v>0</v>
      </c>
    </row>
    <row r="269" spans="1:62" x14ac:dyDescent="0.2">
      <c r="A269" t="s">
        <v>2462</v>
      </c>
      <c r="B269" t="s">
        <v>2462</v>
      </c>
      <c r="C269">
        <v>100029771</v>
      </c>
      <c r="D269" t="s">
        <v>2731</v>
      </c>
      <c r="E269" t="s">
        <v>2439</v>
      </c>
      <c r="F269" t="s">
        <v>2452</v>
      </c>
      <c r="G269" t="s">
        <v>2453</v>
      </c>
      <c r="H269" s="23">
        <v>0.33333333333333331</v>
      </c>
      <c r="I269" t="s">
        <v>2688</v>
      </c>
      <c r="J269" t="s">
        <v>2528</v>
      </c>
      <c r="K269" t="s">
        <v>3023</v>
      </c>
      <c r="L269" t="s">
        <v>2462</v>
      </c>
      <c r="M269" t="s">
        <v>2570</v>
      </c>
      <c r="N269" s="6">
        <v>45996</v>
      </c>
      <c r="O269" t="s">
        <v>2449</v>
      </c>
      <c r="P269" t="s">
        <v>2445</v>
      </c>
      <c r="Q269" s="23">
        <v>0.37046296296296294</v>
      </c>
      <c r="R269" s="23">
        <v>0.58016203703703706</v>
      </c>
      <c r="S269">
        <v>25</v>
      </c>
      <c r="T269" t="s">
        <v>2443</v>
      </c>
      <c r="U269" t="s">
        <v>2577</v>
      </c>
      <c r="V269">
        <v>5.03</v>
      </c>
      <c r="W269">
        <v>5.03</v>
      </c>
      <c r="X269" t="s">
        <v>2689</v>
      </c>
      <c r="Y269" t="s">
        <v>2689</v>
      </c>
      <c r="Z269" t="s">
        <v>2689</v>
      </c>
      <c r="AA269" t="s">
        <v>2689</v>
      </c>
      <c r="AC269" t="s">
        <v>2689</v>
      </c>
      <c r="AD269" t="s">
        <v>2689</v>
      </c>
      <c r="AE269" t="s">
        <v>2689</v>
      </c>
      <c r="AF269" t="s">
        <v>2689</v>
      </c>
      <c r="AH269">
        <v>125.75</v>
      </c>
      <c r="AI269" t="s">
        <v>2690</v>
      </c>
      <c r="AJ269" t="s">
        <v>2690</v>
      </c>
      <c r="AK269" t="s">
        <v>2690</v>
      </c>
      <c r="AL269" t="s">
        <v>2690</v>
      </c>
      <c r="AP269">
        <v>125.75</v>
      </c>
      <c r="AR269" s="23">
        <v>0.37046296296296294</v>
      </c>
      <c r="AS269" s="23">
        <v>0.58016203703703706</v>
      </c>
      <c r="AT269" s="23">
        <v>0.375</v>
      </c>
      <c r="AU269" s="23">
        <v>0.70833333333333337</v>
      </c>
      <c r="AV269" t="s">
        <v>2565</v>
      </c>
      <c r="AX269">
        <v>230</v>
      </c>
      <c r="BA269" t="s">
        <v>2754</v>
      </c>
      <c r="BD269" t="s">
        <v>2578</v>
      </c>
      <c r="BE269" t="s">
        <v>2988</v>
      </c>
      <c r="BG269">
        <v>0</v>
      </c>
      <c r="BH269">
        <v>0</v>
      </c>
      <c r="BJ269">
        <v>0</v>
      </c>
    </row>
    <row r="270" spans="1:62" x14ac:dyDescent="0.2">
      <c r="A270" t="s">
        <v>2462</v>
      </c>
      <c r="B270" t="s">
        <v>2462</v>
      </c>
      <c r="C270">
        <v>100029771</v>
      </c>
      <c r="D270" t="s">
        <v>2731</v>
      </c>
      <c r="E270" t="s">
        <v>2439</v>
      </c>
      <c r="F270" t="s">
        <v>2786</v>
      </c>
      <c r="G270" t="s">
        <v>2787</v>
      </c>
      <c r="H270" s="23">
        <v>0.66666666666666663</v>
      </c>
      <c r="I270" t="s">
        <v>2696</v>
      </c>
      <c r="J270" t="s">
        <v>2528</v>
      </c>
      <c r="K270" t="s">
        <v>3026</v>
      </c>
      <c r="L270" t="s">
        <v>2462</v>
      </c>
      <c r="M270" t="s">
        <v>2570</v>
      </c>
      <c r="N270" s="6">
        <v>45999</v>
      </c>
      <c r="O270" t="s">
        <v>2455</v>
      </c>
      <c r="P270" t="s">
        <v>2445</v>
      </c>
      <c r="Q270" s="23">
        <v>0.54156249999999995</v>
      </c>
      <c r="R270" s="23">
        <v>0.88679398148148147</v>
      </c>
      <c r="S270">
        <v>25</v>
      </c>
      <c r="T270" t="s">
        <v>2443</v>
      </c>
      <c r="U270" t="s">
        <v>2577</v>
      </c>
      <c r="V270">
        <v>7.79</v>
      </c>
      <c r="W270">
        <v>7.79</v>
      </c>
      <c r="X270" t="s">
        <v>2689</v>
      </c>
      <c r="Y270" t="s">
        <v>2689</v>
      </c>
      <c r="Z270" t="s">
        <v>2689</v>
      </c>
      <c r="AA270" t="s">
        <v>2689</v>
      </c>
      <c r="AC270" t="s">
        <v>2689</v>
      </c>
      <c r="AD270" t="s">
        <v>2689</v>
      </c>
      <c r="AE270" t="s">
        <v>2689</v>
      </c>
      <c r="AF270" t="s">
        <v>2689</v>
      </c>
      <c r="AH270">
        <v>194.75</v>
      </c>
      <c r="AI270" t="s">
        <v>2690</v>
      </c>
      <c r="AJ270" t="s">
        <v>2690</v>
      </c>
      <c r="AK270" t="s">
        <v>2690</v>
      </c>
      <c r="AL270" t="s">
        <v>2690</v>
      </c>
      <c r="AP270">
        <v>194.75</v>
      </c>
      <c r="AR270" s="23">
        <v>0.54156249999999995</v>
      </c>
      <c r="AS270" s="23">
        <v>0.88679398148148147</v>
      </c>
      <c r="AT270" s="23">
        <v>0.54166666666666663</v>
      </c>
      <c r="AU270" s="23">
        <v>0.875</v>
      </c>
      <c r="AV270" t="s">
        <v>2565</v>
      </c>
      <c r="AX270">
        <v>230</v>
      </c>
      <c r="AY270">
        <v>0.5</v>
      </c>
      <c r="AZ270" t="s">
        <v>3048</v>
      </c>
      <c r="BA270" t="s">
        <v>2861</v>
      </c>
      <c r="BD270" t="s">
        <v>2578</v>
      </c>
      <c r="BE270" t="s">
        <v>2988</v>
      </c>
      <c r="BG270">
        <v>0</v>
      </c>
      <c r="BH270">
        <v>0</v>
      </c>
      <c r="BJ270">
        <v>0</v>
      </c>
    </row>
    <row r="271" spans="1:62" x14ac:dyDescent="0.2">
      <c r="A271" t="s">
        <v>2462</v>
      </c>
      <c r="B271" t="s">
        <v>2462</v>
      </c>
      <c r="C271">
        <v>100029771</v>
      </c>
      <c r="D271" t="s">
        <v>2731</v>
      </c>
      <c r="E271" t="s">
        <v>2439</v>
      </c>
      <c r="F271" t="s">
        <v>2789</v>
      </c>
      <c r="G271" t="s">
        <v>2790</v>
      </c>
      <c r="H271" s="23">
        <v>0.375</v>
      </c>
      <c r="I271" t="s">
        <v>2696</v>
      </c>
      <c r="J271" t="s">
        <v>2528</v>
      </c>
      <c r="K271" t="s">
        <v>3023</v>
      </c>
      <c r="L271" t="s">
        <v>2462</v>
      </c>
      <c r="M271" t="s">
        <v>2570</v>
      </c>
      <c r="N271" s="6">
        <v>46000</v>
      </c>
      <c r="O271" t="s">
        <v>2457</v>
      </c>
      <c r="P271" t="s">
        <v>2445</v>
      </c>
      <c r="Q271" s="23">
        <v>0.29127314814814814</v>
      </c>
      <c r="R271" s="23">
        <v>0.63549768518518523</v>
      </c>
      <c r="S271">
        <v>25</v>
      </c>
      <c r="T271" t="s">
        <v>2443</v>
      </c>
      <c r="U271" t="s">
        <v>2577</v>
      </c>
      <c r="V271">
        <v>7.76</v>
      </c>
      <c r="W271">
        <v>7.76</v>
      </c>
      <c r="X271" t="s">
        <v>2689</v>
      </c>
      <c r="Y271" t="s">
        <v>2689</v>
      </c>
      <c r="Z271" t="s">
        <v>2689</v>
      </c>
      <c r="AA271" t="s">
        <v>2689</v>
      </c>
      <c r="AC271" t="s">
        <v>2689</v>
      </c>
      <c r="AD271" t="s">
        <v>2689</v>
      </c>
      <c r="AE271" t="s">
        <v>2689</v>
      </c>
      <c r="AF271" t="s">
        <v>2689</v>
      </c>
      <c r="AH271">
        <v>194</v>
      </c>
      <c r="AI271" t="s">
        <v>2690</v>
      </c>
      <c r="AJ271" t="s">
        <v>2690</v>
      </c>
      <c r="AK271" t="s">
        <v>2690</v>
      </c>
      <c r="AL271" t="s">
        <v>2690</v>
      </c>
      <c r="AP271">
        <v>194</v>
      </c>
      <c r="AR271" s="23">
        <v>0.29127314814814814</v>
      </c>
      <c r="AS271" s="23">
        <v>0.63549768518518523</v>
      </c>
      <c r="AT271" s="23">
        <v>0.29166666666666669</v>
      </c>
      <c r="AU271" s="23">
        <v>0.625</v>
      </c>
      <c r="AV271" t="s">
        <v>2565</v>
      </c>
      <c r="AX271">
        <v>230</v>
      </c>
      <c r="AY271">
        <v>0.5</v>
      </c>
      <c r="AZ271" t="s">
        <v>3049</v>
      </c>
      <c r="BA271" t="s">
        <v>2757</v>
      </c>
      <c r="BD271" t="s">
        <v>2578</v>
      </c>
      <c r="BE271" t="s">
        <v>2988</v>
      </c>
      <c r="BG271">
        <v>0</v>
      </c>
      <c r="BH271">
        <v>0</v>
      </c>
      <c r="BJ271">
        <v>0</v>
      </c>
    </row>
    <row r="272" spans="1:62" x14ac:dyDescent="0.2">
      <c r="A272" t="s">
        <v>2462</v>
      </c>
      <c r="B272" t="s">
        <v>2462</v>
      </c>
      <c r="C272">
        <v>100029771</v>
      </c>
      <c r="D272" t="s">
        <v>2731</v>
      </c>
      <c r="E272" t="s">
        <v>2439</v>
      </c>
      <c r="F272" t="s">
        <v>2452</v>
      </c>
      <c r="G272" t="s">
        <v>2453</v>
      </c>
      <c r="H272" s="23">
        <v>0.33333333333333331</v>
      </c>
      <c r="I272" t="s">
        <v>2688</v>
      </c>
      <c r="J272" t="s">
        <v>2528</v>
      </c>
      <c r="K272" t="s">
        <v>2730</v>
      </c>
      <c r="L272" t="s">
        <v>2462</v>
      </c>
      <c r="M272" t="s">
        <v>2570</v>
      </c>
      <c r="N272" s="6">
        <v>46001</v>
      </c>
      <c r="O272" t="s">
        <v>2458</v>
      </c>
      <c r="P272" t="s">
        <v>2445</v>
      </c>
      <c r="Q272" s="23">
        <v>0.36856481481481479</v>
      </c>
      <c r="R272" s="23">
        <v>0.71030092592592597</v>
      </c>
      <c r="S272">
        <v>25</v>
      </c>
      <c r="T272" t="s">
        <v>2443</v>
      </c>
      <c r="U272" t="s">
        <v>2577</v>
      </c>
      <c r="V272">
        <v>7.7</v>
      </c>
      <c r="W272">
        <v>7.7</v>
      </c>
      <c r="X272" t="s">
        <v>2689</v>
      </c>
      <c r="Y272" t="s">
        <v>2689</v>
      </c>
      <c r="Z272" t="s">
        <v>2689</v>
      </c>
      <c r="AA272" t="s">
        <v>2689</v>
      </c>
      <c r="AC272" t="s">
        <v>2689</v>
      </c>
      <c r="AD272" t="s">
        <v>2689</v>
      </c>
      <c r="AE272" t="s">
        <v>2689</v>
      </c>
      <c r="AF272" t="s">
        <v>2689</v>
      </c>
      <c r="AH272">
        <v>192.5</v>
      </c>
      <c r="AI272" t="s">
        <v>2690</v>
      </c>
      <c r="AJ272" t="s">
        <v>2690</v>
      </c>
      <c r="AK272" t="s">
        <v>2690</v>
      </c>
      <c r="AL272" t="s">
        <v>2690</v>
      </c>
      <c r="AP272">
        <v>192.5</v>
      </c>
      <c r="AR272" s="23">
        <v>0.36856481481481479</v>
      </c>
      <c r="AS272" s="23">
        <v>0.71030092592592597</v>
      </c>
      <c r="AT272" s="23">
        <v>0.375</v>
      </c>
      <c r="AU272" s="23">
        <v>0.70833333333333337</v>
      </c>
      <c r="AV272" t="s">
        <v>2565</v>
      </c>
      <c r="AX272">
        <v>230</v>
      </c>
      <c r="AY272">
        <v>0.5</v>
      </c>
      <c r="AZ272" t="s">
        <v>3050</v>
      </c>
      <c r="BA272" t="s">
        <v>2759</v>
      </c>
      <c r="BD272" t="s">
        <v>2578</v>
      </c>
      <c r="BE272" t="s">
        <v>2988</v>
      </c>
      <c r="BG272">
        <v>0</v>
      </c>
      <c r="BH272">
        <v>0</v>
      </c>
      <c r="BJ272">
        <v>0</v>
      </c>
    </row>
    <row r="273" spans="1:62" x14ac:dyDescent="0.2">
      <c r="A273" t="s">
        <v>2462</v>
      </c>
      <c r="B273" t="s">
        <v>2462</v>
      </c>
      <c r="C273">
        <v>100029771</v>
      </c>
      <c r="D273" t="s">
        <v>2731</v>
      </c>
      <c r="E273" t="s">
        <v>2439</v>
      </c>
      <c r="F273" t="s">
        <v>2791</v>
      </c>
      <c r="G273" t="s">
        <v>2792</v>
      </c>
      <c r="H273" s="23">
        <v>0.79166666666666663</v>
      </c>
      <c r="I273" t="s">
        <v>2696</v>
      </c>
      <c r="J273" t="s">
        <v>2528</v>
      </c>
      <c r="K273" t="s">
        <v>3026</v>
      </c>
      <c r="L273" t="s">
        <v>2462</v>
      </c>
      <c r="M273" t="s">
        <v>2570</v>
      </c>
      <c r="N273" s="6">
        <v>46002</v>
      </c>
      <c r="O273" t="s">
        <v>2459</v>
      </c>
      <c r="P273" t="s">
        <v>2445</v>
      </c>
      <c r="Q273" s="23">
        <v>0.62081018518518516</v>
      </c>
      <c r="R273" s="23">
        <v>2.4560185185185185E-2</v>
      </c>
      <c r="S273">
        <v>25</v>
      </c>
      <c r="T273" t="s">
        <v>2443</v>
      </c>
      <c r="U273" t="s">
        <v>2577</v>
      </c>
      <c r="V273">
        <v>9.19</v>
      </c>
      <c r="W273">
        <v>8</v>
      </c>
      <c r="X273">
        <v>1.19</v>
      </c>
      <c r="Y273" t="s">
        <v>2689</v>
      </c>
      <c r="Z273" t="s">
        <v>2689</v>
      </c>
      <c r="AA273" t="s">
        <v>2689</v>
      </c>
      <c r="AC273" t="s">
        <v>2689</v>
      </c>
      <c r="AD273" t="s">
        <v>2689</v>
      </c>
      <c r="AE273" t="s">
        <v>2689</v>
      </c>
      <c r="AF273" t="s">
        <v>2689</v>
      </c>
      <c r="AH273">
        <v>200</v>
      </c>
      <c r="AI273">
        <v>44.63</v>
      </c>
      <c r="AJ273" t="s">
        <v>2690</v>
      </c>
      <c r="AK273" t="s">
        <v>2690</v>
      </c>
      <c r="AL273" t="s">
        <v>2690</v>
      </c>
      <c r="AP273">
        <v>244.63</v>
      </c>
      <c r="AR273" s="23">
        <v>0.62081018518518516</v>
      </c>
      <c r="AS273" s="23">
        <v>2.4560185185185185E-2</v>
      </c>
      <c r="AT273" s="23">
        <v>0.625</v>
      </c>
      <c r="AU273" s="23">
        <v>0.95833333333333337</v>
      </c>
      <c r="AV273" t="s">
        <v>2565</v>
      </c>
      <c r="AX273">
        <v>230</v>
      </c>
      <c r="AY273">
        <v>0.5</v>
      </c>
      <c r="AZ273" t="s">
        <v>3051</v>
      </c>
      <c r="BA273" t="s">
        <v>2759</v>
      </c>
      <c r="BD273" t="s">
        <v>2578</v>
      </c>
      <c r="BE273" t="s">
        <v>2988</v>
      </c>
      <c r="BG273">
        <v>0</v>
      </c>
      <c r="BH273">
        <v>0</v>
      </c>
      <c r="BJ273">
        <v>0</v>
      </c>
    </row>
    <row r="274" spans="1:62" x14ac:dyDescent="0.2">
      <c r="A274" t="s">
        <v>2462</v>
      </c>
      <c r="B274" t="s">
        <v>2462</v>
      </c>
      <c r="C274">
        <v>100029771</v>
      </c>
      <c r="D274" t="s">
        <v>2731</v>
      </c>
      <c r="E274" t="s">
        <v>2439</v>
      </c>
      <c r="F274" t="s">
        <v>2794</v>
      </c>
      <c r="G274" t="s">
        <v>2795</v>
      </c>
      <c r="H274" s="23">
        <v>0.79166666666666663</v>
      </c>
      <c r="I274" t="s">
        <v>2696</v>
      </c>
      <c r="J274" t="s">
        <v>2575</v>
      </c>
      <c r="K274" t="s">
        <v>2579</v>
      </c>
      <c r="L274" t="s">
        <v>2462</v>
      </c>
      <c r="M274" t="s">
        <v>2467</v>
      </c>
      <c r="N274" s="6">
        <v>46003</v>
      </c>
      <c r="O274" t="s">
        <v>2449</v>
      </c>
      <c r="P274" t="s">
        <v>2445</v>
      </c>
      <c r="Q274" s="23">
        <v>0.66167824074074078</v>
      </c>
      <c r="R274" s="23">
        <v>9.4907407407407406E-3</v>
      </c>
      <c r="S274">
        <v>25</v>
      </c>
      <c r="T274" t="s">
        <v>2443</v>
      </c>
      <c r="U274" t="s">
        <v>2577</v>
      </c>
      <c r="V274">
        <v>7.85</v>
      </c>
      <c r="W274">
        <v>7.85</v>
      </c>
      <c r="X274" t="s">
        <v>2689</v>
      </c>
      <c r="Y274" t="s">
        <v>2689</v>
      </c>
      <c r="Z274" t="s">
        <v>2689</v>
      </c>
      <c r="AA274" t="s">
        <v>2689</v>
      </c>
      <c r="AC274" t="s">
        <v>2689</v>
      </c>
      <c r="AD274" t="s">
        <v>2689</v>
      </c>
      <c r="AE274" t="s">
        <v>2689</v>
      </c>
      <c r="AF274" t="s">
        <v>2689</v>
      </c>
      <c r="AH274">
        <v>196.25</v>
      </c>
      <c r="AI274" t="s">
        <v>2690</v>
      </c>
      <c r="AJ274" t="s">
        <v>2690</v>
      </c>
      <c r="AK274" t="s">
        <v>2690</v>
      </c>
      <c r="AL274" t="s">
        <v>2690</v>
      </c>
      <c r="AP274">
        <v>196.25</v>
      </c>
      <c r="AR274" s="23">
        <v>0.66167824074074078</v>
      </c>
      <c r="AS274" s="23">
        <v>9.4907407407407406E-3</v>
      </c>
      <c r="AT274" s="23">
        <v>0.66666666666666663</v>
      </c>
      <c r="AU274" s="24">
        <v>1</v>
      </c>
      <c r="AV274" t="s">
        <v>2565</v>
      </c>
      <c r="AX274">
        <v>100</v>
      </c>
      <c r="AY274">
        <v>0.5</v>
      </c>
      <c r="AZ274" t="s">
        <v>3052</v>
      </c>
      <c r="BA274" t="s">
        <v>2798</v>
      </c>
      <c r="BD274" t="s">
        <v>2578</v>
      </c>
      <c r="BE274" t="s">
        <v>2988</v>
      </c>
      <c r="BG274">
        <v>0</v>
      </c>
      <c r="BH274">
        <v>0</v>
      </c>
      <c r="BJ274">
        <v>0</v>
      </c>
    </row>
    <row r="275" spans="1:62" x14ac:dyDescent="0.2">
      <c r="A275" t="s">
        <v>2462</v>
      </c>
      <c r="B275" t="s">
        <v>2462</v>
      </c>
      <c r="C275">
        <v>100029771</v>
      </c>
      <c r="D275" t="s">
        <v>2731</v>
      </c>
      <c r="E275" t="s">
        <v>2439</v>
      </c>
      <c r="F275" t="s">
        <v>2811</v>
      </c>
      <c r="G275" t="s">
        <v>2812</v>
      </c>
      <c r="H275" s="23">
        <v>0.6875</v>
      </c>
      <c r="I275" t="s">
        <v>2696</v>
      </c>
      <c r="J275" t="s">
        <v>2528</v>
      </c>
      <c r="K275" t="s">
        <v>2613</v>
      </c>
      <c r="L275" t="s">
        <v>2462</v>
      </c>
      <c r="M275" t="s">
        <v>2570</v>
      </c>
      <c r="N275" s="6">
        <v>46005</v>
      </c>
      <c r="O275" t="s">
        <v>2461</v>
      </c>
      <c r="P275" t="s">
        <v>2442</v>
      </c>
      <c r="Q275" s="23">
        <v>0.58278935185185188</v>
      </c>
      <c r="R275" s="23">
        <v>0.8995023148148148</v>
      </c>
      <c r="S275">
        <v>25</v>
      </c>
      <c r="T275" t="s">
        <v>2443</v>
      </c>
      <c r="U275" t="s">
        <v>2577</v>
      </c>
      <c r="V275">
        <v>7.1</v>
      </c>
      <c r="W275">
        <v>7.1</v>
      </c>
      <c r="X275" t="s">
        <v>2689</v>
      </c>
      <c r="Y275" t="s">
        <v>2689</v>
      </c>
      <c r="Z275" t="s">
        <v>2689</v>
      </c>
      <c r="AA275" t="s">
        <v>2689</v>
      </c>
      <c r="AC275" t="s">
        <v>2689</v>
      </c>
      <c r="AD275" t="s">
        <v>2689</v>
      </c>
      <c r="AE275" t="s">
        <v>2689</v>
      </c>
      <c r="AF275" t="s">
        <v>2689</v>
      </c>
      <c r="AH275">
        <v>177.5</v>
      </c>
      <c r="AI275" t="s">
        <v>2690</v>
      </c>
      <c r="AJ275" t="s">
        <v>2690</v>
      </c>
      <c r="AK275" t="s">
        <v>2690</v>
      </c>
      <c r="AL275" t="s">
        <v>2690</v>
      </c>
      <c r="AP275">
        <v>177.5</v>
      </c>
      <c r="AR275" s="23">
        <v>0.58278935185185188</v>
      </c>
      <c r="AS275" s="23">
        <v>0.8995023148148148</v>
      </c>
      <c r="AT275" s="23">
        <v>0.58333333333333337</v>
      </c>
      <c r="AU275" s="23">
        <v>0.91666666666666663</v>
      </c>
      <c r="AV275" t="s">
        <v>2565</v>
      </c>
      <c r="AX275">
        <v>230</v>
      </c>
      <c r="AY275">
        <v>0.5</v>
      </c>
      <c r="AZ275" t="s">
        <v>3053</v>
      </c>
      <c r="BA275" t="s">
        <v>2798</v>
      </c>
      <c r="BD275" t="s">
        <v>2578</v>
      </c>
      <c r="BE275" t="s">
        <v>2988</v>
      </c>
      <c r="BG275">
        <v>0</v>
      </c>
      <c r="BH275">
        <v>0</v>
      </c>
      <c r="BJ275">
        <v>0</v>
      </c>
    </row>
    <row r="276" spans="1:62" x14ac:dyDescent="0.2">
      <c r="A276" t="s">
        <v>2462</v>
      </c>
      <c r="B276" t="s">
        <v>2462</v>
      </c>
      <c r="C276">
        <v>100029771</v>
      </c>
      <c r="D276" t="s">
        <v>2731</v>
      </c>
      <c r="E276" t="s">
        <v>2439</v>
      </c>
      <c r="F276" t="s">
        <v>2814</v>
      </c>
      <c r="G276" t="s">
        <v>2815</v>
      </c>
      <c r="H276" s="23">
        <v>0.47916666666666669</v>
      </c>
      <c r="I276" t="s">
        <v>2696</v>
      </c>
      <c r="J276" t="s">
        <v>2528</v>
      </c>
      <c r="K276" t="s">
        <v>2613</v>
      </c>
      <c r="L276" t="s">
        <v>2462</v>
      </c>
      <c r="M276" t="s">
        <v>2570</v>
      </c>
      <c r="N276" s="6">
        <v>46006</v>
      </c>
      <c r="O276" t="s">
        <v>2455</v>
      </c>
      <c r="P276" t="s">
        <v>2445</v>
      </c>
      <c r="Q276" s="23">
        <v>0.33218750000000002</v>
      </c>
      <c r="R276" s="23">
        <v>0.63215277777777779</v>
      </c>
      <c r="S276">
        <v>25</v>
      </c>
      <c r="T276" t="s">
        <v>2443</v>
      </c>
      <c r="U276" t="s">
        <v>2577</v>
      </c>
      <c r="V276">
        <v>6.7</v>
      </c>
      <c r="W276">
        <v>6.7</v>
      </c>
      <c r="X276" t="s">
        <v>2689</v>
      </c>
      <c r="Y276" t="s">
        <v>2689</v>
      </c>
      <c r="Z276" t="s">
        <v>2689</v>
      </c>
      <c r="AA276" t="s">
        <v>2689</v>
      </c>
      <c r="AC276" t="s">
        <v>2689</v>
      </c>
      <c r="AD276" t="s">
        <v>2689</v>
      </c>
      <c r="AE276" t="s">
        <v>2689</v>
      </c>
      <c r="AF276" t="s">
        <v>2689</v>
      </c>
      <c r="AH276">
        <v>167.5</v>
      </c>
      <c r="AI276" t="s">
        <v>2690</v>
      </c>
      <c r="AJ276" t="s">
        <v>2690</v>
      </c>
      <c r="AK276" t="s">
        <v>2690</v>
      </c>
      <c r="AL276" t="s">
        <v>2690</v>
      </c>
      <c r="AP276">
        <v>167.5</v>
      </c>
      <c r="AR276" s="23">
        <v>0.33218750000000002</v>
      </c>
      <c r="AS276" s="23">
        <v>0.63215277777777779</v>
      </c>
      <c r="AT276" s="23">
        <v>0.33333333333333331</v>
      </c>
      <c r="AU276" s="23">
        <v>0.66666666666666663</v>
      </c>
      <c r="AV276" t="s">
        <v>2565</v>
      </c>
      <c r="AX276">
        <v>230</v>
      </c>
      <c r="AY276">
        <v>0.5</v>
      </c>
      <c r="AZ276" t="s">
        <v>3054</v>
      </c>
      <c r="BA276" t="s">
        <v>2769</v>
      </c>
      <c r="BD276" t="s">
        <v>2578</v>
      </c>
      <c r="BE276" t="s">
        <v>2988</v>
      </c>
      <c r="BG276">
        <v>0</v>
      </c>
      <c r="BH276">
        <v>0</v>
      </c>
      <c r="BJ276">
        <v>0</v>
      </c>
    </row>
    <row r="277" spans="1:62" x14ac:dyDescent="0.2">
      <c r="A277" t="s">
        <v>2462</v>
      </c>
      <c r="B277" t="s">
        <v>2462</v>
      </c>
      <c r="C277">
        <v>100029771</v>
      </c>
      <c r="D277" t="s">
        <v>2731</v>
      </c>
      <c r="E277" t="s">
        <v>2439</v>
      </c>
      <c r="F277" t="s">
        <v>2452</v>
      </c>
      <c r="G277" t="s">
        <v>2453</v>
      </c>
      <c r="H277" s="23">
        <v>0.33333333333333331</v>
      </c>
      <c r="I277" t="s">
        <v>2688</v>
      </c>
      <c r="J277" t="s">
        <v>2575</v>
      </c>
      <c r="K277" t="s">
        <v>2592</v>
      </c>
      <c r="L277" t="s">
        <v>2462</v>
      </c>
      <c r="M277" t="s">
        <v>2467</v>
      </c>
      <c r="N277" s="6">
        <v>46008</v>
      </c>
      <c r="O277" t="s">
        <v>2458</v>
      </c>
      <c r="P277" t="s">
        <v>2445</v>
      </c>
      <c r="Q277" s="23">
        <v>0.33253472222222225</v>
      </c>
      <c r="R277" s="23">
        <v>0.54087962962962965</v>
      </c>
      <c r="S277">
        <v>25</v>
      </c>
      <c r="T277" t="s">
        <v>2443</v>
      </c>
      <c r="U277" t="s">
        <v>2577</v>
      </c>
      <c r="V277">
        <v>5</v>
      </c>
      <c r="W277">
        <v>5</v>
      </c>
      <c r="X277" t="s">
        <v>2689</v>
      </c>
      <c r="Y277" t="s">
        <v>2689</v>
      </c>
      <c r="Z277" t="s">
        <v>2689</v>
      </c>
      <c r="AA277" t="s">
        <v>2689</v>
      </c>
      <c r="AC277" t="s">
        <v>2689</v>
      </c>
      <c r="AD277" t="s">
        <v>2689</v>
      </c>
      <c r="AE277" t="s">
        <v>2689</v>
      </c>
      <c r="AF277" t="s">
        <v>2689</v>
      </c>
      <c r="AH277">
        <v>125</v>
      </c>
      <c r="AI277" t="s">
        <v>2690</v>
      </c>
      <c r="AJ277" t="s">
        <v>2690</v>
      </c>
      <c r="AK277" t="s">
        <v>2690</v>
      </c>
      <c r="AL277" t="s">
        <v>2690</v>
      </c>
      <c r="AP277">
        <v>125</v>
      </c>
      <c r="AR277" s="23">
        <v>0.33253472222222225</v>
      </c>
      <c r="AS277" s="23">
        <v>0.54087962962962965</v>
      </c>
      <c r="AT277" s="23">
        <v>0.33333333333333331</v>
      </c>
      <c r="AU277" s="23">
        <v>0.54166666666666663</v>
      </c>
      <c r="AV277" t="s">
        <v>2565</v>
      </c>
      <c r="AX277">
        <v>100</v>
      </c>
      <c r="BA277" t="s">
        <v>2771</v>
      </c>
      <c r="BD277" t="s">
        <v>2578</v>
      </c>
      <c r="BE277" t="s">
        <v>2988</v>
      </c>
      <c r="BG277">
        <v>0</v>
      </c>
      <c r="BH277">
        <v>0</v>
      </c>
      <c r="BJ277">
        <v>0</v>
      </c>
    </row>
    <row r="278" spans="1:62" x14ac:dyDescent="0.2">
      <c r="A278" t="s">
        <v>2462</v>
      </c>
      <c r="B278" t="s">
        <v>2462</v>
      </c>
      <c r="C278">
        <v>100032214</v>
      </c>
      <c r="D278" t="s">
        <v>2733</v>
      </c>
      <c r="E278" t="s">
        <v>2552</v>
      </c>
      <c r="F278" t="s">
        <v>2452</v>
      </c>
      <c r="G278" t="s">
        <v>2453</v>
      </c>
      <c r="H278" s="23">
        <v>0.33333333333333331</v>
      </c>
      <c r="I278" t="s">
        <v>2688</v>
      </c>
      <c r="J278" t="s">
        <v>2575</v>
      </c>
      <c r="K278" t="s">
        <v>2586</v>
      </c>
      <c r="L278" t="s">
        <v>2462</v>
      </c>
      <c r="M278" t="s">
        <v>2467</v>
      </c>
      <c r="N278" s="6">
        <v>45992</v>
      </c>
      <c r="O278" t="s">
        <v>2455</v>
      </c>
      <c r="P278" t="s">
        <v>2445</v>
      </c>
      <c r="Q278" s="23">
        <v>0.32849537037037035</v>
      </c>
      <c r="R278" s="23">
        <v>0.66812499999999997</v>
      </c>
      <c r="S278">
        <v>25</v>
      </c>
      <c r="T278" t="s">
        <v>2443</v>
      </c>
      <c r="U278" t="s">
        <v>2577</v>
      </c>
      <c r="V278">
        <v>7.38</v>
      </c>
      <c r="W278">
        <v>7.38</v>
      </c>
      <c r="X278" t="s">
        <v>2689</v>
      </c>
      <c r="Y278" t="s">
        <v>2689</v>
      </c>
      <c r="Z278" t="s">
        <v>2689</v>
      </c>
      <c r="AA278" t="s">
        <v>2689</v>
      </c>
      <c r="AC278" t="s">
        <v>2689</v>
      </c>
      <c r="AD278" t="s">
        <v>2689</v>
      </c>
      <c r="AE278" t="s">
        <v>2689</v>
      </c>
      <c r="AF278" t="s">
        <v>2689</v>
      </c>
      <c r="AH278">
        <v>184.5</v>
      </c>
      <c r="AI278" t="s">
        <v>2690</v>
      </c>
      <c r="AJ278" t="s">
        <v>2690</v>
      </c>
      <c r="AK278" t="s">
        <v>2690</v>
      </c>
      <c r="AL278" t="s">
        <v>2690</v>
      </c>
      <c r="AP278">
        <v>184.5</v>
      </c>
      <c r="AR278" s="23">
        <v>0.32849537037037035</v>
      </c>
      <c r="AS278" s="23">
        <v>0.66812499999999997</v>
      </c>
      <c r="AT278" s="23">
        <v>0.33333333333333331</v>
      </c>
      <c r="AU278" s="23">
        <v>0.6875</v>
      </c>
      <c r="AV278" t="s">
        <v>2565</v>
      </c>
      <c r="AX278">
        <v>100</v>
      </c>
      <c r="AY278">
        <v>0.77</v>
      </c>
      <c r="AZ278" t="s">
        <v>3055</v>
      </c>
      <c r="BA278" t="s">
        <v>2692</v>
      </c>
      <c r="BD278" t="s">
        <v>2578</v>
      </c>
      <c r="BE278" t="s">
        <v>2988</v>
      </c>
      <c r="BG278">
        <v>0</v>
      </c>
      <c r="BH278">
        <v>0</v>
      </c>
      <c r="BJ278">
        <v>0</v>
      </c>
    </row>
    <row r="279" spans="1:62" x14ac:dyDescent="0.2">
      <c r="A279" t="s">
        <v>2462</v>
      </c>
      <c r="B279" t="s">
        <v>2462</v>
      </c>
      <c r="C279">
        <v>100032214</v>
      </c>
      <c r="D279" t="s">
        <v>2733</v>
      </c>
      <c r="E279" t="s">
        <v>2552</v>
      </c>
      <c r="F279" t="s">
        <v>2800</v>
      </c>
      <c r="G279" t="s">
        <v>2801</v>
      </c>
      <c r="H279" s="23">
        <v>0.66666666666666663</v>
      </c>
      <c r="I279" t="s">
        <v>2696</v>
      </c>
      <c r="J279" t="s">
        <v>2575</v>
      </c>
      <c r="K279" t="s">
        <v>2586</v>
      </c>
      <c r="L279" t="s">
        <v>2462</v>
      </c>
      <c r="M279" t="s">
        <v>2467</v>
      </c>
      <c r="N279" s="6">
        <v>45993</v>
      </c>
      <c r="O279" t="s">
        <v>2457</v>
      </c>
      <c r="P279" t="s">
        <v>2445</v>
      </c>
      <c r="Q279" s="23">
        <v>0.32766203703703706</v>
      </c>
      <c r="R279" s="23">
        <v>0.66459490740740745</v>
      </c>
      <c r="S279">
        <v>25</v>
      </c>
      <c r="T279" t="s">
        <v>2443</v>
      </c>
      <c r="U279" t="s">
        <v>2577</v>
      </c>
      <c r="V279">
        <v>7.59</v>
      </c>
      <c r="W279">
        <v>7.59</v>
      </c>
      <c r="X279" t="s">
        <v>2689</v>
      </c>
      <c r="Y279" t="s">
        <v>2689</v>
      </c>
      <c r="Z279" t="s">
        <v>2689</v>
      </c>
      <c r="AA279" t="s">
        <v>2689</v>
      </c>
      <c r="AC279" t="s">
        <v>2689</v>
      </c>
      <c r="AD279" t="s">
        <v>2689</v>
      </c>
      <c r="AE279" t="s">
        <v>2689</v>
      </c>
      <c r="AF279" t="s">
        <v>2689</v>
      </c>
      <c r="AH279">
        <v>189.75</v>
      </c>
      <c r="AI279" t="s">
        <v>2690</v>
      </c>
      <c r="AJ279" t="s">
        <v>2690</v>
      </c>
      <c r="AK279" t="s">
        <v>2690</v>
      </c>
      <c r="AL279" t="s">
        <v>2690</v>
      </c>
      <c r="AP279">
        <v>189.75</v>
      </c>
      <c r="AR279" s="23">
        <v>0.32766203703703706</v>
      </c>
      <c r="AS279" s="23">
        <v>0.66459490740740745</v>
      </c>
      <c r="AT279" s="23">
        <v>0.33333333333333331</v>
      </c>
      <c r="AU279" s="23">
        <v>0.66666666666666663</v>
      </c>
      <c r="AV279" t="s">
        <v>2565</v>
      </c>
      <c r="AX279">
        <v>100</v>
      </c>
      <c r="AY279">
        <v>0.5</v>
      </c>
      <c r="AZ279" t="s">
        <v>3056</v>
      </c>
      <c r="BA279" t="s">
        <v>2752</v>
      </c>
      <c r="BD279" t="s">
        <v>2578</v>
      </c>
      <c r="BE279" t="s">
        <v>2988</v>
      </c>
      <c r="BG279">
        <v>0</v>
      </c>
      <c r="BH279">
        <v>0</v>
      </c>
      <c r="BJ279">
        <v>0</v>
      </c>
    </row>
    <row r="280" spans="1:62" x14ac:dyDescent="0.2">
      <c r="A280" t="s">
        <v>2462</v>
      </c>
      <c r="B280" t="s">
        <v>2462</v>
      </c>
      <c r="C280">
        <v>100032214</v>
      </c>
      <c r="D280" t="s">
        <v>2733</v>
      </c>
      <c r="E280" t="s">
        <v>2552</v>
      </c>
      <c r="F280" t="s">
        <v>2782</v>
      </c>
      <c r="G280" t="s">
        <v>2783</v>
      </c>
      <c r="H280" s="23">
        <v>0.70833333333333337</v>
      </c>
      <c r="I280" t="s">
        <v>2696</v>
      </c>
      <c r="J280" t="s">
        <v>2575</v>
      </c>
      <c r="K280" t="s">
        <v>2581</v>
      </c>
      <c r="L280" t="s">
        <v>2462</v>
      </c>
      <c r="M280" t="s">
        <v>2467</v>
      </c>
      <c r="N280" s="6">
        <v>45994</v>
      </c>
      <c r="O280" t="s">
        <v>2458</v>
      </c>
      <c r="P280" t="s">
        <v>2445</v>
      </c>
      <c r="Q280" s="23">
        <v>0.51513888888888892</v>
      </c>
      <c r="R280" s="23">
        <v>0.89111111111111108</v>
      </c>
      <c r="S280">
        <v>25</v>
      </c>
      <c r="T280" t="s">
        <v>2443</v>
      </c>
      <c r="U280" t="s">
        <v>2577</v>
      </c>
      <c r="V280">
        <v>8.52</v>
      </c>
      <c r="W280">
        <v>8</v>
      </c>
      <c r="X280">
        <v>0.52</v>
      </c>
      <c r="Y280" t="s">
        <v>2689</v>
      </c>
      <c r="Z280" t="s">
        <v>2689</v>
      </c>
      <c r="AA280" t="s">
        <v>2689</v>
      </c>
      <c r="AC280" t="s">
        <v>2689</v>
      </c>
      <c r="AD280" t="s">
        <v>2689</v>
      </c>
      <c r="AE280" t="s">
        <v>2689</v>
      </c>
      <c r="AF280" t="s">
        <v>2689</v>
      </c>
      <c r="AH280">
        <v>200</v>
      </c>
      <c r="AI280">
        <v>19.5</v>
      </c>
      <c r="AJ280" t="s">
        <v>2690</v>
      </c>
      <c r="AK280" t="s">
        <v>2690</v>
      </c>
      <c r="AL280" t="s">
        <v>2690</v>
      </c>
      <c r="AP280">
        <v>219.5</v>
      </c>
      <c r="AR280" s="23">
        <v>0.51513888888888892</v>
      </c>
      <c r="AS280" s="23">
        <v>0.89111111111111108</v>
      </c>
      <c r="AT280" s="23">
        <v>0.52083333333333337</v>
      </c>
      <c r="AU280" s="23">
        <v>0.85416666666666663</v>
      </c>
      <c r="AV280" t="s">
        <v>2565</v>
      </c>
      <c r="AX280">
        <v>100</v>
      </c>
      <c r="AY280">
        <v>0.5</v>
      </c>
      <c r="AZ280" t="s">
        <v>3057</v>
      </c>
      <c r="BA280" t="s">
        <v>2754</v>
      </c>
      <c r="BD280" t="s">
        <v>2578</v>
      </c>
      <c r="BE280" t="s">
        <v>2988</v>
      </c>
      <c r="BG280">
        <v>0</v>
      </c>
      <c r="BH280">
        <v>0</v>
      </c>
      <c r="BJ280">
        <v>0</v>
      </c>
    </row>
    <row r="281" spans="1:62" x14ac:dyDescent="0.2">
      <c r="A281" t="s">
        <v>2462</v>
      </c>
      <c r="B281" t="s">
        <v>2462</v>
      </c>
      <c r="C281">
        <v>100032214</v>
      </c>
      <c r="D281" t="s">
        <v>2733</v>
      </c>
      <c r="E281" t="s">
        <v>2552</v>
      </c>
      <c r="F281" t="s">
        <v>2804</v>
      </c>
      <c r="G281" t="s">
        <v>2805</v>
      </c>
      <c r="H281" s="23">
        <v>0.70833333333333337</v>
      </c>
      <c r="I281" t="s">
        <v>2696</v>
      </c>
      <c r="J281" t="s">
        <v>2575</v>
      </c>
      <c r="K281" t="s">
        <v>2586</v>
      </c>
      <c r="L281" t="s">
        <v>2462</v>
      </c>
      <c r="M281" t="s">
        <v>2467</v>
      </c>
      <c r="N281" s="6">
        <v>45995</v>
      </c>
      <c r="O281" t="s">
        <v>2459</v>
      </c>
      <c r="P281" t="s">
        <v>2445</v>
      </c>
      <c r="Q281" s="23">
        <v>0.515625</v>
      </c>
      <c r="R281" s="23">
        <v>0.84324074074074074</v>
      </c>
      <c r="S281">
        <v>25</v>
      </c>
      <c r="T281" t="s">
        <v>2443</v>
      </c>
      <c r="U281" t="s">
        <v>2577</v>
      </c>
      <c r="V281">
        <v>7.36</v>
      </c>
      <c r="W281">
        <v>7.36</v>
      </c>
      <c r="X281" t="s">
        <v>2689</v>
      </c>
      <c r="Y281" t="s">
        <v>2689</v>
      </c>
      <c r="Z281" t="s">
        <v>2689</v>
      </c>
      <c r="AA281" t="s">
        <v>2689</v>
      </c>
      <c r="AC281" t="s">
        <v>2689</v>
      </c>
      <c r="AD281" t="s">
        <v>2689</v>
      </c>
      <c r="AE281" t="s">
        <v>2689</v>
      </c>
      <c r="AF281" t="s">
        <v>2689</v>
      </c>
      <c r="AH281">
        <v>184</v>
      </c>
      <c r="AI281" t="s">
        <v>2690</v>
      </c>
      <c r="AJ281" t="s">
        <v>2690</v>
      </c>
      <c r="AK281" t="s">
        <v>2690</v>
      </c>
      <c r="AL281" t="s">
        <v>2690</v>
      </c>
      <c r="AP281">
        <v>184</v>
      </c>
      <c r="AR281" s="23">
        <v>0.515625</v>
      </c>
      <c r="AS281" s="23">
        <v>0.84324074074074074</v>
      </c>
      <c r="AT281" s="23">
        <v>0.52083333333333337</v>
      </c>
      <c r="AU281" s="23">
        <v>0.85416666666666663</v>
      </c>
      <c r="AV281" t="s">
        <v>2565</v>
      </c>
      <c r="AX281">
        <v>100</v>
      </c>
      <c r="AY281">
        <v>0.5</v>
      </c>
      <c r="AZ281" t="s">
        <v>3058</v>
      </c>
      <c r="BA281" t="s">
        <v>2754</v>
      </c>
      <c r="BD281" t="s">
        <v>2578</v>
      </c>
      <c r="BE281" t="s">
        <v>2988</v>
      </c>
      <c r="BG281">
        <v>0</v>
      </c>
      <c r="BH281">
        <v>0</v>
      </c>
      <c r="BJ281">
        <v>0</v>
      </c>
    </row>
    <row r="282" spans="1:62" x14ac:dyDescent="0.2">
      <c r="A282" t="s">
        <v>2462</v>
      </c>
      <c r="B282" t="s">
        <v>2462</v>
      </c>
      <c r="C282">
        <v>100032214</v>
      </c>
      <c r="D282" t="s">
        <v>2733</v>
      </c>
      <c r="E282" t="s">
        <v>2552</v>
      </c>
      <c r="F282" t="s">
        <v>2452</v>
      </c>
      <c r="G282" t="s">
        <v>2453</v>
      </c>
      <c r="H282" s="23">
        <v>0.33333333333333331</v>
      </c>
      <c r="I282" t="s">
        <v>2688</v>
      </c>
      <c r="J282" t="s">
        <v>2528</v>
      </c>
      <c r="K282" t="s">
        <v>3021</v>
      </c>
      <c r="L282" t="s">
        <v>2462</v>
      </c>
      <c r="M282" t="s">
        <v>2570</v>
      </c>
      <c r="N282" s="6">
        <v>45996</v>
      </c>
      <c r="O282" t="s">
        <v>2449</v>
      </c>
      <c r="P282" t="s">
        <v>2445</v>
      </c>
      <c r="Q282" s="23">
        <v>0.32863425925925926</v>
      </c>
      <c r="R282" s="23">
        <v>0.54387731481481483</v>
      </c>
      <c r="S282">
        <v>25</v>
      </c>
      <c r="T282" t="s">
        <v>2443</v>
      </c>
      <c r="U282" t="s">
        <v>2577</v>
      </c>
      <c r="V282">
        <v>5.17</v>
      </c>
      <c r="W282">
        <v>5.17</v>
      </c>
      <c r="X282" t="s">
        <v>2689</v>
      </c>
      <c r="Y282" t="s">
        <v>2689</v>
      </c>
      <c r="Z282" t="s">
        <v>2689</v>
      </c>
      <c r="AA282" t="s">
        <v>2689</v>
      </c>
      <c r="AC282" t="s">
        <v>2689</v>
      </c>
      <c r="AD282" t="s">
        <v>2689</v>
      </c>
      <c r="AE282" t="s">
        <v>2689</v>
      </c>
      <c r="AF282" t="s">
        <v>2689</v>
      </c>
      <c r="AH282">
        <v>129.25</v>
      </c>
      <c r="AI282" t="s">
        <v>2690</v>
      </c>
      <c r="AJ282" t="s">
        <v>2690</v>
      </c>
      <c r="AK282" t="s">
        <v>2690</v>
      </c>
      <c r="AL282" t="s">
        <v>2690</v>
      </c>
      <c r="AP282">
        <v>129.25</v>
      </c>
      <c r="AR282" s="23">
        <v>0.32863425925925926</v>
      </c>
      <c r="AS282" s="23">
        <v>0.54387731481481483</v>
      </c>
      <c r="AT282" s="23">
        <v>0.33333333333333331</v>
      </c>
      <c r="AU282" s="23">
        <v>0.66666666666666663</v>
      </c>
      <c r="AV282" t="s">
        <v>2565</v>
      </c>
      <c r="AX282">
        <v>230</v>
      </c>
      <c r="BA282" t="s">
        <v>2754</v>
      </c>
      <c r="BD282" t="s">
        <v>2578</v>
      </c>
      <c r="BE282" t="s">
        <v>2988</v>
      </c>
      <c r="BG282">
        <v>0</v>
      </c>
      <c r="BH282">
        <v>0</v>
      </c>
      <c r="BJ282">
        <v>0</v>
      </c>
    </row>
    <row r="283" spans="1:62" x14ac:dyDescent="0.2">
      <c r="A283" t="s">
        <v>2462</v>
      </c>
      <c r="B283" t="s">
        <v>2462</v>
      </c>
      <c r="C283">
        <v>100032214</v>
      </c>
      <c r="D283" t="s">
        <v>2733</v>
      </c>
      <c r="E283" t="s">
        <v>2552</v>
      </c>
      <c r="F283" t="s">
        <v>2452</v>
      </c>
      <c r="G283" t="s">
        <v>2453</v>
      </c>
      <c r="H283" s="23">
        <v>0.33333333333333331</v>
      </c>
      <c r="I283" t="s">
        <v>2688</v>
      </c>
      <c r="J283" t="s">
        <v>2528</v>
      </c>
      <c r="K283" t="s">
        <v>2665</v>
      </c>
      <c r="L283" t="s">
        <v>2462</v>
      </c>
      <c r="M283" t="s">
        <v>2570</v>
      </c>
      <c r="N283" s="6">
        <v>45998</v>
      </c>
      <c r="O283" t="s">
        <v>2461</v>
      </c>
      <c r="P283" t="s">
        <v>2442</v>
      </c>
      <c r="Q283" s="23">
        <v>0.33033564814814814</v>
      </c>
      <c r="R283" s="23">
        <v>0.68108796296296292</v>
      </c>
      <c r="S283">
        <v>25</v>
      </c>
      <c r="T283" t="s">
        <v>2443</v>
      </c>
      <c r="U283" t="s">
        <v>2577</v>
      </c>
      <c r="V283">
        <v>7.92</v>
      </c>
      <c r="W283">
        <v>7.92</v>
      </c>
      <c r="X283" t="s">
        <v>2689</v>
      </c>
      <c r="Y283" t="s">
        <v>2689</v>
      </c>
      <c r="Z283" t="s">
        <v>2689</v>
      </c>
      <c r="AA283" t="s">
        <v>2689</v>
      </c>
      <c r="AC283" t="s">
        <v>2689</v>
      </c>
      <c r="AD283" t="s">
        <v>2689</v>
      </c>
      <c r="AE283" t="s">
        <v>2689</v>
      </c>
      <c r="AF283" t="s">
        <v>2689</v>
      </c>
      <c r="AH283">
        <v>198</v>
      </c>
      <c r="AI283" t="s">
        <v>2690</v>
      </c>
      <c r="AJ283" t="s">
        <v>2690</v>
      </c>
      <c r="AK283" t="s">
        <v>2690</v>
      </c>
      <c r="AL283" t="s">
        <v>2690</v>
      </c>
      <c r="AP283">
        <v>198</v>
      </c>
      <c r="AR283" s="23">
        <v>0.33033564814814814</v>
      </c>
      <c r="AS283" s="23">
        <v>0.68108796296296292</v>
      </c>
      <c r="AT283" s="23">
        <v>0.33333333333333331</v>
      </c>
      <c r="AU283" s="23">
        <v>0.66666666666666663</v>
      </c>
      <c r="AV283" t="s">
        <v>2565</v>
      </c>
      <c r="AX283">
        <v>230</v>
      </c>
      <c r="AY283">
        <v>0.5</v>
      </c>
      <c r="AZ283" t="s">
        <v>3059</v>
      </c>
      <c r="BA283" t="s">
        <v>2754</v>
      </c>
      <c r="BD283" t="s">
        <v>2578</v>
      </c>
      <c r="BE283" t="s">
        <v>2988</v>
      </c>
      <c r="BG283">
        <v>0</v>
      </c>
      <c r="BH283">
        <v>0</v>
      </c>
      <c r="BJ283">
        <v>0</v>
      </c>
    </row>
    <row r="284" spans="1:62" x14ac:dyDescent="0.2">
      <c r="A284" t="s">
        <v>2462</v>
      </c>
      <c r="B284" t="s">
        <v>2462</v>
      </c>
      <c r="C284">
        <v>100032214</v>
      </c>
      <c r="D284" t="s">
        <v>2733</v>
      </c>
      <c r="E284" t="s">
        <v>2552</v>
      </c>
      <c r="F284" t="s">
        <v>2786</v>
      </c>
      <c r="G284" t="s">
        <v>2787</v>
      </c>
      <c r="H284" s="23">
        <v>0.66666666666666663</v>
      </c>
      <c r="I284" t="s">
        <v>2696</v>
      </c>
      <c r="J284" t="s">
        <v>2528</v>
      </c>
      <c r="K284" t="s">
        <v>2667</v>
      </c>
      <c r="L284" t="s">
        <v>2462</v>
      </c>
      <c r="M284" t="s">
        <v>2570</v>
      </c>
      <c r="N284" s="6">
        <v>45999</v>
      </c>
      <c r="O284" t="s">
        <v>2455</v>
      </c>
      <c r="P284" t="s">
        <v>2445</v>
      </c>
      <c r="Q284" s="23">
        <v>0.51814814814814814</v>
      </c>
      <c r="R284" s="23">
        <v>0.85638888888888887</v>
      </c>
      <c r="S284">
        <v>25</v>
      </c>
      <c r="T284" t="s">
        <v>2443</v>
      </c>
      <c r="U284" t="s">
        <v>2577</v>
      </c>
      <c r="V284">
        <v>7.62</v>
      </c>
      <c r="W284">
        <v>7.62</v>
      </c>
      <c r="X284" t="s">
        <v>2689</v>
      </c>
      <c r="Y284" t="s">
        <v>2689</v>
      </c>
      <c r="Z284" t="s">
        <v>2689</v>
      </c>
      <c r="AA284" t="s">
        <v>2689</v>
      </c>
      <c r="AC284" t="s">
        <v>2689</v>
      </c>
      <c r="AD284" t="s">
        <v>2689</v>
      </c>
      <c r="AE284" t="s">
        <v>2689</v>
      </c>
      <c r="AF284" t="s">
        <v>2689</v>
      </c>
      <c r="AH284">
        <v>190.5</v>
      </c>
      <c r="AI284" t="s">
        <v>2690</v>
      </c>
      <c r="AJ284" t="s">
        <v>2690</v>
      </c>
      <c r="AK284" t="s">
        <v>2690</v>
      </c>
      <c r="AL284" t="s">
        <v>2690</v>
      </c>
      <c r="AP284">
        <v>190.5</v>
      </c>
      <c r="AR284" s="23">
        <v>0.51814814814814814</v>
      </c>
      <c r="AS284" s="23">
        <v>0.85638888888888887</v>
      </c>
      <c r="AT284" s="23">
        <v>0.52083333333333337</v>
      </c>
      <c r="AU284" s="23">
        <v>0.85416666666666663</v>
      </c>
      <c r="AV284" t="s">
        <v>2565</v>
      </c>
      <c r="AX284">
        <v>230</v>
      </c>
      <c r="AY284">
        <v>0.5</v>
      </c>
      <c r="AZ284" t="s">
        <v>3060</v>
      </c>
      <c r="BA284" t="s">
        <v>2861</v>
      </c>
      <c r="BD284" t="s">
        <v>2578</v>
      </c>
      <c r="BE284" t="s">
        <v>2988</v>
      </c>
      <c r="BG284">
        <v>0</v>
      </c>
      <c r="BH284">
        <v>0</v>
      </c>
      <c r="BJ284">
        <v>0</v>
      </c>
    </row>
    <row r="285" spans="1:62" x14ac:dyDescent="0.2">
      <c r="A285" t="s">
        <v>2462</v>
      </c>
      <c r="B285" t="s">
        <v>2462</v>
      </c>
      <c r="C285">
        <v>100032214</v>
      </c>
      <c r="D285" t="s">
        <v>2733</v>
      </c>
      <c r="E285" t="s">
        <v>2552</v>
      </c>
      <c r="F285" t="s">
        <v>2789</v>
      </c>
      <c r="G285" t="s">
        <v>2790</v>
      </c>
      <c r="H285" s="23">
        <v>0.375</v>
      </c>
      <c r="I285" t="s">
        <v>2696</v>
      </c>
      <c r="J285" t="s">
        <v>2528</v>
      </c>
      <c r="K285" t="s">
        <v>3021</v>
      </c>
      <c r="L285" t="s">
        <v>2462</v>
      </c>
      <c r="M285" t="s">
        <v>2570</v>
      </c>
      <c r="N285" s="6">
        <v>46000</v>
      </c>
      <c r="O285" t="s">
        <v>2457</v>
      </c>
      <c r="P285" t="s">
        <v>2445</v>
      </c>
      <c r="Q285" s="23">
        <v>0.24353009259259259</v>
      </c>
      <c r="R285" s="23">
        <v>0.59865740740740736</v>
      </c>
      <c r="S285">
        <v>25</v>
      </c>
      <c r="T285" t="s">
        <v>2443</v>
      </c>
      <c r="U285" t="s">
        <v>2577</v>
      </c>
      <c r="V285">
        <v>8.02</v>
      </c>
      <c r="W285">
        <v>3.93</v>
      </c>
      <c r="X285">
        <v>4.09</v>
      </c>
      <c r="Y285" t="s">
        <v>2689</v>
      </c>
      <c r="Z285" t="s">
        <v>2689</v>
      </c>
      <c r="AA285" t="s">
        <v>2689</v>
      </c>
      <c r="AC285" t="s">
        <v>2689</v>
      </c>
      <c r="AD285" t="s">
        <v>2689</v>
      </c>
      <c r="AE285" t="s">
        <v>2689</v>
      </c>
      <c r="AF285" t="s">
        <v>2689</v>
      </c>
      <c r="AH285">
        <v>98.25</v>
      </c>
      <c r="AI285">
        <v>153.38</v>
      </c>
      <c r="AJ285" t="s">
        <v>2690</v>
      </c>
      <c r="AK285" t="s">
        <v>2690</v>
      </c>
      <c r="AL285" t="s">
        <v>2690</v>
      </c>
      <c r="AP285">
        <v>251.63</v>
      </c>
      <c r="AR285" s="23">
        <v>0.24353009259259259</v>
      </c>
      <c r="AS285" s="23">
        <v>0.59865740740740736</v>
      </c>
      <c r="AT285" s="23">
        <v>0.25</v>
      </c>
      <c r="AU285" s="23">
        <v>0.58333333333333337</v>
      </c>
      <c r="AV285" t="s">
        <v>2565</v>
      </c>
      <c r="AX285">
        <v>230</v>
      </c>
      <c r="AY285">
        <v>0.5</v>
      </c>
      <c r="AZ285" t="s">
        <v>3061</v>
      </c>
      <c r="BA285" t="s">
        <v>2757</v>
      </c>
      <c r="BD285" t="s">
        <v>2578</v>
      </c>
      <c r="BE285" t="s">
        <v>2988</v>
      </c>
      <c r="BG285">
        <v>0</v>
      </c>
      <c r="BH285">
        <v>0</v>
      </c>
      <c r="BJ285">
        <v>0</v>
      </c>
    </row>
    <row r="286" spans="1:62" x14ac:dyDescent="0.2">
      <c r="A286" t="s">
        <v>2462</v>
      </c>
      <c r="B286" t="s">
        <v>2462</v>
      </c>
      <c r="C286">
        <v>100032214</v>
      </c>
      <c r="D286" t="s">
        <v>2733</v>
      </c>
      <c r="E286" t="s">
        <v>2552</v>
      </c>
      <c r="F286" t="s">
        <v>2452</v>
      </c>
      <c r="G286" t="s">
        <v>2453</v>
      </c>
      <c r="H286" s="23">
        <v>0.33333333333333331</v>
      </c>
      <c r="I286" t="s">
        <v>2688</v>
      </c>
      <c r="J286" t="s">
        <v>2528</v>
      </c>
      <c r="K286" t="s">
        <v>2667</v>
      </c>
      <c r="L286" t="s">
        <v>2462</v>
      </c>
      <c r="M286" t="s">
        <v>2570</v>
      </c>
      <c r="N286" s="6">
        <v>46001</v>
      </c>
      <c r="O286" t="s">
        <v>2458</v>
      </c>
      <c r="P286" t="s">
        <v>2445</v>
      </c>
      <c r="Q286" s="23">
        <v>0.40725694444444444</v>
      </c>
      <c r="R286" s="23">
        <v>0.71035879629629628</v>
      </c>
      <c r="S286">
        <v>25</v>
      </c>
      <c r="T286" t="s">
        <v>2443</v>
      </c>
      <c r="U286" t="s">
        <v>2577</v>
      </c>
      <c r="V286">
        <v>6.77</v>
      </c>
      <c r="W286">
        <v>6.77</v>
      </c>
      <c r="X286" t="s">
        <v>2689</v>
      </c>
      <c r="Y286" t="s">
        <v>2689</v>
      </c>
      <c r="Z286" t="s">
        <v>2689</v>
      </c>
      <c r="AA286" t="s">
        <v>2689</v>
      </c>
      <c r="AC286" t="s">
        <v>2689</v>
      </c>
      <c r="AD286" t="s">
        <v>2689</v>
      </c>
      <c r="AE286" t="s">
        <v>2689</v>
      </c>
      <c r="AF286" t="s">
        <v>2689</v>
      </c>
      <c r="AH286">
        <v>169.25</v>
      </c>
      <c r="AI286" t="s">
        <v>2690</v>
      </c>
      <c r="AJ286" t="s">
        <v>2690</v>
      </c>
      <c r="AK286" t="s">
        <v>2690</v>
      </c>
      <c r="AL286" t="s">
        <v>2690</v>
      </c>
      <c r="AP286">
        <v>169.25</v>
      </c>
      <c r="AQ286" t="s">
        <v>2442</v>
      </c>
      <c r="AR286" s="23">
        <v>0.40725694444444444</v>
      </c>
      <c r="AS286" s="23">
        <v>0.71035879629629628</v>
      </c>
      <c r="AT286" s="23">
        <v>0.33333333333333331</v>
      </c>
      <c r="AU286" s="23">
        <v>0.66666666666666663</v>
      </c>
      <c r="AV286" t="s">
        <v>2565</v>
      </c>
      <c r="AX286">
        <v>230</v>
      </c>
      <c r="AY286">
        <v>0.5</v>
      </c>
      <c r="AZ286" t="s">
        <v>3062</v>
      </c>
      <c r="BA286" t="s">
        <v>2759</v>
      </c>
      <c r="BD286" t="s">
        <v>2578</v>
      </c>
      <c r="BE286" t="s">
        <v>2988</v>
      </c>
      <c r="BG286">
        <v>0</v>
      </c>
      <c r="BH286">
        <v>0</v>
      </c>
      <c r="BJ286">
        <v>0</v>
      </c>
    </row>
    <row r="287" spans="1:62" x14ac:dyDescent="0.2">
      <c r="A287" t="s">
        <v>2462</v>
      </c>
      <c r="B287" t="s">
        <v>2462</v>
      </c>
      <c r="C287">
        <v>100032214</v>
      </c>
      <c r="D287" t="s">
        <v>2733</v>
      </c>
      <c r="E287" t="s">
        <v>2552</v>
      </c>
      <c r="F287" t="s">
        <v>2791</v>
      </c>
      <c r="G287" t="s">
        <v>2792</v>
      </c>
      <c r="H287" s="23">
        <v>0.79166666666666663</v>
      </c>
      <c r="I287" t="s">
        <v>2696</v>
      </c>
      <c r="J287" t="s">
        <v>2528</v>
      </c>
      <c r="K287" t="s">
        <v>2613</v>
      </c>
      <c r="L287" t="s">
        <v>2462</v>
      </c>
      <c r="M287" t="s">
        <v>2570</v>
      </c>
      <c r="N287" s="6">
        <v>46002</v>
      </c>
      <c r="O287" t="s">
        <v>2459</v>
      </c>
      <c r="P287" t="s">
        <v>2445</v>
      </c>
      <c r="Q287" s="23">
        <v>0.57666666666666666</v>
      </c>
      <c r="R287" s="23">
        <v>2.4293981481481482E-2</v>
      </c>
      <c r="S287">
        <v>25</v>
      </c>
      <c r="T287" t="s">
        <v>2443</v>
      </c>
      <c r="U287" t="s">
        <v>2577</v>
      </c>
      <c r="V287">
        <v>10.24</v>
      </c>
      <c r="W287">
        <v>8</v>
      </c>
      <c r="X287">
        <v>2.2400000000000002</v>
      </c>
      <c r="Y287" t="s">
        <v>2689</v>
      </c>
      <c r="Z287" t="s">
        <v>2689</v>
      </c>
      <c r="AA287" t="s">
        <v>2689</v>
      </c>
      <c r="AC287" t="s">
        <v>2689</v>
      </c>
      <c r="AD287" t="s">
        <v>2689</v>
      </c>
      <c r="AE287" t="s">
        <v>2689</v>
      </c>
      <c r="AF287" t="s">
        <v>2689</v>
      </c>
      <c r="AH287">
        <v>200</v>
      </c>
      <c r="AI287">
        <v>84</v>
      </c>
      <c r="AJ287" t="s">
        <v>2690</v>
      </c>
      <c r="AK287" t="s">
        <v>2690</v>
      </c>
      <c r="AL287" t="s">
        <v>2690</v>
      </c>
      <c r="AP287">
        <v>284</v>
      </c>
      <c r="AR287" s="23">
        <v>0.57666666666666666</v>
      </c>
      <c r="AS287" s="23">
        <v>2.4293981481481482E-2</v>
      </c>
      <c r="AT287" s="23">
        <v>0.58333333333333337</v>
      </c>
      <c r="AU287" s="23">
        <v>0.91666666666666663</v>
      </c>
      <c r="AV287" t="s">
        <v>2565</v>
      </c>
      <c r="AX287">
        <v>230</v>
      </c>
      <c r="AY287">
        <v>0.5</v>
      </c>
      <c r="AZ287" t="s">
        <v>3063</v>
      </c>
      <c r="BA287" t="s">
        <v>2759</v>
      </c>
      <c r="BD287" t="s">
        <v>2578</v>
      </c>
      <c r="BE287" t="s">
        <v>2988</v>
      </c>
      <c r="BG287">
        <v>0</v>
      </c>
      <c r="BH287">
        <v>0</v>
      </c>
      <c r="BJ287">
        <v>0</v>
      </c>
    </row>
    <row r="288" spans="1:62" x14ac:dyDescent="0.2">
      <c r="A288" t="s">
        <v>2462</v>
      </c>
      <c r="B288" t="s">
        <v>2462</v>
      </c>
      <c r="C288">
        <v>100032214</v>
      </c>
      <c r="D288" t="s">
        <v>2733</v>
      </c>
      <c r="E288" t="s">
        <v>2552</v>
      </c>
      <c r="F288" t="s">
        <v>2794</v>
      </c>
      <c r="G288" t="s">
        <v>2795</v>
      </c>
      <c r="H288" s="23">
        <v>0.79166666666666663</v>
      </c>
      <c r="I288" t="s">
        <v>2696</v>
      </c>
      <c r="J288" t="s">
        <v>2575</v>
      </c>
      <c r="K288" t="s">
        <v>2586</v>
      </c>
      <c r="L288" t="s">
        <v>2462</v>
      </c>
      <c r="M288" t="s">
        <v>2467</v>
      </c>
      <c r="N288" s="6">
        <v>46003</v>
      </c>
      <c r="O288" t="s">
        <v>2449</v>
      </c>
      <c r="P288" t="s">
        <v>2445</v>
      </c>
      <c r="Q288" s="23">
        <v>0.57656249999999998</v>
      </c>
      <c r="R288" s="23">
        <v>9.432870370370371E-3</v>
      </c>
      <c r="S288">
        <v>25</v>
      </c>
      <c r="T288" t="s">
        <v>2443</v>
      </c>
      <c r="U288" t="s">
        <v>2577</v>
      </c>
      <c r="V288">
        <v>9.89</v>
      </c>
      <c r="W288">
        <v>8</v>
      </c>
      <c r="X288">
        <v>1.89</v>
      </c>
      <c r="Y288" t="s">
        <v>2689</v>
      </c>
      <c r="Z288" t="s">
        <v>2689</v>
      </c>
      <c r="AA288" t="s">
        <v>2689</v>
      </c>
      <c r="AC288" t="s">
        <v>2689</v>
      </c>
      <c r="AD288" t="s">
        <v>2689</v>
      </c>
      <c r="AE288" t="s">
        <v>2689</v>
      </c>
      <c r="AF288" t="s">
        <v>2689</v>
      </c>
      <c r="AH288">
        <v>200</v>
      </c>
      <c r="AI288">
        <v>70.88</v>
      </c>
      <c r="AJ288" t="s">
        <v>2690</v>
      </c>
      <c r="AK288" t="s">
        <v>2690</v>
      </c>
      <c r="AL288" t="s">
        <v>2690</v>
      </c>
      <c r="AP288">
        <v>270.88</v>
      </c>
      <c r="AR288" s="23">
        <v>0.57656249999999998</v>
      </c>
      <c r="AS288" s="23">
        <v>9.432870370370371E-3</v>
      </c>
      <c r="AT288" s="23">
        <v>0.58333333333333337</v>
      </c>
      <c r="AU288" s="23">
        <v>0.91666666666666663</v>
      </c>
      <c r="AV288" t="s">
        <v>2565</v>
      </c>
      <c r="AX288">
        <v>100</v>
      </c>
      <c r="AY288">
        <v>0.5</v>
      </c>
      <c r="AZ288" t="s">
        <v>3064</v>
      </c>
      <c r="BA288" t="s">
        <v>2798</v>
      </c>
      <c r="BD288" t="s">
        <v>2578</v>
      </c>
      <c r="BE288" t="s">
        <v>2988</v>
      </c>
      <c r="BG288">
        <v>0</v>
      </c>
      <c r="BH288">
        <v>0</v>
      </c>
      <c r="BJ288">
        <v>0</v>
      </c>
    </row>
    <row r="289" spans="1:62" x14ac:dyDescent="0.2">
      <c r="A289" t="s">
        <v>2462</v>
      </c>
      <c r="B289" t="s">
        <v>2462</v>
      </c>
      <c r="C289">
        <v>100032214</v>
      </c>
      <c r="D289" t="s">
        <v>2733</v>
      </c>
      <c r="E289" t="s">
        <v>2552</v>
      </c>
      <c r="F289" t="s">
        <v>2452</v>
      </c>
      <c r="G289" t="s">
        <v>2453</v>
      </c>
      <c r="H289" s="23">
        <v>0.33333333333333331</v>
      </c>
      <c r="I289" t="s">
        <v>2688</v>
      </c>
      <c r="J289" t="s">
        <v>2575</v>
      </c>
      <c r="K289" t="s">
        <v>2588</v>
      </c>
      <c r="L289" t="s">
        <v>2462</v>
      </c>
      <c r="M289" t="s">
        <v>2467</v>
      </c>
      <c r="N289" s="6">
        <v>46004</v>
      </c>
      <c r="O289" t="s">
        <v>2441</v>
      </c>
      <c r="P289" t="s">
        <v>2442</v>
      </c>
      <c r="Q289" s="23">
        <v>0.29206018518518517</v>
      </c>
      <c r="R289" s="23">
        <v>0.50974537037037038</v>
      </c>
      <c r="S289">
        <v>25</v>
      </c>
      <c r="T289" t="s">
        <v>2443</v>
      </c>
      <c r="U289" t="s">
        <v>2577</v>
      </c>
      <c r="V289">
        <v>5.22</v>
      </c>
      <c r="W289">
        <v>5.22</v>
      </c>
      <c r="X289" t="s">
        <v>2689</v>
      </c>
      <c r="Y289" t="s">
        <v>2689</v>
      </c>
      <c r="Z289" t="s">
        <v>2689</v>
      </c>
      <c r="AA289" t="s">
        <v>2689</v>
      </c>
      <c r="AC289" t="s">
        <v>2689</v>
      </c>
      <c r="AD289" t="s">
        <v>2689</v>
      </c>
      <c r="AE289" t="s">
        <v>2689</v>
      </c>
      <c r="AF289" t="s">
        <v>2689</v>
      </c>
      <c r="AH289">
        <v>130.5</v>
      </c>
      <c r="AI289" t="s">
        <v>2690</v>
      </c>
      <c r="AJ289" t="s">
        <v>2690</v>
      </c>
      <c r="AK289" t="s">
        <v>2690</v>
      </c>
      <c r="AL289" t="s">
        <v>2690</v>
      </c>
      <c r="AP289">
        <v>130.5</v>
      </c>
      <c r="AR289" s="23">
        <v>0.29206018518518517</v>
      </c>
      <c r="AS289" s="23">
        <v>0.50974537037037038</v>
      </c>
      <c r="AT289" s="23">
        <v>0.29166666666666669</v>
      </c>
      <c r="AU289" s="23">
        <v>0.625</v>
      </c>
      <c r="AV289" t="s">
        <v>2565</v>
      </c>
      <c r="AX289">
        <v>100</v>
      </c>
      <c r="BA289" t="s">
        <v>2798</v>
      </c>
      <c r="BD289" t="s">
        <v>2578</v>
      </c>
      <c r="BE289" t="s">
        <v>2988</v>
      </c>
      <c r="BG289">
        <v>0</v>
      </c>
      <c r="BH289">
        <v>0</v>
      </c>
      <c r="BJ289">
        <v>0</v>
      </c>
    </row>
    <row r="290" spans="1:62" x14ac:dyDescent="0.2">
      <c r="A290" t="s">
        <v>2462</v>
      </c>
      <c r="B290" t="s">
        <v>2462</v>
      </c>
      <c r="C290">
        <v>100032214</v>
      </c>
      <c r="D290" t="s">
        <v>2733</v>
      </c>
      <c r="E290" t="s">
        <v>2552</v>
      </c>
      <c r="F290" t="s">
        <v>2811</v>
      </c>
      <c r="G290" t="s">
        <v>2812</v>
      </c>
      <c r="H290" s="23">
        <v>0.6875</v>
      </c>
      <c r="I290" t="s">
        <v>2696</v>
      </c>
      <c r="J290" t="s">
        <v>2528</v>
      </c>
      <c r="K290" t="s">
        <v>2667</v>
      </c>
      <c r="L290" t="s">
        <v>2462</v>
      </c>
      <c r="M290" t="s">
        <v>2570</v>
      </c>
      <c r="N290" s="6">
        <v>46005</v>
      </c>
      <c r="O290" t="s">
        <v>2461</v>
      </c>
      <c r="P290" t="s">
        <v>2442</v>
      </c>
      <c r="Q290" s="23">
        <v>0.53490740740740739</v>
      </c>
      <c r="R290" s="23">
        <v>0.87481481481481482</v>
      </c>
      <c r="S290">
        <v>25</v>
      </c>
      <c r="T290" t="s">
        <v>2443</v>
      </c>
      <c r="U290" t="s">
        <v>2577</v>
      </c>
      <c r="V290">
        <v>7.66</v>
      </c>
      <c r="W290">
        <v>7.66</v>
      </c>
      <c r="X290" t="s">
        <v>2689</v>
      </c>
      <c r="Y290" t="s">
        <v>2689</v>
      </c>
      <c r="Z290" t="s">
        <v>2689</v>
      </c>
      <c r="AA290" t="s">
        <v>2689</v>
      </c>
      <c r="AC290" t="s">
        <v>2689</v>
      </c>
      <c r="AD290" t="s">
        <v>2689</v>
      </c>
      <c r="AE290" t="s">
        <v>2689</v>
      </c>
      <c r="AF290" t="s">
        <v>2689</v>
      </c>
      <c r="AH290">
        <v>191.5</v>
      </c>
      <c r="AI290" t="s">
        <v>2690</v>
      </c>
      <c r="AJ290" t="s">
        <v>2690</v>
      </c>
      <c r="AK290" t="s">
        <v>2690</v>
      </c>
      <c r="AL290" t="s">
        <v>2690</v>
      </c>
      <c r="AP290">
        <v>191.5</v>
      </c>
      <c r="AR290" s="23">
        <v>0.53490740740740739</v>
      </c>
      <c r="AS290" s="23">
        <v>0.87481481481481482</v>
      </c>
      <c r="AT290" s="23">
        <v>0.54166666666666663</v>
      </c>
      <c r="AU290" s="23">
        <v>0.875</v>
      </c>
      <c r="AV290" t="s">
        <v>2565</v>
      </c>
      <c r="AX290">
        <v>230</v>
      </c>
      <c r="AY290">
        <v>0.5</v>
      </c>
      <c r="AZ290" t="s">
        <v>3065</v>
      </c>
      <c r="BA290" t="s">
        <v>2798</v>
      </c>
      <c r="BD290" t="s">
        <v>2578</v>
      </c>
      <c r="BE290" t="s">
        <v>2988</v>
      </c>
      <c r="BG290">
        <v>0</v>
      </c>
      <c r="BH290">
        <v>0</v>
      </c>
      <c r="BJ290">
        <v>0</v>
      </c>
    </row>
    <row r="291" spans="1:62" x14ac:dyDescent="0.2">
      <c r="A291" t="s">
        <v>2462</v>
      </c>
      <c r="B291" t="s">
        <v>2462</v>
      </c>
      <c r="C291">
        <v>100032214</v>
      </c>
      <c r="D291" t="s">
        <v>2733</v>
      </c>
      <c r="E291" t="s">
        <v>2552</v>
      </c>
      <c r="F291" t="s">
        <v>2452</v>
      </c>
      <c r="G291" t="s">
        <v>2453</v>
      </c>
      <c r="H291" s="23">
        <v>0.33333333333333331</v>
      </c>
      <c r="I291" t="s">
        <v>2688</v>
      </c>
      <c r="J291" t="s">
        <v>2575</v>
      </c>
      <c r="K291" t="s">
        <v>2586</v>
      </c>
      <c r="L291" t="s">
        <v>2462</v>
      </c>
      <c r="M291" t="s">
        <v>2467</v>
      </c>
      <c r="N291" s="6">
        <v>46008</v>
      </c>
      <c r="O291" t="s">
        <v>2458</v>
      </c>
      <c r="P291" t="s">
        <v>2445</v>
      </c>
      <c r="Q291" s="23">
        <v>0.33657407407407408</v>
      </c>
      <c r="R291" s="23">
        <v>0.54082175925925924</v>
      </c>
      <c r="S291">
        <v>25</v>
      </c>
      <c r="T291" t="s">
        <v>2443</v>
      </c>
      <c r="U291" t="s">
        <v>2577</v>
      </c>
      <c r="V291">
        <v>4.9000000000000004</v>
      </c>
      <c r="W291">
        <v>4.9000000000000004</v>
      </c>
      <c r="X291" t="s">
        <v>2689</v>
      </c>
      <c r="Y291" t="s">
        <v>2689</v>
      </c>
      <c r="Z291" t="s">
        <v>2689</v>
      </c>
      <c r="AA291" t="s">
        <v>2689</v>
      </c>
      <c r="AC291" t="s">
        <v>2689</v>
      </c>
      <c r="AD291" t="s">
        <v>2689</v>
      </c>
      <c r="AE291" t="s">
        <v>2689</v>
      </c>
      <c r="AF291" t="s">
        <v>2689</v>
      </c>
      <c r="AH291">
        <v>122.5</v>
      </c>
      <c r="AI291" t="s">
        <v>2690</v>
      </c>
      <c r="AJ291" t="s">
        <v>2690</v>
      </c>
      <c r="AK291" t="s">
        <v>2690</v>
      </c>
      <c r="AL291" t="s">
        <v>2690</v>
      </c>
      <c r="AP291">
        <v>122.5</v>
      </c>
      <c r="AR291" s="23">
        <v>0.33657407407407408</v>
      </c>
      <c r="AS291" s="23">
        <v>0.54082175925925924</v>
      </c>
      <c r="AT291" s="23">
        <v>0.33333333333333331</v>
      </c>
      <c r="AU291" s="23">
        <v>0.54166666666666663</v>
      </c>
      <c r="AV291" t="s">
        <v>2565</v>
      </c>
      <c r="AX291">
        <v>100</v>
      </c>
      <c r="BA291" t="s">
        <v>2771</v>
      </c>
      <c r="BD291" t="s">
        <v>2578</v>
      </c>
      <c r="BE291" t="s">
        <v>2988</v>
      </c>
      <c r="BG291">
        <v>0</v>
      </c>
      <c r="BH291">
        <v>0</v>
      </c>
      <c r="BJ291">
        <v>0</v>
      </c>
    </row>
    <row r="292" spans="1:62" x14ac:dyDescent="0.2">
      <c r="A292" t="s">
        <v>2462</v>
      </c>
      <c r="B292" t="s">
        <v>2462</v>
      </c>
      <c r="C292">
        <v>100033952</v>
      </c>
      <c r="D292" t="s">
        <v>2593</v>
      </c>
      <c r="E292" t="s">
        <v>2439</v>
      </c>
      <c r="F292" t="s">
        <v>2452</v>
      </c>
      <c r="G292" t="s">
        <v>2453</v>
      </c>
      <c r="H292" s="23">
        <v>0.33333333333333331</v>
      </c>
      <c r="I292" t="s">
        <v>2688</v>
      </c>
      <c r="J292" t="s">
        <v>2568</v>
      </c>
      <c r="K292" t="s">
        <v>2573</v>
      </c>
      <c r="L292" t="s">
        <v>2462</v>
      </c>
      <c r="M292" t="s">
        <v>2570</v>
      </c>
      <c r="N292" s="6">
        <v>45992</v>
      </c>
      <c r="O292" t="s">
        <v>2455</v>
      </c>
      <c r="P292" t="s">
        <v>2445</v>
      </c>
      <c r="Q292" s="23">
        <v>0.33333333333333331</v>
      </c>
      <c r="R292" s="23">
        <v>0.66703703703703698</v>
      </c>
      <c r="S292">
        <v>19.600000000000001</v>
      </c>
      <c r="T292" t="s">
        <v>2443</v>
      </c>
      <c r="U292" t="s">
        <v>2571</v>
      </c>
      <c r="V292">
        <v>7.51</v>
      </c>
      <c r="W292">
        <v>7.51</v>
      </c>
      <c r="X292" t="s">
        <v>2689</v>
      </c>
      <c r="Y292" t="s">
        <v>2689</v>
      </c>
      <c r="Z292" t="s">
        <v>2689</v>
      </c>
      <c r="AA292" t="s">
        <v>2689</v>
      </c>
      <c r="AC292" t="s">
        <v>2689</v>
      </c>
      <c r="AD292" t="s">
        <v>2689</v>
      </c>
      <c r="AE292" t="s">
        <v>2689</v>
      </c>
      <c r="AF292" t="s">
        <v>2689</v>
      </c>
      <c r="AH292">
        <v>147.19999999999999</v>
      </c>
      <c r="AI292" t="s">
        <v>2690</v>
      </c>
      <c r="AJ292" t="s">
        <v>2690</v>
      </c>
      <c r="AK292" t="s">
        <v>2690</v>
      </c>
      <c r="AL292" t="s">
        <v>2690</v>
      </c>
      <c r="AP292">
        <v>147.19999999999999</v>
      </c>
      <c r="AR292" s="23">
        <v>0.33333333333333331</v>
      </c>
      <c r="AS292" s="23">
        <v>0.66703703703703698</v>
      </c>
      <c r="AT292" s="23">
        <v>0.33333333333333331</v>
      </c>
      <c r="AU292" s="23">
        <v>0.6875</v>
      </c>
      <c r="AV292" t="s">
        <v>2565</v>
      </c>
      <c r="AX292">
        <v>230</v>
      </c>
      <c r="AY292">
        <v>0.5</v>
      </c>
      <c r="AZ292" t="s">
        <v>3066</v>
      </c>
      <c r="BA292" t="s">
        <v>2692</v>
      </c>
      <c r="BD292" t="s">
        <v>2572</v>
      </c>
      <c r="BE292" t="s">
        <v>3017</v>
      </c>
      <c r="BG292">
        <v>0</v>
      </c>
      <c r="BH292">
        <v>0</v>
      </c>
      <c r="BJ292">
        <v>0</v>
      </c>
    </row>
    <row r="293" spans="1:62" x14ac:dyDescent="0.2">
      <c r="A293" t="s">
        <v>2462</v>
      </c>
      <c r="B293" t="s">
        <v>2462</v>
      </c>
      <c r="C293">
        <v>100033952</v>
      </c>
      <c r="D293" t="s">
        <v>2593</v>
      </c>
      <c r="E293" t="s">
        <v>2439</v>
      </c>
      <c r="F293" t="s">
        <v>2800</v>
      </c>
      <c r="G293" t="s">
        <v>2801</v>
      </c>
      <c r="H293" s="23">
        <v>0.66666666666666663</v>
      </c>
      <c r="I293" t="s">
        <v>2696</v>
      </c>
      <c r="J293" t="s">
        <v>2568</v>
      </c>
      <c r="K293" t="s">
        <v>2573</v>
      </c>
      <c r="L293" t="s">
        <v>2462</v>
      </c>
      <c r="M293" t="s">
        <v>2570</v>
      </c>
      <c r="N293" s="6">
        <v>45993</v>
      </c>
      <c r="O293" t="s">
        <v>2457</v>
      </c>
      <c r="P293" t="s">
        <v>2445</v>
      </c>
      <c r="Q293" s="23">
        <v>0.33403935185185185</v>
      </c>
      <c r="R293" s="23">
        <v>0.6471527777777778</v>
      </c>
      <c r="S293">
        <v>19.600000000000001</v>
      </c>
      <c r="T293" t="s">
        <v>2443</v>
      </c>
      <c r="U293" t="s">
        <v>2571</v>
      </c>
      <c r="V293">
        <v>7.01</v>
      </c>
      <c r="W293">
        <v>7.01</v>
      </c>
      <c r="X293" t="s">
        <v>2689</v>
      </c>
      <c r="Y293" t="s">
        <v>2689</v>
      </c>
      <c r="Z293" t="s">
        <v>2689</v>
      </c>
      <c r="AA293" t="s">
        <v>2689</v>
      </c>
      <c r="AC293" t="s">
        <v>2689</v>
      </c>
      <c r="AD293" t="s">
        <v>2689</v>
      </c>
      <c r="AE293" t="s">
        <v>2689</v>
      </c>
      <c r="AF293" t="s">
        <v>2689</v>
      </c>
      <c r="AH293">
        <v>137.4</v>
      </c>
      <c r="AI293" t="s">
        <v>2690</v>
      </c>
      <c r="AJ293" t="s">
        <v>2690</v>
      </c>
      <c r="AK293" t="s">
        <v>2690</v>
      </c>
      <c r="AL293" t="s">
        <v>2690</v>
      </c>
      <c r="AP293">
        <v>137.4</v>
      </c>
      <c r="AR293" s="23">
        <v>0.33403935185185185</v>
      </c>
      <c r="AS293" s="23">
        <v>0.6471527777777778</v>
      </c>
      <c r="AT293" s="23">
        <v>0.33333333333333331</v>
      </c>
      <c r="AU293" s="23">
        <v>0.66666666666666663</v>
      </c>
      <c r="AV293" t="s">
        <v>2565</v>
      </c>
      <c r="AX293">
        <v>230</v>
      </c>
      <c r="AY293">
        <v>0.5</v>
      </c>
      <c r="AZ293" t="s">
        <v>3067</v>
      </c>
      <c r="BA293" t="s">
        <v>2752</v>
      </c>
      <c r="BD293" t="s">
        <v>2572</v>
      </c>
      <c r="BE293" t="s">
        <v>3017</v>
      </c>
      <c r="BG293">
        <v>0</v>
      </c>
      <c r="BH293">
        <v>0</v>
      </c>
      <c r="BJ293">
        <v>0</v>
      </c>
    </row>
    <row r="294" spans="1:62" x14ac:dyDescent="0.2">
      <c r="A294" t="s">
        <v>2462</v>
      </c>
      <c r="B294" t="s">
        <v>2462</v>
      </c>
      <c r="C294">
        <v>100033952</v>
      </c>
      <c r="D294" t="s">
        <v>2593</v>
      </c>
      <c r="E294" t="s">
        <v>2439</v>
      </c>
      <c r="F294" t="s">
        <v>2782</v>
      </c>
      <c r="G294" t="s">
        <v>2783</v>
      </c>
      <c r="H294" s="23">
        <v>0.70833333333333337</v>
      </c>
      <c r="I294" t="s">
        <v>2696</v>
      </c>
      <c r="J294" t="s">
        <v>2568</v>
      </c>
      <c r="K294" t="s">
        <v>2573</v>
      </c>
      <c r="L294" t="s">
        <v>2462</v>
      </c>
      <c r="M294" t="s">
        <v>2570</v>
      </c>
      <c r="N294" s="6">
        <v>45994</v>
      </c>
      <c r="O294" t="s">
        <v>2458</v>
      </c>
      <c r="P294" t="s">
        <v>2445</v>
      </c>
      <c r="Q294" s="23">
        <v>0.51896990740740745</v>
      </c>
      <c r="R294" s="23">
        <v>0.8529282407407407</v>
      </c>
      <c r="S294">
        <v>19.600000000000001</v>
      </c>
      <c r="T294" t="s">
        <v>2443</v>
      </c>
      <c r="U294" t="s">
        <v>2571</v>
      </c>
      <c r="V294">
        <v>7.52</v>
      </c>
      <c r="W294">
        <v>7.52</v>
      </c>
      <c r="X294" t="s">
        <v>2689</v>
      </c>
      <c r="Y294" t="s">
        <v>2689</v>
      </c>
      <c r="Z294" t="s">
        <v>2689</v>
      </c>
      <c r="AA294" t="s">
        <v>2689</v>
      </c>
      <c r="AC294" t="s">
        <v>2689</v>
      </c>
      <c r="AD294" t="s">
        <v>2689</v>
      </c>
      <c r="AE294" t="s">
        <v>2689</v>
      </c>
      <c r="AF294" t="s">
        <v>2689</v>
      </c>
      <c r="AH294">
        <v>147.38999999999999</v>
      </c>
      <c r="AI294" t="s">
        <v>2690</v>
      </c>
      <c r="AJ294" t="s">
        <v>2690</v>
      </c>
      <c r="AK294" t="s">
        <v>2690</v>
      </c>
      <c r="AL294" t="s">
        <v>2690</v>
      </c>
      <c r="AP294">
        <v>147.38999999999999</v>
      </c>
      <c r="AR294" s="23">
        <v>0.51896990740740745</v>
      </c>
      <c r="AS294" s="23">
        <v>0.8529282407407407</v>
      </c>
      <c r="AT294" s="23">
        <v>0.52083333333333337</v>
      </c>
      <c r="AU294" s="23">
        <v>0.85416666666666663</v>
      </c>
      <c r="AV294" t="s">
        <v>2565</v>
      </c>
      <c r="AX294">
        <v>230</v>
      </c>
      <c r="AY294">
        <v>0.5</v>
      </c>
      <c r="AZ294" t="s">
        <v>3068</v>
      </c>
      <c r="BA294" t="s">
        <v>2754</v>
      </c>
      <c r="BD294" t="s">
        <v>2572</v>
      </c>
      <c r="BE294" t="s">
        <v>3017</v>
      </c>
      <c r="BG294">
        <v>0</v>
      </c>
      <c r="BH294">
        <v>0</v>
      </c>
      <c r="BJ294">
        <v>0</v>
      </c>
    </row>
    <row r="295" spans="1:62" x14ac:dyDescent="0.2">
      <c r="A295" t="s">
        <v>2462</v>
      </c>
      <c r="B295" t="s">
        <v>2462</v>
      </c>
      <c r="C295">
        <v>100033952</v>
      </c>
      <c r="D295" t="s">
        <v>2593</v>
      </c>
      <c r="E295" t="s">
        <v>2439</v>
      </c>
      <c r="F295" t="s">
        <v>2804</v>
      </c>
      <c r="G295" t="s">
        <v>2805</v>
      </c>
      <c r="H295" s="23">
        <v>0.70833333333333337</v>
      </c>
      <c r="I295" t="s">
        <v>2696</v>
      </c>
      <c r="J295" t="s">
        <v>2568</v>
      </c>
      <c r="K295" t="s">
        <v>2573</v>
      </c>
      <c r="L295" t="s">
        <v>2462</v>
      </c>
      <c r="M295" t="s">
        <v>2570</v>
      </c>
      <c r="N295" s="6">
        <v>45995</v>
      </c>
      <c r="O295" t="s">
        <v>2459</v>
      </c>
      <c r="P295" t="s">
        <v>2445</v>
      </c>
      <c r="Q295" s="23">
        <v>0.51443287037037033</v>
      </c>
      <c r="R295" s="23">
        <v>0.8165972222222222</v>
      </c>
      <c r="S295">
        <v>19.600000000000001</v>
      </c>
      <c r="T295" t="s">
        <v>2443</v>
      </c>
      <c r="U295" t="s">
        <v>2571</v>
      </c>
      <c r="V295">
        <v>6.75</v>
      </c>
      <c r="W295">
        <v>6.75</v>
      </c>
      <c r="X295" t="s">
        <v>2689</v>
      </c>
      <c r="Y295" t="s">
        <v>2689</v>
      </c>
      <c r="Z295" t="s">
        <v>2689</v>
      </c>
      <c r="AA295" t="s">
        <v>2689</v>
      </c>
      <c r="AC295" t="s">
        <v>2689</v>
      </c>
      <c r="AD295" t="s">
        <v>2689</v>
      </c>
      <c r="AE295" t="s">
        <v>2689</v>
      </c>
      <c r="AF295" t="s">
        <v>2689</v>
      </c>
      <c r="AH295">
        <v>132.30000000000001</v>
      </c>
      <c r="AI295" t="s">
        <v>2690</v>
      </c>
      <c r="AJ295" t="s">
        <v>2690</v>
      </c>
      <c r="AK295" t="s">
        <v>2690</v>
      </c>
      <c r="AL295" t="s">
        <v>2690</v>
      </c>
      <c r="AP295">
        <v>132.30000000000001</v>
      </c>
      <c r="AR295" s="23">
        <v>0.51443287037037033</v>
      </c>
      <c r="AS295" s="23">
        <v>0.8165972222222222</v>
      </c>
      <c r="AT295" s="23">
        <v>0.52083333333333337</v>
      </c>
      <c r="AU295" s="23">
        <v>0.85416666666666663</v>
      </c>
      <c r="AV295" t="s">
        <v>2565</v>
      </c>
      <c r="AX295">
        <v>230</v>
      </c>
      <c r="AY295">
        <v>0.5</v>
      </c>
      <c r="AZ295" t="s">
        <v>3069</v>
      </c>
      <c r="BA295" t="s">
        <v>2754</v>
      </c>
      <c r="BD295" t="s">
        <v>2572</v>
      </c>
      <c r="BE295" t="s">
        <v>3017</v>
      </c>
      <c r="BG295">
        <v>0</v>
      </c>
      <c r="BH295">
        <v>0</v>
      </c>
      <c r="BJ295">
        <v>0</v>
      </c>
    </row>
    <row r="296" spans="1:62" x14ac:dyDescent="0.2">
      <c r="A296" t="s">
        <v>2462</v>
      </c>
      <c r="B296" t="s">
        <v>2462</v>
      </c>
      <c r="C296">
        <v>100033952</v>
      </c>
      <c r="D296" t="s">
        <v>2593</v>
      </c>
      <c r="E296" t="s">
        <v>2439</v>
      </c>
      <c r="F296" t="s">
        <v>2452</v>
      </c>
      <c r="G296" t="s">
        <v>2453</v>
      </c>
      <c r="H296" s="23">
        <v>0.33333333333333331</v>
      </c>
      <c r="I296" t="s">
        <v>2688</v>
      </c>
      <c r="J296" t="s">
        <v>2568</v>
      </c>
      <c r="K296" t="s">
        <v>2610</v>
      </c>
      <c r="L296" t="s">
        <v>2462</v>
      </c>
      <c r="M296" t="s">
        <v>2570</v>
      </c>
      <c r="N296" s="6">
        <v>45996</v>
      </c>
      <c r="O296" t="s">
        <v>2449</v>
      </c>
      <c r="P296" t="s">
        <v>2445</v>
      </c>
      <c r="Q296" s="23">
        <v>0.33243055555555556</v>
      </c>
      <c r="R296" s="23">
        <v>0.54393518518518513</v>
      </c>
      <c r="S296">
        <v>19.600000000000001</v>
      </c>
      <c r="T296" t="s">
        <v>2443</v>
      </c>
      <c r="U296" t="s">
        <v>2571</v>
      </c>
      <c r="V296">
        <v>5.08</v>
      </c>
      <c r="W296">
        <v>5.08</v>
      </c>
      <c r="X296" t="s">
        <v>2689</v>
      </c>
      <c r="Y296" t="s">
        <v>2689</v>
      </c>
      <c r="Z296" t="s">
        <v>2689</v>
      </c>
      <c r="AA296" t="s">
        <v>2689</v>
      </c>
      <c r="AC296" t="s">
        <v>2689</v>
      </c>
      <c r="AD296" t="s">
        <v>2689</v>
      </c>
      <c r="AE296" t="s">
        <v>2689</v>
      </c>
      <c r="AF296" t="s">
        <v>2689</v>
      </c>
      <c r="AH296">
        <v>99.57</v>
      </c>
      <c r="AI296" t="s">
        <v>2690</v>
      </c>
      <c r="AJ296" t="s">
        <v>2690</v>
      </c>
      <c r="AK296" t="s">
        <v>2690</v>
      </c>
      <c r="AL296" t="s">
        <v>2690</v>
      </c>
      <c r="AP296">
        <v>99.57</v>
      </c>
      <c r="AR296" s="23">
        <v>0.33243055555555556</v>
      </c>
      <c r="AS296" s="23">
        <v>0.54393518518518513</v>
      </c>
      <c r="AT296" s="23">
        <v>0.33333333333333331</v>
      </c>
      <c r="AU296" s="23">
        <v>0.66666666666666663</v>
      </c>
      <c r="AV296" t="s">
        <v>2565</v>
      </c>
      <c r="AX296">
        <v>230</v>
      </c>
      <c r="BA296" t="s">
        <v>2754</v>
      </c>
      <c r="BD296" t="s">
        <v>2572</v>
      </c>
      <c r="BE296" t="s">
        <v>3017</v>
      </c>
      <c r="BG296">
        <v>0</v>
      </c>
      <c r="BH296">
        <v>0</v>
      </c>
      <c r="BJ296">
        <v>0</v>
      </c>
    </row>
    <row r="297" spans="1:62" x14ac:dyDescent="0.2">
      <c r="A297" t="s">
        <v>2462</v>
      </c>
      <c r="B297" t="s">
        <v>2462</v>
      </c>
      <c r="C297">
        <v>100033952</v>
      </c>
      <c r="D297" t="s">
        <v>2593</v>
      </c>
      <c r="E297" t="s">
        <v>2439</v>
      </c>
      <c r="F297" t="s">
        <v>2452</v>
      </c>
      <c r="G297" t="s">
        <v>2453</v>
      </c>
      <c r="H297" s="23">
        <v>0.33333333333333331</v>
      </c>
      <c r="I297" t="s">
        <v>2688</v>
      </c>
      <c r="J297" t="s">
        <v>2568</v>
      </c>
      <c r="K297" t="s">
        <v>2668</v>
      </c>
      <c r="L297" t="s">
        <v>2462</v>
      </c>
      <c r="M297" t="s">
        <v>2570</v>
      </c>
      <c r="N297" s="6">
        <v>45998</v>
      </c>
      <c r="O297" t="s">
        <v>2461</v>
      </c>
      <c r="P297" t="s">
        <v>2442</v>
      </c>
      <c r="Q297" s="23">
        <v>0.32946759259259262</v>
      </c>
      <c r="R297" s="23">
        <v>0.67179398148148151</v>
      </c>
      <c r="S297">
        <v>19.600000000000001</v>
      </c>
      <c r="T297" t="s">
        <v>2443</v>
      </c>
      <c r="U297" t="s">
        <v>2571</v>
      </c>
      <c r="V297">
        <v>7.72</v>
      </c>
      <c r="W297">
        <v>7.72</v>
      </c>
      <c r="X297" t="s">
        <v>2689</v>
      </c>
      <c r="Y297" t="s">
        <v>2689</v>
      </c>
      <c r="Z297" t="s">
        <v>2689</v>
      </c>
      <c r="AA297" t="s">
        <v>2689</v>
      </c>
      <c r="AC297" t="s">
        <v>2689</v>
      </c>
      <c r="AD297" t="s">
        <v>2689</v>
      </c>
      <c r="AE297" t="s">
        <v>2689</v>
      </c>
      <c r="AF297" t="s">
        <v>2689</v>
      </c>
      <c r="AH297">
        <v>151.31</v>
      </c>
      <c r="AI297" t="s">
        <v>2690</v>
      </c>
      <c r="AJ297" t="s">
        <v>2690</v>
      </c>
      <c r="AK297" t="s">
        <v>2690</v>
      </c>
      <c r="AL297" t="s">
        <v>2690</v>
      </c>
      <c r="AP297">
        <v>151.31</v>
      </c>
      <c r="AR297" s="23">
        <v>0.32946759259259262</v>
      </c>
      <c r="AS297" s="23">
        <v>0.67179398148148151</v>
      </c>
      <c r="AT297" s="23">
        <v>0.33333333333333331</v>
      </c>
      <c r="AU297" s="23">
        <v>0.66666666666666663</v>
      </c>
      <c r="AV297" t="s">
        <v>2565</v>
      </c>
      <c r="AX297">
        <v>230</v>
      </c>
      <c r="AY297">
        <v>0.5</v>
      </c>
      <c r="AZ297" t="s">
        <v>3070</v>
      </c>
      <c r="BA297" t="s">
        <v>2754</v>
      </c>
      <c r="BD297" t="s">
        <v>2572</v>
      </c>
      <c r="BE297" t="s">
        <v>3017</v>
      </c>
      <c r="BG297">
        <v>0</v>
      </c>
      <c r="BH297">
        <v>0</v>
      </c>
      <c r="BJ297">
        <v>0</v>
      </c>
    </row>
    <row r="298" spans="1:62" x14ac:dyDescent="0.2">
      <c r="A298" t="s">
        <v>2462</v>
      </c>
      <c r="B298" t="s">
        <v>2462</v>
      </c>
      <c r="C298">
        <v>100033952</v>
      </c>
      <c r="D298" t="s">
        <v>2593</v>
      </c>
      <c r="E298" t="s">
        <v>2439</v>
      </c>
      <c r="F298" t="s">
        <v>2786</v>
      </c>
      <c r="G298" t="s">
        <v>2787</v>
      </c>
      <c r="H298" s="23">
        <v>0.66666666666666663</v>
      </c>
      <c r="I298" t="s">
        <v>2696</v>
      </c>
      <c r="J298" t="s">
        <v>2568</v>
      </c>
      <c r="K298" t="s">
        <v>2610</v>
      </c>
      <c r="L298" t="s">
        <v>2462</v>
      </c>
      <c r="M298" t="s">
        <v>2570</v>
      </c>
      <c r="N298" s="6">
        <v>45999</v>
      </c>
      <c r="O298" t="s">
        <v>2455</v>
      </c>
      <c r="P298" t="s">
        <v>2445</v>
      </c>
      <c r="Q298" s="23">
        <v>0.33236111111111111</v>
      </c>
      <c r="R298" s="23">
        <v>0.69423611111111116</v>
      </c>
      <c r="S298">
        <v>19.600000000000001</v>
      </c>
      <c r="T298" t="s">
        <v>2443</v>
      </c>
      <c r="U298" t="s">
        <v>2571</v>
      </c>
      <c r="V298">
        <v>8.18</v>
      </c>
      <c r="W298">
        <v>8</v>
      </c>
      <c r="X298">
        <v>0.18</v>
      </c>
      <c r="Y298" t="s">
        <v>2689</v>
      </c>
      <c r="Z298" t="s">
        <v>2689</v>
      </c>
      <c r="AA298" t="s">
        <v>2689</v>
      </c>
      <c r="AC298" t="s">
        <v>2689</v>
      </c>
      <c r="AD298" t="s">
        <v>2689</v>
      </c>
      <c r="AE298" t="s">
        <v>2689</v>
      </c>
      <c r="AF298" t="s">
        <v>2689</v>
      </c>
      <c r="AH298">
        <v>156.80000000000001</v>
      </c>
      <c r="AI298">
        <v>5.29</v>
      </c>
      <c r="AJ298" t="s">
        <v>2690</v>
      </c>
      <c r="AK298" t="s">
        <v>2690</v>
      </c>
      <c r="AL298" t="s">
        <v>2690</v>
      </c>
      <c r="AP298">
        <v>162.09</v>
      </c>
      <c r="AR298" s="23">
        <v>0.33236111111111111</v>
      </c>
      <c r="AS298" s="23">
        <v>0.69423611111111116</v>
      </c>
      <c r="AT298" s="23">
        <v>0.33333333333333331</v>
      </c>
      <c r="AU298" s="23">
        <v>0.66666666666666663</v>
      </c>
      <c r="AV298" t="s">
        <v>2565</v>
      </c>
      <c r="AX298">
        <v>230</v>
      </c>
      <c r="AY298">
        <v>0.5</v>
      </c>
      <c r="AZ298" t="s">
        <v>3071</v>
      </c>
      <c r="BA298" t="s">
        <v>2861</v>
      </c>
      <c r="BD298" t="s">
        <v>2572</v>
      </c>
      <c r="BE298" t="s">
        <v>3017</v>
      </c>
      <c r="BG298">
        <v>0</v>
      </c>
      <c r="BH298">
        <v>0</v>
      </c>
      <c r="BJ298">
        <v>0</v>
      </c>
    </row>
    <row r="299" spans="1:62" x14ac:dyDescent="0.2">
      <c r="A299" t="s">
        <v>2462</v>
      </c>
      <c r="B299" t="s">
        <v>2462</v>
      </c>
      <c r="C299">
        <v>100033952</v>
      </c>
      <c r="D299" t="s">
        <v>2593</v>
      </c>
      <c r="E299" t="s">
        <v>2439</v>
      </c>
      <c r="F299" t="s">
        <v>2789</v>
      </c>
      <c r="G299" t="s">
        <v>2790</v>
      </c>
      <c r="H299" s="23">
        <v>0.375</v>
      </c>
      <c r="I299" t="s">
        <v>2696</v>
      </c>
      <c r="J299" t="s">
        <v>2568</v>
      </c>
      <c r="K299" t="s">
        <v>2610</v>
      </c>
      <c r="L299" t="s">
        <v>2462</v>
      </c>
      <c r="M299" t="s">
        <v>2570</v>
      </c>
      <c r="N299" s="6">
        <v>46000</v>
      </c>
      <c r="O299" t="s">
        <v>2457</v>
      </c>
      <c r="P299" t="s">
        <v>2445</v>
      </c>
      <c r="Q299" s="23">
        <v>0.24726851851851853</v>
      </c>
      <c r="R299" s="23">
        <v>0.58582175925925928</v>
      </c>
      <c r="S299">
        <v>19.600000000000001</v>
      </c>
      <c r="T299" t="s">
        <v>2443</v>
      </c>
      <c r="U299" t="s">
        <v>2571</v>
      </c>
      <c r="V299">
        <v>7.63</v>
      </c>
      <c r="W299">
        <v>4.93</v>
      </c>
      <c r="X299">
        <v>2.7</v>
      </c>
      <c r="Y299" t="s">
        <v>2689</v>
      </c>
      <c r="Z299" t="s">
        <v>2689</v>
      </c>
      <c r="AA299" t="s">
        <v>2689</v>
      </c>
      <c r="AC299" t="s">
        <v>2689</v>
      </c>
      <c r="AD299" t="s">
        <v>2689</v>
      </c>
      <c r="AE299" t="s">
        <v>2689</v>
      </c>
      <c r="AF299" t="s">
        <v>2689</v>
      </c>
      <c r="AH299">
        <v>96.63</v>
      </c>
      <c r="AI299">
        <v>79.38</v>
      </c>
      <c r="AJ299" t="s">
        <v>2690</v>
      </c>
      <c r="AK299" t="s">
        <v>2690</v>
      </c>
      <c r="AL299" t="s">
        <v>2690</v>
      </c>
      <c r="AP299">
        <v>176.01</v>
      </c>
      <c r="AR299" s="23">
        <v>0.24726851851851853</v>
      </c>
      <c r="AS299" s="23">
        <v>0.58582175925925928</v>
      </c>
      <c r="AT299" s="23">
        <v>0.25</v>
      </c>
      <c r="AU299" s="23">
        <v>0.58333333333333337</v>
      </c>
      <c r="AV299" t="s">
        <v>2565</v>
      </c>
      <c r="AX299">
        <v>230</v>
      </c>
      <c r="AY299">
        <v>0.5</v>
      </c>
      <c r="AZ299" t="s">
        <v>3072</v>
      </c>
      <c r="BA299" t="s">
        <v>2757</v>
      </c>
      <c r="BD299" t="s">
        <v>2572</v>
      </c>
      <c r="BE299" t="s">
        <v>3017</v>
      </c>
      <c r="BG299">
        <v>0</v>
      </c>
      <c r="BH299">
        <v>0</v>
      </c>
      <c r="BJ299">
        <v>0</v>
      </c>
    </row>
    <row r="300" spans="1:62" x14ac:dyDescent="0.2">
      <c r="A300" t="s">
        <v>2462</v>
      </c>
      <c r="B300" t="s">
        <v>2462</v>
      </c>
      <c r="C300">
        <v>100033952</v>
      </c>
      <c r="D300" t="s">
        <v>2593</v>
      </c>
      <c r="E300" t="s">
        <v>2439</v>
      </c>
      <c r="F300" t="s">
        <v>2452</v>
      </c>
      <c r="G300" t="s">
        <v>2453</v>
      </c>
      <c r="H300" s="23">
        <v>0.33333333333333331</v>
      </c>
      <c r="I300" t="s">
        <v>2688</v>
      </c>
      <c r="J300" t="s">
        <v>2568</v>
      </c>
      <c r="K300" t="s">
        <v>2573</v>
      </c>
      <c r="L300" t="s">
        <v>2462</v>
      </c>
      <c r="M300" t="s">
        <v>2570</v>
      </c>
      <c r="N300" s="6">
        <v>46001</v>
      </c>
      <c r="O300" t="s">
        <v>2458</v>
      </c>
      <c r="P300" t="s">
        <v>2445</v>
      </c>
      <c r="Q300" s="23">
        <v>0.33167824074074076</v>
      </c>
      <c r="R300" s="23">
        <v>0.66606481481481483</v>
      </c>
      <c r="S300">
        <v>19.600000000000001</v>
      </c>
      <c r="T300" t="s">
        <v>2443</v>
      </c>
      <c r="U300" t="s">
        <v>2571</v>
      </c>
      <c r="V300">
        <v>7.53</v>
      </c>
      <c r="W300">
        <v>7.53</v>
      </c>
      <c r="X300" t="s">
        <v>2689</v>
      </c>
      <c r="Y300" t="s">
        <v>2689</v>
      </c>
      <c r="Z300" t="s">
        <v>2689</v>
      </c>
      <c r="AA300" t="s">
        <v>2689</v>
      </c>
      <c r="AC300" t="s">
        <v>2689</v>
      </c>
      <c r="AD300" t="s">
        <v>2689</v>
      </c>
      <c r="AE300" t="s">
        <v>2689</v>
      </c>
      <c r="AF300" t="s">
        <v>2689</v>
      </c>
      <c r="AH300">
        <v>147.59</v>
      </c>
      <c r="AI300" t="s">
        <v>2690</v>
      </c>
      <c r="AJ300" t="s">
        <v>2690</v>
      </c>
      <c r="AK300" t="s">
        <v>2690</v>
      </c>
      <c r="AL300" t="s">
        <v>2690</v>
      </c>
      <c r="AP300">
        <v>147.59</v>
      </c>
      <c r="AR300" s="23">
        <v>0.33167824074074076</v>
      </c>
      <c r="AS300" s="23">
        <v>0.66606481481481483</v>
      </c>
      <c r="AT300" s="23">
        <v>0.33333333333333331</v>
      </c>
      <c r="AU300" s="23">
        <v>0.66666666666666663</v>
      </c>
      <c r="AV300" t="s">
        <v>2565</v>
      </c>
      <c r="AX300">
        <v>230</v>
      </c>
      <c r="AY300">
        <v>0.5</v>
      </c>
      <c r="AZ300" t="s">
        <v>3073</v>
      </c>
      <c r="BA300" t="s">
        <v>2759</v>
      </c>
      <c r="BD300" t="s">
        <v>2572</v>
      </c>
      <c r="BE300" t="s">
        <v>3017</v>
      </c>
      <c r="BG300">
        <v>0</v>
      </c>
      <c r="BH300">
        <v>0</v>
      </c>
      <c r="BJ300">
        <v>0</v>
      </c>
    </row>
    <row r="301" spans="1:62" x14ac:dyDescent="0.2">
      <c r="A301" t="s">
        <v>2462</v>
      </c>
      <c r="B301" t="s">
        <v>2462</v>
      </c>
      <c r="C301">
        <v>100033952</v>
      </c>
      <c r="D301" t="s">
        <v>2593</v>
      </c>
      <c r="E301" t="s">
        <v>2439</v>
      </c>
      <c r="F301" t="s">
        <v>2791</v>
      </c>
      <c r="G301" t="s">
        <v>2792</v>
      </c>
      <c r="H301" s="23">
        <v>0.79166666666666663</v>
      </c>
      <c r="I301" t="s">
        <v>2696</v>
      </c>
      <c r="J301" t="s">
        <v>2568</v>
      </c>
      <c r="K301" t="s">
        <v>2609</v>
      </c>
      <c r="L301" t="s">
        <v>2462</v>
      </c>
      <c r="M301" t="s">
        <v>2570</v>
      </c>
      <c r="N301" s="6">
        <v>46002</v>
      </c>
      <c r="O301" t="s">
        <v>2459</v>
      </c>
      <c r="P301" t="s">
        <v>2445</v>
      </c>
      <c r="Q301" s="23">
        <v>0.57832175925925922</v>
      </c>
      <c r="R301" s="23">
        <v>1.3773148148148147E-3</v>
      </c>
      <c r="S301">
        <v>19.600000000000001</v>
      </c>
      <c r="T301" t="s">
        <v>2443</v>
      </c>
      <c r="U301" t="s">
        <v>2571</v>
      </c>
      <c r="V301">
        <v>9.65</v>
      </c>
      <c r="W301">
        <v>8</v>
      </c>
      <c r="X301">
        <v>1.65</v>
      </c>
      <c r="Y301" t="s">
        <v>2689</v>
      </c>
      <c r="Z301" t="s">
        <v>2689</v>
      </c>
      <c r="AA301" t="s">
        <v>2689</v>
      </c>
      <c r="AC301" t="s">
        <v>2689</v>
      </c>
      <c r="AD301" t="s">
        <v>2689</v>
      </c>
      <c r="AE301" t="s">
        <v>2689</v>
      </c>
      <c r="AF301" t="s">
        <v>2689</v>
      </c>
      <c r="AH301">
        <v>156.80000000000001</v>
      </c>
      <c r="AI301">
        <v>48.51</v>
      </c>
      <c r="AJ301" t="s">
        <v>2690</v>
      </c>
      <c r="AK301" t="s">
        <v>2690</v>
      </c>
      <c r="AL301" t="s">
        <v>2690</v>
      </c>
      <c r="AP301">
        <v>205.31</v>
      </c>
      <c r="AR301" s="23">
        <v>0.57832175925925922</v>
      </c>
      <c r="AS301" s="23">
        <v>1.3773148148148147E-3</v>
      </c>
      <c r="AT301" s="23">
        <v>0.58333333333333337</v>
      </c>
      <c r="AU301" s="23">
        <v>0.91666666666666663</v>
      </c>
      <c r="AV301" t="s">
        <v>2565</v>
      </c>
      <c r="AX301">
        <v>230</v>
      </c>
      <c r="AY301">
        <v>0.5</v>
      </c>
      <c r="AZ301" t="s">
        <v>3074</v>
      </c>
      <c r="BA301" t="s">
        <v>2759</v>
      </c>
      <c r="BD301" t="s">
        <v>2572</v>
      </c>
      <c r="BE301" t="s">
        <v>3017</v>
      </c>
      <c r="BG301">
        <v>0</v>
      </c>
      <c r="BH301">
        <v>0</v>
      </c>
      <c r="BJ301">
        <v>0</v>
      </c>
    </row>
    <row r="302" spans="1:62" x14ac:dyDescent="0.2">
      <c r="A302" t="s">
        <v>2462</v>
      </c>
      <c r="B302" t="s">
        <v>2462</v>
      </c>
      <c r="C302">
        <v>100033952</v>
      </c>
      <c r="D302" t="s">
        <v>2593</v>
      </c>
      <c r="E302" t="s">
        <v>2439</v>
      </c>
      <c r="F302" t="s">
        <v>2794</v>
      </c>
      <c r="G302" t="s">
        <v>2795</v>
      </c>
      <c r="H302" s="23">
        <v>0.79166666666666663</v>
      </c>
      <c r="I302" t="s">
        <v>2696</v>
      </c>
      <c r="J302" t="s">
        <v>2568</v>
      </c>
      <c r="K302" t="s">
        <v>2610</v>
      </c>
      <c r="L302" t="s">
        <v>2462</v>
      </c>
      <c r="M302" t="s">
        <v>2570</v>
      </c>
      <c r="N302" s="6">
        <v>46003</v>
      </c>
      <c r="O302" t="s">
        <v>2449</v>
      </c>
      <c r="P302" t="s">
        <v>2445</v>
      </c>
      <c r="Q302" s="23">
        <v>0.57822916666666668</v>
      </c>
      <c r="R302" s="23">
        <v>0.94900462962962961</v>
      </c>
      <c r="S302">
        <v>19.600000000000001</v>
      </c>
      <c r="T302" t="s">
        <v>2443</v>
      </c>
      <c r="U302" t="s">
        <v>2571</v>
      </c>
      <c r="V302">
        <v>8.4</v>
      </c>
      <c r="W302">
        <v>8</v>
      </c>
      <c r="X302">
        <v>0.4</v>
      </c>
      <c r="Y302" t="s">
        <v>2689</v>
      </c>
      <c r="Z302" t="s">
        <v>2689</v>
      </c>
      <c r="AA302" t="s">
        <v>2689</v>
      </c>
      <c r="AC302" t="s">
        <v>2689</v>
      </c>
      <c r="AD302" t="s">
        <v>2689</v>
      </c>
      <c r="AE302" t="s">
        <v>2689</v>
      </c>
      <c r="AF302" t="s">
        <v>2689</v>
      </c>
      <c r="AH302">
        <v>156.80000000000001</v>
      </c>
      <c r="AI302">
        <v>11.76</v>
      </c>
      <c r="AJ302" t="s">
        <v>2690</v>
      </c>
      <c r="AK302" t="s">
        <v>2690</v>
      </c>
      <c r="AL302" t="s">
        <v>2690</v>
      </c>
      <c r="AP302">
        <v>168.56</v>
      </c>
      <c r="AR302" s="23">
        <v>0.57822916666666668</v>
      </c>
      <c r="AS302" s="23">
        <v>0.94900462962962961</v>
      </c>
      <c r="AT302" s="23">
        <v>0.58333333333333337</v>
      </c>
      <c r="AU302" s="23">
        <v>0.91666666666666663</v>
      </c>
      <c r="AV302" t="s">
        <v>2565</v>
      </c>
      <c r="AX302">
        <v>230</v>
      </c>
      <c r="AY302">
        <v>0.5</v>
      </c>
      <c r="AZ302" t="s">
        <v>3075</v>
      </c>
      <c r="BA302" t="s">
        <v>2798</v>
      </c>
      <c r="BD302" t="s">
        <v>2572</v>
      </c>
      <c r="BE302" t="s">
        <v>3017</v>
      </c>
      <c r="BG302">
        <v>0</v>
      </c>
      <c r="BH302">
        <v>0</v>
      </c>
      <c r="BJ302">
        <v>0</v>
      </c>
    </row>
    <row r="303" spans="1:62" x14ac:dyDescent="0.2">
      <c r="A303" t="s">
        <v>2462</v>
      </c>
      <c r="B303" t="s">
        <v>2462</v>
      </c>
      <c r="C303">
        <v>100033952</v>
      </c>
      <c r="D303" t="s">
        <v>2593</v>
      </c>
      <c r="E303" t="s">
        <v>2439</v>
      </c>
      <c r="F303" t="s">
        <v>2811</v>
      </c>
      <c r="G303" t="s">
        <v>2812</v>
      </c>
      <c r="H303" s="23">
        <v>0.6875</v>
      </c>
      <c r="I303" t="s">
        <v>2696</v>
      </c>
      <c r="J303" t="s">
        <v>2568</v>
      </c>
      <c r="K303" t="s">
        <v>2573</v>
      </c>
      <c r="L303" t="s">
        <v>2462</v>
      </c>
      <c r="M303" t="s">
        <v>2570</v>
      </c>
      <c r="N303" s="6">
        <v>46005</v>
      </c>
      <c r="O303" t="s">
        <v>2461</v>
      </c>
      <c r="P303" t="s">
        <v>2442</v>
      </c>
      <c r="Q303" s="23">
        <v>0.53498842592592588</v>
      </c>
      <c r="R303" s="23">
        <v>0.87508101851851849</v>
      </c>
      <c r="S303">
        <v>19.600000000000001</v>
      </c>
      <c r="T303" t="s">
        <v>2443</v>
      </c>
      <c r="U303" t="s">
        <v>2571</v>
      </c>
      <c r="V303">
        <v>7.66</v>
      </c>
      <c r="W303">
        <v>7.66</v>
      </c>
      <c r="X303" t="s">
        <v>2689</v>
      </c>
      <c r="Y303" t="s">
        <v>2689</v>
      </c>
      <c r="Z303" t="s">
        <v>2689</v>
      </c>
      <c r="AA303" t="s">
        <v>2689</v>
      </c>
      <c r="AC303" t="s">
        <v>2689</v>
      </c>
      <c r="AD303" t="s">
        <v>2689</v>
      </c>
      <c r="AE303" t="s">
        <v>2689</v>
      </c>
      <c r="AF303" t="s">
        <v>2689</v>
      </c>
      <c r="AH303">
        <v>150.13999999999999</v>
      </c>
      <c r="AI303" t="s">
        <v>2690</v>
      </c>
      <c r="AJ303" t="s">
        <v>2690</v>
      </c>
      <c r="AK303" t="s">
        <v>2690</v>
      </c>
      <c r="AL303" t="s">
        <v>2690</v>
      </c>
      <c r="AP303">
        <v>150.13999999999999</v>
      </c>
      <c r="AR303" s="23">
        <v>0.53498842592592588</v>
      </c>
      <c r="AS303" s="23">
        <v>0.87508101851851849</v>
      </c>
      <c r="AT303" s="23">
        <v>0.54166666666666663</v>
      </c>
      <c r="AU303" s="23">
        <v>0.875</v>
      </c>
      <c r="AV303" t="s">
        <v>2565</v>
      </c>
      <c r="AX303">
        <v>230</v>
      </c>
      <c r="AY303">
        <v>0.5</v>
      </c>
      <c r="AZ303" t="s">
        <v>3076</v>
      </c>
      <c r="BA303" t="s">
        <v>2798</v>
      </c>
      <c r="BD303" t="s">
        <v>2572</v>
      </c>
      <c r="BE303" t="s">
        <v>3017</v>
      </c>
      <c r="BG303">
        <v>0</v>
      </c>
      <c r="BH303">
        <v>0</v>
      </c>
      <c r="BJ303">
        <v>0</v>
      </c>
    </row>
    <row r="304" spans="1:62" x14ac:dyDescent="0.2">
      <c r="A304" t="s">
        <v>2462</v>
      </c>
      <c r="B304" t="s">
        <v>2462</v>
      </c>
      <c r="C304">
        <v>100033952</v>
      </c>
      <c r="D304" t="s">
        <v>2593</v>
      </c>
      <c r="E304" t="s">
        <v>2439</v>
      </c>
      <c r="F304" t="s">
        <v>2814</v>
      </c>
      <c r="G304" t="s">
        <v>2815</v>
      </c>
      <c r="H304" s="23">
        <v>0.47916666666666669</v>
      </c>
      <c r="I304" t="s">
        <v>2696</v>
      </c>
      <c r="J304" t="s">
        <v>2583</v>
      </c>
      <c r="K304" t="s">
        <v>2584</v>
      </c>
      <c r="L304" t="s">
        <v>2462</v>
      </c>
      <c r="M304" t="s">
        <v>2567</v>
      </c>
      <c r="N304" s="6">
        <v>46006</v>
      </c>
      <c r="O304" t="s">
        <v>2455</v>
      </c>
      <c r="P304" t="s">
        <v>2445</v>
      </c>
      <c r="Q304" s="23">
        <v>0.28931712962962963</v>
      </c>
      <c r="R304" s="23">
        <v>0.56499999999999995</v>
      </c>
      <c r="S304">
        <v>19.600000000000001</v>
      </c>
      <c r="T304" t="s">
        <v>2443</v>
      </c>
      <c r="U304" t="s">
        <v>2571</v>
      </c>
      <c r="V304">
        <v>6.12</v>
      </c>
      <c r="W304">
        <v>6.12</v>
      </c>
      <c r="X304" t="s">
        <v>2689</v>
      </c>
      <c r="Y304" t="s">
        <v>2689</v>
      </c>
      <c r="Z304" t="s">
        <v>2689</v>
      </c>
      <c r="AA304" t="s">
        <v>2689</v>
      </c>
      <c r="AC304" t="s">
        <v>2689</v>
      </c>
      <c r="AD304" t="s">
        <v>2689</v>
      </c>
      <c r="AE304" t="s">
        <v>2689</v>
      </c>
      <c r="AF304" t="s">
        <v>2689</v>
      </c>
      <c r="AH304">
        <v>119.95</v>
      </c>
      <c r="AI304" t="s">
        <v>2690</v>
      </c>
      <c r="AJ304" t="s">
        <v>2690</v>
      </c>
      <c r="AK304" t="s">
        <v>2690</v>
      </c>
      <c r="AL304" t="s">
        <v>2690</v>
      </c>
      <c r="AP304">
        <v>119.95</v>
      </c>
      <c r="AR304" s="23">
        <v>0.28931712962962963</v>
      </c>
      <c r="AS304" s="23">
        <v>0.56499999999999995</v>
      </c>
      <c r="AT304" s="23">
        <v>0.29166666666666669</v>
      </c>
      <c r="AU304" s="23">
        <v>0.625</v>
      </c>
      <c r="AV304" t="s">
        <v>2565</v>
      </c>
      <c r="AX304">
        <v>100</v>
      </c>
      <c r="AY304">
        <v>0.5</v>
      </c>
      <c r="AZ304" t="s">
        <v>3077</v>
      </c>
      <c r="BA304" t="s">
        <v>2769</v>
      </c>
      <c r="BD304" t="s">
        <v>2572</v>
      </c>
      <c r="BE304" t="s">
        <v>3017</v>
      </c>
      <c r="BG304">
        <v>0</v>
      </c>
      <c r="BH304">
        <v>0</v>
      </c>
      <c r="BJ304">
        <v>0</v>
      </c>
    </row>
    <row r="305" spans="1:62" x14ac:dyDescent="0.2">
      <c r="A305" t="s">
        <v>2462</v>
      </c>
      <c r="B305" t="s">
        <v>2462</v>
      </c>
      <c r="C305">
        <v>100033954</v>
      </c>
      <c r="D305" t="s">
        <v>2734</v>
      </c>
      <c r="E305" t="s">
        <v>2439</v>
      </c>
      <c r="F305" t="s">
        <v>2452</v>
      </c>
      <c r="G305" t="s">
        <v>2453</v>
      </c>
      <c r="H305" s="23">
        <v>0.33333333333333331</v>
      </c>
      <c r="I305" t="s">
        <v>2688</v>
      </c>
      <c r="J305" t="s">
        <v>2594</v>
      </c>
      <c r="K305" t="s">
        <v>2595</v>
      </c>
      <c r="L305" t="s">
        <v>2462</v>
      </c>
      <c r="M305" t="s">
        <v>2596</v>
      </c>
      <c r="N305" s="6">
        <v>45998</v>
      </c>
      <c r="O305" t="s">
        <v>2461</v>
      </c>
      <c r="P305" t="s">
        <v>2442</v>
      </c>
      <c r="Q305" s="23">
        <v>0.32704861111111111</v>
      </c>
      <c r="R305" s="23">
        <v>0.64690972222222221</v>
      </c>
      <c r="S305">
        <v>18.600000000000001</v>
      </c>
      <c r="T305" t="s">
        <v>2443</v>
      </c>
      <c r="U305" t="s">
        <v>2597</v>
      </c>
      <c r="V305">
        <v>7.18</v>
      </c>
      <c r="W305">
        <v>7.18</v>
      </c>
      <c r="X305" t="s">
        <v>2689</v>
      </c>
      <c r="Y305" t="s">
        <v>2689</v>
      </c>
      <c r="Z305" t="s">
        <v>2689</v>
      </c>
      <c r="AA305" t="s">
        <v>2689</v>
      </c>
      <c r="AC305" t="s">
        <v>2689</v>
      </c>
      <c r="AD305" t="s">
        <v>2689</v>
      </c>
      <c r="AE305" t="s">
        <v>2689</v>
      </c>
      <c r="AF305" t="s">
        <v>2689</v>
      </c>
      <c r="AH305">
        <v>133.55000000000001</v>
      </c>
      <c r="AI305" t="s">
        <v>2690</v>
      </c>
      <c r="AJ305" t="s">
        <v>2690</v>
      </c>
      <c r="AK305" t="s">
        <v>2690</v>
      </c>
      <c r="AL305" t="s">
        <v>2690</v>
      </c>
      <c r="AP305">
        <v>133.55000000000001</v>
      </c>
      <c r="AR305" s="23">
        <v>0.32704861111111111</v>
      </c>
      <c r="AS305" s="23">
        <v>0.64690972222222221</v>
      </c>
      <c r="AT305" s="23">
        <v>0.33333333333333331</v>
      </c>
      <c r="AU305" s="23">
        <v>0.66666666666666663</v>
      </c>
      <c r="AV305" t="s">
        <v>2565</v>
      </c>
      <c r="AX305">
        <v>220</v>
      </c>
      <c r="AY305">
        <v>0.5</v>
      </c>
      <c r="AZ305" t="s">
        <v>3078</v>
      </c>
      <c r="BA305" t="s">
        <v>2754</v>
      </c>
      <c r="BD305" t="s">
        <v>2598</v>
      </c>
      <c r="BE305" t="s">
        <v>3079</v>
      </c>
      <c r="BG305">
        <v>0</v>
      </c>
      <c r="BH305">
        <v>0</v>
      </c>
      <c r="BJ305">
        <v>0</v>
      </c>
    </row>
    <row r="306" spans="1:62" x14ac:dyDescent="0.2">
      <c r="A306" t="s">
        <v>2462</v>
      </c>
      <c r="B306" t="s">
        <v>2462</v>
      </c>
      <c r="C306">
        <v>100033954</v>
      </c>
      <c r="D306" t="s">
        <v>2734</v>
      </c>
      <c r="E306" t="s">
        <v>2439</v>
      </c>
      <c r="F306" t="s">
        <v>2786</v>
      </c>
      <c r="G306" t="s">
        <v>2787</v>
      </c>
      <c r="H306" s="23">
        <v>0.66666666666666663</v>
      </c>
      <c r="I306" t="s">
        <v>2696</v>
      </c>
      <c r="J306" t="s">
        <v>2594</v>
      </c>
      <c r="K306" t="s">
        <v>2595</v>
      </c>
      <c r="L306" t="s">
        <v>2462</v>
      </c>
      <c r="M306" t="s">
        <v>2596</v>
      </c>
      <c r="N306" s="6">
        <v>45999</v>
      </c>
      <c r="O306" t="s">
        <v>2455</v>
      </c>
      <c r="P306" t="s">
        <v>2445</v>
      </c>
      <c r="Q306" s="23">
        <v>0.41081018518518519</v>
      </c>
      <c r="R306" s="23">
        <v>0.74098379629629629</v>
      </c>
      <c r="S306">
        <v>18.600000000000001</v>
      </c>
      <c r="T306" t="s">
        <v>2443</v>
      </c>
      <c r="U306" t="s">
        <v>2597</v>
      </c>
      <c r="V306">
        <v>7.42</v>
      </c>
      <c r="W306">
        <v>7.42</v>
      </c>
      <c r="X306" t="s">
        <v>2689</v>
      </c>
      <c r="Y306" t="s">
        <v>2689</v>
      </c>
      <c r="Z306" t="s">
        <v>2689</v>
      </c>
      <c r="AA306" t="s">
        <v>2689</v>
      </c>
      <c r="AC306" t="s">
        <v>2689</v>
      </c>
      <c r="AD306" t="s">
        <v>2689</v>
      </c>
      <c r="AE306" t="s">
        <v>2689</v>
      </c>
      <c r="AF306" t="s">
        <v>2689</v>
      </c>
      <c r="AH306">
        <v>138.01</v>
      </c>
      <c r="AI306" t="s">
        <v>2690</v>
      </c>
      <c r="AJ306" t="s">
        <v>2690</v>
      </c>
      <c r="AK306" t="s">
        <v>2690</v>
      </c>
      <c r="AL306" t="s">
        <v>2690</v>
      </c>
      <c r="AP306">
        <v>138.01</v>
      </c>
      <c r="AR306" s="23">
        <v>0.41081018518518519</v>
      </c>
      <c r="AS306" s="23">
        <v>0.74098379629629629</v>
      </c>
      <c r="AT306" s="23">
        <v>0.41666666666666669</v>
      </c>
      <c r="AU306" s="23">
        <v>0.75</v>
      </c>
      <c r="AV306" t="s">
        <v>2565</v>
      </c>
      <c r="AX306">
        <v>220</v>
      </c>
      <c r="AY306">
        <v>0.5</v>
      </c>
      <c r="AZ306" t="s">
        <v>3080</v>
      </c>
      <c r="BA306" t="s">
        <v>2861</v>
      </c>
      <c r="BD306" t="s">
        <v>2598</v>
      </c>
      <c r="BE306" t="s">
        <v>3079</v>
      </c>
      <c r="BG306">
        <v>0</v>
      </c>
      <c r="BH306">
        <v>0</v>
      </c>
      <c r="BJ306">
        <v>0</v>
      </c>
    </row>
    <row r="307" spans="1:62" x14ac:dyDescent="0.2">
      <c r="A307" t="s">
        <v>2462</v>
      </c>
      <c r="B307" t="s">
        <v>2462</v>
      </c>
      <c r="C307">
        <v>100033954</v>
      </c>
      <c r="D307" t="s">
        <v>2734</v>
      </c>
      <c r="E307" t="s">
        <v>2439</v>
      </c>
      <c r="F307" t="s">
        <v>2789</v>
      </c>
      <c r="G307" t="s">
        <v>2790</v>
      </c>
      <c r="H307" s="23">
        <v>0.375</v>
      </c>
      <c r="I307" t="s">
        <v>2696</v>
      </c>
      <c r="J307" t="s">
        <v>2594</v>
      </c>
      <c r="K307" t="s">
        <v>2605</v>
      </c>
      <c r="L307" t="s">
        <v>2462</v>
      </c>
      <c r="M307" t="s">
        <v>2596</v>
      </c>
      <c r="N307" s="6">
        <v>46000</v>
      </c>
      <c r="O307" t="s">
        <v>2457</v>
      </c>
      <c r="P307" t="s">
        <v>2445</v>
      </c>
      <c r="Q307" s="23">
        <v>0.24372685185185186</v>
      </c>
      <c r="R307" s="23">
        <v>0.58484953703703701</v>
      </c>
      <c r="S307">
        <v>18.600000000000001</v>
      </c>
      <c r="T307" t="s">
        <v>2443</v>
      </c>
      <c r="U307" t="s">
        <v>2597</v>
      </c>
      <c r="V307">
        <v>7.69</v>
      </c>
      <c r="W307">
        <v>7.69</v>
      </c>
      <c r="X307" t="s">
        <v>2689</v>
      </c>
      <c r="Y307" t="s">
        <v>2689</v>
      </c>
      <c r="Z307" t="s">
        <v>2689</v>
      </c>
      <c r="AA307" t="s">
        <v>2689</v>
      </c>
      <c r="AC307" t="s">
        <v>2689</v>
      </c>
      <c r="AD307" t="s">
        <v>2689</v>
      </c>
      <c r="AE307" t="s">
        <v>2689</v>
      </c>
      <c r="AF307" t="s">
        <v>2689</v>
      </c>
      <c r="AH307">
        <v>143.03</v>
      </c>
      <c r="AI307" t="s">
        <v>2690</v>
      </c>
      <c r="AJ307" t="s">
        <v>2690</v>
      </c>
      <c r="AK307" t="s">
        <v>2690</v>
      </c>
      <c r="AL307" t="s">
        <v>2690</v>
      </c>
      <c r="AP307">
        <v>143.03</v>
      </c>
      <c r="AR307" s="23">
        <v>0.24372685185185186</v>
      </c>
      <c r="AS307" s="23">
        <v>0.58484953703703701</v>
      </c>
      <c r="AT307" s="23">
        <v>0.25</v>
      </c>
      <c r="AU307" s="23">
        <v>0.58333333333333337</v>
      </c>
      <c r="AV307" t="s">
        <v>2565</v>
      </c>
      <c r="AX307">
        <v>220</v>
      </c>
      <c r="AY307">
        <v>0.5</v>
      </c>
      <c r="AZ307" t="s">
        <v>3081</v>
      </c>
      <c r="BA307" t="s">
        <v>2757</v>
      </c>
      <c r="BD307" t="s">
        <v>2598</v>
      </c>
      <c r="BE307" t="s">
        <v>3079</v>
      </c>
      <c r="BG307">
        <v>0</v>
      </c>
      <c r="BH307">
        <v>0</v>
      </c>
      <c r="BJ307">
        <v>0</v>
      </c>
    </row>
    <row r="308" spans="1:62" x14ac:dyDescent="0.2">
      <c r="A308" t="s">
        <v>2462</v>
      </c>
      <c r="B308" t="s">
        <v>2462</v>
      </c>
      <c r="C308">
        <v>100033954</v>
      </c>
      <c r="D308" t="s">
        <v>2734</v>
      </c>
      <c r="E308" t="s">
        <v>2439</v>
      </c>
      <c r="F308" t="s">
        <v>2452</v>
      </c>
      <c r="G308" t="s">
        <v>2453</v>
      </c>
      <c r="H308" s="23">
        <v>0.33333333333333331</v>
      </c>
      <c r="I308" t="s">
        <v>2688</v>
      </c>
      <c r="J308" t="s">
        <v>2594</v>
      </c>
      <c r="K308" t="s">
        <v>2595</v>
      </c>
      <c r="L308" t="s">
        <v>2462</v>
      </c>
      <c r="M308" t="s">
        <v>2596</v>
      </c>
      <c r="N308" s="6">
        <v>46001</v>
      </c>
      <c r="O308" t="s">
        <v>2458</v>
      </c>
      <c r="P308" t="s">
        <v>2445</v>
      </c>
      <c r="Q308" s="23">
        <v>0.34616898148148151</v>
      </c>
      <c r="R308" s="23">
        <v>0.66427083333333337</v>
      </c>
      <c r="S308">
        <v>18.600000000000001</v>
      </c>
      <c r="T308" t="s">
        <v>2443</v>
      </c>
      <c r="U308" t="s">
        <v>2597</v>
      </c>
      <c r="V308">
        <v>7.13</v>
      </c>
      <c r="W308">
        <v>7.13</v>
      </c>
      <c r="X308" t="s">
        <v>2689</v>
      </c>
      <c r="Y308" t="s">
        <v>2689</v>
      </c>
      <c r="Z308" t="s">
        <v>2689</v>
      </c>
      <c r="AA308" t="s">
        <v>2689</v>
      </c>
      <c r="AC308" t="s">
        <v>2689</v>
      </c>
      <c r="AD308" t="s">
        <v>2689</v>
      </c>
      <c r="AE308" t="s">
        <v>2689</v>
      </c>
      <c r="AF308" t="s">
        <v>2689</v>
      </c>
      <c r="AH308">
        <v>132.62</v>
      </c>
      <c r="AI308" t="s">
        <v>2690</v>
      </c>
      <c r="AJ308" t="s">
        <v>2690</v>
      </c>
      <c r="AK308" t="s">
        <v>2690</v>
      </c>
      <c r="AL308" t="s">
        <v>2690</v>
      </c>
      <c r="AP308">
        <v>132.62</v>
      </c>
      <c r="AQ308" t="s">
        <v>2442</v>
      </c>
      <c r="AR308" s="23">
        <v>0.34616898148148151</v>
      </c>
      <c r="AS308" s="23">
        <v>0.66427083333333337</v>
      </c>
      <c r="AT308" s="23">
        <v>0.33333333333333331</v>
      </c>
      <c r="AU308" s="23">
        <v>0.66666666666666663</v>
      </c>
      <c r="AV308" t="s">
        <v>2565</v>
      </c>
      <c r="AX308">
        <v>220</v>
      </c>
      <c r="AY308">
        <v>0.5</v>
      </c>
      <c r="AZ308" t="s">
        <v>3082</v>
      </c>
      <c r="BA308" t="s">
        <v>2759</v>
      </c>
      <c r="BD308" t="s">
        <v>2598</v>
      </c>
      <c r="BE308" t="s">
        <v>3079</v>
      </c>
      <c r="BG308">
        <v>0</v>
      </c>
      <c r="BH308">
        <v>0</v>
      </c>
      <c r="BJ308">
        <v>0</v>
      </c>
    </row>
    <row r="309" spans="1:62" x14ac:dyDescent="0.2">
      <c r="A309" t="s">
        <v>2462</v>
      </c>
      <c r="B309" t="s">
        <v>2462</v>
      </c>
      <c r="C309">
        <v>100033954</v>
      </c>
      <c r="D309" t="s">
        <v>2734</v>
      </c>
      <c r="E309" t="s">
        <v>2439</v>
      </c>
      <c r="F309" t="s">
        <v>2811</v>
      </c>
      <c r="G309" t="s">
        <v>2812</v>
      </c>
      <c r="H309" s="23">
        <v>0.6875</v>
      </c>
      <c r="I309" t="s">
        <v>2696</v>
      </c>
      <c r="J309" t="s">
        <v>2594</v>
      </c>
      <c r="K309" t="s">
        <v>2599</v>
      </c>
      <c r="L309" t="s">
        <v>2462</v>
      </c>
      <c r="M309" t="s">
        <v>2596</v>
      </c>
      <c r="N309" s="6">
        <v>46005</v>
      </c>
      <c r="O309" t="s">
        <v>2461</v>
      </c>
      <c r="P309" t="s">
        <v>2442</v>
      </c>
      <c r="Q309" s="23">
        <v>0.54671296296296301</v>
      </c>
      <c r="R309" s="23">
        <v>0.85043981481481479</v>
      </c>
      <c r="S309">
        <v>18.600000000000001</v>
      </c>
      <c r="T309" t="s">
        <v>2443</v>
      </c>
      <c r="U309" t="s">
        <v>2597</v>
      </c>
      <c r="V309">
        <v>6.79</v>
      </c>
      <c r="W309">
        <v>6.79</v>
      </c>
      <c r="X309" t="s">
        <v>2689</v>
      </c>
      <c r="Y309" t="s">
        <v>2689</v>
      </c>
      <c r="Z309" t="s">
        <v>2689</v>
      </c>
      <c r="AA309" t="s">
        <v>2689</v>
      </c>
      <c r="AC309" t="s">
        <v>2689</v>
      </c>
      <c r="AD309" t="s">
        <v>2689</v>
      </c>
      <c r="AE309" t="s">
        <v>2689</v>
      </c>
      <c r="AF309" t="s">
        <v>2689</v>
      </c>
      <c r="AH309">
        <v>126.29</v>
      </c>
      <c r="AI309" t="s">
        <v>2690</v>
      </c>
      <c r="AJ309" t="s">
        <v>2690</v>
      </c>
      <c r="AK309" t="s">
        <v>2690</v>
      </c>
      <c r="AL309" t="s">
        <v>2690</v>
      </c>
      <c r="AP309">
        <v>126.29</v>
      </c>
      <c r="AR309" s="23">
        <v>0.54671296296296301</v>
      </c>
      <c r="AS309" s="23">
        <v>0.85043981481481479</v>
      </c>
      <c r="AT309" s="23">
        <v>0.54166666666666663</v>
      </c>
      <c r="AU309" s="23">
        <v>0.875</v>
      </c>
      <c r="AV309" t="s">
        <v>2565</v>
      </c>
      <c r="AX309">
        <v>220</v>
      </c>
      <c r="AY309">
        <v>0.5</v>
      </c>
      <c r="AZ309" t="s">
        <v>3083</v>
      </c>
      <c r="BA309" t="s">
        <v>2798</v>
      </c>
      <c r="BD309" t="s">
        <v>2598</v>
      </c>
      <c r="BE309" t="s">
        <v>3079</v>
      </c>
      <c r="BF309" t="s">
        <v>2456</v>
      </c>
      <c r="BG309">
        <v>0</v>
      </c>
      <c r="BH309">
        <v>0</v>
      </c>
      <c r="BJ309">
        <v>0</v>
      </c>
    </row>
    <row r="310" spans="1:62" x14ac:dyDescent="0.2">
      <c r="A310" t="s">
        <v>2462</v>
      </c>
      <c r="B310" t="s">
        <v>2462</v>
      </c>
      <c r="C310">
        <v>100033954</v>
      </c>
      <c r="D310" t="s">
        <v>2734</v>
      </c>
      <c r="E310" t="s">
        <v>2439</v>
      </c>
      <c r="F310" t="s">
        <v>2814</v>
      </c>
      <c r="G310" t="s">
        <v>2815</v>
      </c>
      <c r="H310" s="23">
        <v>0.47916666666666669</v>
      </c>
      <c r="I310" t="s">
        <v>2696</v>
      </c>
      <c r="J310" t="s">
        <v>2594</v>
      </c>
      <c r="K310" t="s">
        <v>2595</v>
      </c>
      <c r="L310" t="s">
        <v>2462</v>
      </c>
      <c r="M310" t="s">
        <v>2596</v>
      </c>
      <c r="N310" s="6">
        <v>46006</v>
      </c>
      <c r="O310" t="s">
        <v>2455</v>
      </c>
      <c r="P310" t="s">
        <v>2445</v>
      </c>
      <c r="Q310" s="23">
        <v>0.29585648148148147</v>
      </c>
      <c r="R310" s="23">
        <v>0.49908564814814815</v>
      </c>
      <c r="S310">
        <v>18.600000000000001</v>
      </c>
      <c r="T310" t="s">
        <v>2443</v>
      </c>
      <c r="U310" t="s">
        <v>2597</v>
      </c>
      <c r="V310">
        <v>4.88</v>
      </c>
      <c r="W310">
        <v>4.88</v>
      </c>
      <c r="X310" t="s">
        <v>2689</v>
      </c>
      <c r="Y310" t="s">
        <v>2689</v>
      </c>
      <c r="Z310" t="s">
        <v>2689</v>
      </c>
      <c r="AA310" t="s">
        <v>2689</v>
      </c>
      <c r="AC310" t="s">
        <v>2689</v>
      </c>
      <c r="AD310" t="s">
        <v>2689</v>
      </c>
      <c r="AE310" t="s">
        <v>2689</v>
      </c>
      <c r="AF310" t="s">
        <v>2689</v>
      </c>
      <c r="AH310">
        <v>90.77</v>
      </c>
      <c r="AI310" t="s">
        <v>2690</v>
      </c>
      <c r="AJ310" t="s">
        <v>2690</v>
      </c>
      <c r="AK310" t="s">
        <v>2690</v>
      </c>
      <c r="AL310" t="s">
        <v>2690</v>
      </c>
      <c r="AP310">
        <v>90.77</v>
      </c>
      <c r="AR310" s="23">
        <v>0.29585648148148147</v>
      </c>
      <c r="AS310" s="23">
        <v>0.49908564814814815</v>
      </c>
      <c r="AT310" s="23">
        <v>0.29166666666666669</v>
      </c>
      <c r="AU310" s="23">
        <v>0.625</v>
      </c>
      <c r="AV310" t="s">
        <v>2565</v>
      </c>
      <c r="AX310">
        <v>220</v>
      </c>
      <c r="BA310" t="s">
        <v>2769</v>
      </c>
      <c r="BD310" t="s">
        <v>2598</v>
      </c>
      <c r="BE310" t="s">
        <v>3079</v>
      </c>
      <c r="BG310">
        <v>0</v>
      </c>
      <c r="BH310">
        <v>0</v>
      </c>
      <c r="BJ310">
        <v>0</v>
      </c>
    </row>
    <row r="311" spans="1:62" x14ac:dyDescent="0.2">
      <c r="A311" t="s">
        <v>2462</v>
      </c>
      <c r="B311" t="s">
        <v>2462</v>
      </c>
      <c r="C311">
        <v>100035606</v>
      </c>
      <c r="D311" t="s">
        <v>2735</v>
      </c>
      <c r="E311" t="s">
        <v>2439</v>
      </c>
      <c r="F311" t="s">
        <v>2452</v>
      </c>
      <c r="G311" t="s">
        <v>2453</v>
      </c>
      <c r="H311" s="23">
        <v>0.33333333333333331</v>
      </c>
      <c r="I311" t="s">
        <v>2688</v>
      </c>
      <c r="J311" t="s">
        <v>2568</v>
      </c>
      <c r="K311" t="s">
        <v>2569</v>
      </c>
      <c r="L311" t="s">
        <v>2462</v>
      </c>
      <c r="M311" t="s">
        <v>2570</v>
      </c>
      <c r="N311" s="6">
        <v>45992</v>
      </c>
      <c r="O311" t="s">
        <v>2455</v>
      </c>
      <c r="P311" t="s">
        <v>2445</v>
      </c>
      <c r="Q311" s="23">
        <v>0.32645833333333335</v>
      </c>
      <c r="R311" s="23">
        <v>0.66675925925925927</v>
      </c>
      <c r="S311">
        <v>19.600000000000001</v>
      </c>
      <c r="T311" t="s">
        <v>2443</v>
      </c>
      <c r="U311" t="s">
        <v>2571</v>
      </c>
      <c r="V311">
        <v>7.67</v>
      </c>
      <c r="W311">
        <v>7.67</v>
      </c>
      <c r="X311" t="s">
        <v>2689</v>
      </c>
      <c r="Y311" t="s">
        <v>2689</v>
      </c>
      <c r="Z311" t="s">
        <v>2689</v>
      </c>
      <c r="AA311" t="s">
        <v>2689</v>
      </c>
      <c r="AC311" t="s">
        <v>2689</v>
      </c>
      <c r="AD311" t="s">
        <v>2689</v>
      </c>
      <c r="AE311" t="s">
        <v>2689</v>
      </c>
      <c r="AF311" t="s">
        <v>2689</v>
      </c>
      <c r="AH311">
        <v>150.33000000000001</v>
      </c>
      <c r="AI311" t="s">
        <v>2690</v>
      </c>
      <c r="AJ311" t="s">
        <v>2690</v>
      </c>
      <c r="AK311" t="s">
        <v>2690</v>
      </c>
      <c r="AL311" t="s">
        <v>2690</v>
      </c>
      <c r="AP311">
        <v>150.33000000000001</v>
      </c>
      <c r="AR311" s="23">
        <v>0.32645833333333335</v>
      </c>
      <c r="AS311" s="23">
        <v>0.66675925925925927</v>
      </c>
      <c r="AT311" s="23">
        <v>0.33333333333333331</v>
      </c>
      <c r="AU311" s="23">
        <v>0.6875</v>
      </c>
      <c r="AV311" t="s">
        <v>2565</v>
      </c>
      <c r="AX311">
        <v>230</v>
      </c>
      <c r="AY311">
        <v>0.5</v>
      </c>
      <c r="AZ311" t="s">
        <v>3084</v>
      </c>
      <c r="BA311" t="s">
        <v>2692</v>
      </c>
      <c r="BD311" t="s">
        <v>2572</v>
      </c>
      <c r="BE311" t="s">
        <v>3017</v>
      </c>
      <c r="BG311">
        <v>0</v>
      </c>
      <c r="BH311">
        <v>0</v>
      </c>
      <c r="BJ311">
        <v>0</v>
      </c>
    </row>
    <row r="312" spans="1:62" x14ac:dyDescent="0.2">
      <c r="A312" t="s">
        <v>2462</v>
      </c>
      <c r="B312" t="s">
        <v>2462</v>
      </c>
      <c r="C312">
        <v>100035606</v>
      </c>
      <c r="D312" t="s">
        <v>2735</v>
      </c>
      <c r="E312" t="s">
        <v>2439</v>
      </c>
      <c r="F312" t="s">
        <v>2800</v>
      </c>
      <c r="G312" t="s">
        <v>2801</v>
      </c>
      <c r="H312" s="23">
        <v>0.66666666666666663</v>
      </c>
      <c r="I312" t="s">
        <v>2696</v>
      </c>
      <c r="J312" t="s">
        <v>2568</v>
      </c>
      <c r="K312" t="s">
        <v>2569</v>
      </c>
      <c r="L312" t="s">
        <v>2462</v>
      </c>
      <c r="M312" t="s">
        <v>2570</v>
      </c>
      <c r="N312" s="6">
        <v>45993</v>
      </c>
      <c r="O312" t="s">
        <v>2457</v>
      </c>
      <c r="P312" t="s">
        <v>2445</v>
      </c>
      <c r="Q312" s="23">
        <v>0.32648148148148148</v>
      </c>
      <c r="R312" s="23">
        <v>0.65003472222222225</v>
      </c>
      <c r="S312">
        <v>19.600000000000001</v>
      </c>
      <c r="T312" t="s">
        <v>2443</v>
      </c>
      <c r="U312" t="s">
        <v>2571</v>
      </c>
      <c r="V312">
        <v>7.27</v>
      </c>
      <c r="W312">
        <v>7.27</v>
      </c>
      <c r="X312" t="s">
        <v>2689</v>
      </c>
      <c r="Y312" t="s">
        <v>2689</v>
      </c>
      <c r="Z312" t="s">
        <v>2689</v>
      </c>
      <c r="AA312" t="s">
        <v>2689</v>
      </c>
      <c r="AC312" t="s">
        <v>2689</v>
      </c>
      <c r="AD312" t="s">
        <v>2689</v>
      </c>
      <c r="AE312" t="s">
        <v>2689</v>
      </c>
      <c r="AF312" t="s">
        <v>2689</v>
      </c>
      <c r="AH312">
        <v>142.49</v>
      </c>
      <c r="AI312" t="s">
        <v>2690</v>
      </c>
      <c r="AJ312" t="s">
        <v>2690</v>
      </c>
      <c r="AK312" t="s">
        <v>2690</v>
      </c>
      <c r="AL312" t="s">
        <v>2690</v>
      </c>
      <c r="AP312">
        <v>142.49</v>
      </c>
      <c r="AR312" s="23">
        <v>0.32648148148148148</v>
      </c>
      <c r="AS312" s="23">
        <v>0.65003472222222225</v>
      </c>
      <c r="AT312" s="23">
        <v>0.33333333333333331</v>
      </c>
      <c r="AU312" s="23">
        <v>0.66666666666666663</v>
      </c>
      <c r="AV312" t="s">
        <v>2565</v>
      </c>
      <c r="AX312">
        <v>230</v>
      </c>
      <c r="AY312">
        <v>0.5</v>
      </c>
      <c r="AZ312" t="s">
        <v>3085</v>
      </c>
      <c r="BA312" t="s">
        <v>2752</v>
      </c>
      <c r="BD312" t="s">
        <v>2572</v>
      </c>
      <c r="BE312" t="s">
        <v>3017</v>
      </c>
      <c r="BG312">
        <v>0</v>
      </c>
      <c r="BH312">
        <v>0</v>
      </c>
      <c r="BJ312">
        <v>0</v>
      </c>
    </row>
    <row r="313" spans="1:62" x14ac:dyDescent="0.2">
      <c r="A313" t="s">
        <v>2462</v>
      </c>
      <c r="B313" t="s">
        <v>2462</v>
      </c>
      <c r="C313">
        <v>100035606</v>
      </c>
      <c r="D313" t="s">
        <v>2735</v>
      </c>
      <c r="E313" t="s">
        <v>2439</v>
      </c>
      <c r="F313" t="s">
        <v>2782</v>
      </c>
      <c r="G313" t="s">
        <v>2783</v>
      </c>
      <c r="H313" s="23">
        <v>0.70833333333333337</v>
      </c>
      <c r="I313" t="s">
        <v>2696</v>
      </c>
      <c r="J313" t="s">
        <v>2568</v>
      </c>
      <c r="K313" t="s">
        <v>2569</v>
      </c>
      <c r="L313" t="s">
        <v>2462</v>
      </c>
      <c r="M313" t="s">
        <v>2570</v>
      </c>
      <c r="N313" s="6">
        <v>45994</v>
      </c>
      <c r="O313" t="s">
        <v>2458</v>
      </c>
      <c r="P313" t="s">
        <v>2445</v>
      </c>
      <c r="Q313" s="23">
        <v>0.51407407407407413</v>
      </c>
      <c r="R313" s="23">
        <v>0.85063657407407411</v>
      </c>
      <c r="S313">
        <v>19.600000000000001</v>
      </c>
      <c r="T313" t="s">
        <v>2443</v>
      </c>
      <c r="U313" t="s">
        <v>2571</v>
      </c>
      <c r="V313">
        <v>7.58</v>
      </c>
      <c r="W313">
        <v>7.58</v>
      </c>
      <c r="X313" t="s">
        <v>2689</v>
      </c>
      <c r="Y313" t="s">
        <v>2689</v>
      </c>
      <c r="Z313" t="s">
        <v>2689</v>
      </c>
      <c r="AA313" t="s">
        <v>2689</v>
      </c>
      <c r="AC313" t="s">
        <v>2689</v>
      </c>
      <c r="AD313" t="s">
        <v>2689</v>
      </c>
      <c r="AE313" t="s">
        <v>2689</v>
      </c>
      <c r="AF313" t="s">
        <v>2689</v>
      </c>
      <c r="AH313">
        <v>148.57</v>
      </c>
      <c r="AI313" t="s">
        <v>2690</v>
      </c>
      <c r="AJ313" t="s">
        <v>2690</v>
      </c>
      <c r="AK313" t="s">
        <v>2690</v>
      </c>
      <c r="AL313" t="s">
        <v>2690</v>
      </c>
      <c r="AP313">
        <v>148.57</v>
      </c>
      <c r="AR313" s="23">
        <v>0.51407407407407413</v>
      </c>
      <c r="AS313" s="23">
        <v>0.85063657407407411</v>
      </c>
      <c r="AT313" s="23">
        <v>0.52083333333333337</v>
      </c>
      <c r="AU313" s="23">
        <v>0.85416666666666663</v>
      </c>
      <c r="AV313" t="s">
        <v>2565</v>
      </c>
      <c r="AX313">
        <v>230</v>
      </c>
      <c r="AY313">
        <v>0.5</v>
      </c>
      <c r="AZ313" t="s">
        <v>3086</v>
      </c>
      <c r="BA313" t="s">
        <v>2754</v>
      </c>
      <c r="BD313" t="s">
        <v>2572</v>
      </c>
      <c r="BE313" t="s">
        <v>3017</v>
      </c>
      <c r="BG313">
        <v>0</v>
      </c>
      <c r="BH313">
        <v>0</v>
      </c>
      <c r="BJ313">
        <v>0</v>
      </c>
    </row>
    <row r="314" spans="1:62" x14ac:dyDescent="0.2">
      <c r="A314" t="s">
        <v>2462</v>
      </c>
      <c r="B314" t="s">
        <v>2462</v>
      </c>
      <c r="C314">
        <v>100035606</v>
      </c>
      <c r="D314" t="s">
        <v>2735</v>
      </c>
      <c r="E314" t="s">
        <v>2439</v>
      </c>
      <c r="F314" t="s">
        <v>2804</v>
      </c>
      <c r="G314" t="s">
        <v>2805</v>
      </c>
      <c r="H314" s="23">
        <v>0.70833333333333337</v>
      </c>
      <c r="I314" t="s">
        <v>2696</v>
      </c>
      <c r="J314" t="s">
        <v>2568</v>
      </c>
      <c r="K314" t="s">
        <v>2569</v>
      </c>
      <c r="L314" t="s">
        <v>2462</v>
      </c>
      <c r="M314" t="s">
        <v>2570</v>
      </c>
      <c r="N314" s="6">
        <v>45995</v>
      </c>
      <c r="O314" t="s">
        <v>2459</v>
      </c>
      <c r="P314" t="s">
        <v>2445</v>
      </c>
      <c r="Q314" s="23">
        <v>0.5153240740740741</v>
      </c>
      <c r="R314" s="23">
        <v>0.81417824074074074</v>
      </c>
      <c r="S314">
        <v>19.600000000000001</v>
      </c>
      <c r="T314" t="s">
        <v>2443</v>
      </c>
      <c r="U314" t="s">
        <v>2571</v>
      </c>
      <c r="V314">
        <v>6.67</v>
      </c>
      <c r="W314">
        <v>6.67</v>
      </c>
      <c r="X314" t="s">
        <v>2689</v>
      </c>
      <c r="Y314" t="s">
        <v>2689</v>
      </c>
      <c r="Z314" t="s">
        <v>2689</v>
      </c>
      <c r="AA314" t="s">
        <v>2689</v>
      </c>
      <c r="AC314" t="s">
        <v>2689</v>
      </c>
      <c r="AD314" t="s">
        <v>2689</v>
      </c>
      <c r="AE314" t="s">
        <v>2689</v>
      </c>
      <c r="AF314" t="s">
        <v>2689</v>
      </c>
      <c r="AH314">
        <v>130.72999999999999</v>
      </c>
      <c r="AI314" t="s">
        <v>2690</v>
      </c>
      <c r="AJ314" t="s">
        <v>2690</v>
      </c>
      <c r="AK314" t="s">
        <v>2690</v>
      </c>
      <c r="AL314" t="s">
        <v>2690</v>
      </c>
      <c r="AP314">
        <v>130.72999999999999</v>
      </c>
      <c r="AR314" s="23">
        <v>0.5153240740740741</v>
      </c>
      <c r="AS314" s="23">
        <v>0.81417824074074074</v>
      </c>
      <c r="AT314" s="23">
        <v>0.52083333333333337</v>
      </c>
      <c r="AU314" s="23">
        <v>0.85416666666666663</v>
      </c>
      <c r="AV314" t="s">
        <v>2565</v>
      </c>
      <c r="AX314">
        <v>230</v>
      </c>
      <c r="AY314">
        <v>0.5</v>
      </c>
      <c r="AZ314" t="s">
        <v>3087</v>
      </c>
      <c r="BA314" t="s">
        <v>2754</v>
      </c>
      <c r="BD314" t="s">
        <v>2572</v>
      </c>
      <c r="BE314" t="s">
        <v>3017</v>
      </c>
      <c r="BG314">
        <v>0</v>
      </c>
      <c r="BH314">
        <v>0</v>
      </c>
      <c r="BJ314">
        <v>0</v>
      </c>
    </row>
    <row r="315" spans="1:62" x14ac:dyDescent="0.2">
      <c r="A315" t="s">
        <v>2462</v>
      </c>
      <c r="B315" t="s">
        <v>2462</v>
      </c>
      <c r="C315">
        <v>100035606</v>
      </c>
      <c r="D315" t="s">
        <v>2735</v>
      </c>
      <c r="E315" t="s">
        <v>2439</v>
      </c>
      <c r="F315" t="s">
        <v>2452</v>
      </c>
      <c r="G315" t="s">
        <v>2453</v>
      </c>
      <c r="H315" s="23">
        <v>0.33333333333333331</v>
      </c>
      <c r="I315" t="s">
        <v>2688</v>
      </c>
      <c r="J315" t="s">
        <v>2568</v>
      </c>
      <c r="K315" t="s">
        <v>2573</v>
      </c>
      <c r="L315" t="s">
        <v>2462</v>
      </c>
      <c r="M315" t="s">
        <v>2570</v>
      </c>
      <c r="N315" s="6">
        <v>45996</v>
      </c>
      <c r="O315" t="s">
        <v>2449</v>
      </c>
      <c r="P315" t="s">
        <v>2445</v>
      </c>
      <c r="Q315" s="23">
        <v>0.32655092592592594</v>
      </c>
      <c r="R315" s="23">
        <v>0.54462962962962957</v>
      </c>
      <c r="S315">
        <v>19.600000000000001</v>
      </c>
      <c r="T315" t="s">
        <v>2443</v>
      </c>
      <c r="U315" t="s">
        <v>2571</v>
      </c>
      <c r="V315">
        <v>5.23</v>
      </c>
      <c r="W315">
        <v>5.23</v>
      </c>
      <c r="X315" t="s">
        <v>2689</v>
      </c>
      <c r="Y315" t="s">
        <v>2689</v>
      </c>
      <c r="Z315" t="s">
        <v>2689</v>
      </c>
      <c r="AA315" t="s">
        <v>2689</v>
      </c>
      <c r="AC315" t="s">
        <v>2689</v>
      </c>
      <c r="AD315" t="s">
        <v>2689</v>
      </c>
      <c r="AE315" t="s">
        <v>2689</v>
      </c>
      <c r="AF315" t="s">
        <v>2689</v>
      </c>
      <c r="AH315">
        <v>102.51</v>
      </c>
      <c r="AI315" t="s">
        <v>2690</v>
      </c>
      <c r="AJ315" t="s">
        <v>2690</v>
      </c>
      <c r="AK315" t="s">
        <v>2690</v>
      </c>
      <c r="AL315" t="s">
        <v>2690</v>
      </c>
      <c r="AP315">
        <v>102.51</v>
      </c>
      <c r="AR315" s="23">
        <v>0.32655092592592594</v>
      </c>
      <c r="AS315" s="23">
        <v>0.54462962962962957</v>
      </c>
      <c r="AT315" s="23">
        <v>0.33333333333333331</v>
      </c>
      <c r="AU315" s="23">
        <v>0.66666666666666663</v>
      </c>
      <c r="AV315" t="s">
        <v>2565</v>
      </c>
      <c r="AX315">
        <v>230</v>
      </c>
      <c r="BA315" t="s">
        <v>2754</v>
      </c>
      <c r="BD315" t="s">
        <v>2572</v>
      </c>
      <c r="BE315" t="s">
        <v>3017</v>
      </c>
      <c r="BG315">
        <v>0</v>
      </c>
      <c r="BH315">
        <v>0</v>
      </c>
      <c r="BJ315">
        <v>0</v>
      </c>
    </row>
    <row r="316" spans="1:62" x14ac:dyDescent="0.2">
      <c r="A316" t="s">
        <v>2462</v>
      </c>
      <c r="B316" t="s">
        <v>2462</v>
      </c>
      <c r="C316">
        <v>100035606</v>
      </c>
      <c r="D316" t="s">
        <v>2735</v>
      </c>
      <c r="E316" t="s">
        <v>2439</v>
      </c>
      <c r="F316" t="s">
        <v>2452</v>
      </c>
      <c r="G316" t="s">
        <v>2453</v>
      </c>
      <c r="H316" s="23">
        <v>0.33333333333333331</v>
      </c>
      <c r="I316" t="s">
        <v>2688</v>
      </c>
      <c r="J316" t="s">
        <v>2568</v>
      </c>
      <c r="K316" t="s">
        <v>2611</v>
      </c>
      <c r="L316" t="s">
        <v>2462</v>
      </c>
      <c r="M316" t="s">
        <v>2570</v>
      </c>
      <c r="N316" s="6">
        <v>45998</v>
      </c>
      <c r="O316" t="s">
        <v>2461</v>
      </c>
      <c r="P316" t="s">
        <v>2442</v>
      </c>
      <c r="Q316" s="23">
        <v>0.32717592592592593</v>
      </c>
      <c r="R316" s="23">
        <v>0.67218750000000005</v>
      </c>
      <c r="S316">
        <v>19.600000000000001</v>
      </c>
      <c r="T316" t="s">
        <v>2443</v>
      </c>
      <c r="U316" t="s">
        <v>2571</v>
      </c>
      <c r="V316">
        <v>7.78</v>
      </c>
      <c r="W316">
        <v>7.78</v>
      </c>
      <c r="X316" t="s">
        <v>2689</v>
      </c>
      <c r="Y316" t="s">
        <v>2689</v>
      </c>
      <c r="Z316" t="s">
        <v>2689</v>
      </c>
      <c r="AA316" t="s">
        <v>2689</v>
      </c>
      <c r="AC316" t="s">
        <v>2689</v>
      </c>
      <c r="AD316" t="s">
        <v>2689</v>
      </c>
      <c r="AE316" t="s">
        <v>2689</v>
      </c>
      <c r="AF316" t="s">
        <v>2689</v>
      </c>
      <c r="AH316">
        <v>152.49</v>
      </c>
      <c r="AI316" t="s">
        <v>2690</v>
      </c>
      <c r="AJ316" t="s">
        <v>2690</v>
      </c>
      <c r="AK316" t="s">
        <v>2690</v>
      </c>
      <c r="AL316" t="s">
        <v>2690</v>
      </c>
      <c r="AP316">
        <v>152.49</v>
      </c>
      <c r="AR316" s="23">
        <v>0.32717592592592593</v>
      </c>
      <c r="AS316" s="23">
        <v>0.67218750000000005</v>
      </c>
      <c r="AT316" s="23">
        <v>0.33333333333333331</v>
      </c>
      <c r="AU316" s="23">
        <v>0.66666666666666663</v>
      </c>
      <c r="AV316" t="s">
        <v>2565</v>
      </c>
      <c r="AX316">
        <v>230</v>
      </c>
      <c r="AY316">
        <v>0.5</v>
      </c>
      <c r="AZ316" t="s">
        <v>3088</v>
      </c>
      <c r="BA316" t="s">
        <v>2754</v>
      </c>
      <c r="BD316" t="s">
        <v>2572</v>
      </c>
      <c r="BE316" t="s">
        <v>3017</v>
      </c>
      <c r="BG316">
        <v>0</v>
      </c>
      <c r="BH316">
        <v>0</v>
      </c>
      <c r="BJ316">
        <v>0</v>
      </c>
    </row>
    <row r="317" spans="1:62" x14ac:dyDescent="0.2">
      <c r="A317" t="s">
        <v>2462</v>
      </c>
      <c r="B317" t="s">
        <v>2462</v>
      </c>
      <c r="C317">
        <v>100035606</v>
      </c>
      <c r="D317" t="s">
        <v>2735</v>
      </c>
      <c r="E317" t="s">
        <v>2439</v>
      </c>
      <c r="F317" t="s">
        <v>2786</v>
      </c>
      <c r="G317" t="s">
        <v>2787</v>
      </c>
      <c r="H317" s="23">
        <v>0.66666666666666663</v>
      </c>
      <c r="I317" t="s">
        <v>2696</v>
      </c>
      <c r="J317" t="s">
        <v>2568</v>
      </c>
      <c r="K317" t="s">
        <v>2573</v>
      </c>
      <c r="L317" t="s">
        <v>2462</v>
      </c>
      <c r="M317" t="s">
        <v>2570</v>
      </c>
      <c r="N317" s="6">
        <v>45999</v>
      </c>
      <c r="O317" t="s">
        <v>2455</v>
      </c>
      <c r="P317" t="s">
        <v>2445</v>
      </c>
      <c r="Q317" s="23">
        <v>0.32658564814814817</v>
      </c>
      <c r="R317" s="23">
        <v>0.69421296296296298</v>
      </c>
      <c r="S317">
        <v>19.600000000000001</v>
      </c>
      <c r="T317" t="s">
        <v>2443</v>
      </c>
      <c r="U317" t="s">
        <v>2571</v>
      </c>
      <c r="V317">
        <v>8.32</v>
      </c>
      <c r="W317">
        <v>8</v>
      </c>
      <c r="X317">
        <v>0.32</v>
      </c>
      <c r="Y317" t="s">
        <v>2689</v>
      </c>
      <c r="Z317" t="s">
        <v>2689</v>
      </c>
      <c r="AA317" t="s">
        <v>2689</v>
      </c>
      <c r="AC317" t="s">
        <v>2689</v>
      </c>
      <c r="AD317" t="s">
        <v>2689</v>
      </c>
      <c r="AE317" t="s">
        <v>2689</v>
      </c>
      <c r="AF317" t="s">
        <v>2689</v>
      </c>
      <c r="AH317">
        <v>156.80000000000001</v>
      </c>
      <c r="AI317">
        <v>9.41</v>
      </c>
      <c r="AJ317" t="s">
        <v>2690</v>
      </c>
      <c r="AK317" t="s">
        <v>2690</v>
      </c>
      <c r="AL317" t="s">
        <v>2690</v>
      </c>
      <c r="AP317">
        <v>166.21</v>
      </c>
      <c r="AR317" s="23">
        <v>0.32658564814814817</v>
      </c>
      <c r="AS317" s="23">
        <v>0.69421296296296298</v>
      </c>
      <c r="AT317" s="23">
        <v>0.33333333333333331</v>
      </c>
      <c r="AU317" s="23">
        <v>0.66666666666666663</v>
      </c>
      <c r="AV317" t="s">
        <v>2565</v>
      </c>
      <c r="AX317">
        <v>230</v>
      </c>
      <c r="AY317">
        <v>0.5</v>
      </c>
      <c r="AZ317" t="s">
        <v>3089</v>
      </c>
      <c r="BA317" t="s">
        <v>2861</v>
      </c>
      <c r="BD317" t="s">
        <v>2572</v>
      </c>
      <c r="BE317" t="s">
        <v>3017</v>
      </c>
      <c r="BG317">
        <v>0</v>
      </c>
      <c r="BH317">
        <v>0</v>
      </c>
      <c r="BJ317">
        <v>0</v>
      </c>
    </row>
    <row r="318" spans="1:62" x14ac:dyDescent="0.2">
      <c r="A318" t="s">
        <v>2462</v>
      </c>
      <c r="B318" t="s">
        <v>2462</v>
      </c>
      <c r="C318">
        <v>100035606</v>
      </c>
      <c r="D318" t="s">
        <v>2735</v>
      </c>
      <c r="E318" t="s">
        <v>2439</v>
      </c>
      <c r="F318" t="s">
        <v>2789</v>
      </c>
      <c r="G318" t="s">
        <v>2790</v>
      </c>
      <c r="H318" s="23">
        <v>0.375</v>
      </c>
      <c r="I318" t="s">
        <v>2696</v>
      </c>
      <c r="J318" t="s">
        <v>2568</v>
      </c>
      <c r="K318" t="s">
        <v>2573</v>
      </c>
      <c r="L318" t="s">
        <v>2462</v>
      </c>
      <c r="M318" t="s">
        <v>2570</v>
      </c>
      <c r="N318" s="6">
        <v>46000</v>
      </c>
      <c r="O318" t="s">
        <v>2457</v>
      </c>
      <c r="P318" t="s">
        <v>2445</v>
      </c>
      <c r="Q318" s="23">
        <v>0.24319444444444444</v>
      </c>
      <c r="R318" s="23">
        <v>0.58337962962962964</v>
      </c>
      <c r="S318">
        <v>19.600000000000001</v>
      </c>
      <c r="T318" t="s">
        <v>2443</v>
      </c>
      <c r="U318" t="s">
        <v>2571</v>
      </c>
      <c r="V318">
        <v>7.66</v>
      </c>
      <c r="W318">
        <v>4.74</v>
      </c>
      <c r="X318">
        <v>2.92</v>
      </c>
      <c r="Y318" t="s">
        <v>2689</v>
      </c>
      <c r="Z318" t="s">
        <v>2689</v>
      </c>
      <c r="AA318" t="s">
        <v>2689</v>
      </c>
      <c r="AC318" t="s">
        <v>2689</v>
      </c>
      <c r="AD318" t="s">
        <v>2689</v>
      </c>
      <c r="AE318" t="s">
        <v>2689</v>
      </c>
      <c r="AF318" t="s">
        <v>2689</v>
      </c>
      <c r="AH318">
        <v>92.9</v>
      </c>
      <c r="AI318">
        <v>85.85</v>
      </c>
      <c r="AJ318" t="s">
        <v>2690</v>
      </c>
      <c r="AK318" t="s">
        <v>2690</v>
      </c>
      <c r="AL318" t="s">
        <v>2690</v>
      </c>
      <c r="AP318">
        <v>178.75</v>
      </c>
      <c r="AR318" s="23">
        <v>0.24319444444444444</v>
      </c>
      <c r="AS318" s="23">
        <v>0.58337962962962964</v>
      </c>
      <c r="AT318" s="23">
        <v>0.25</v>
      </c>
      <c r="AU318" s="23">
        <v>0.58333333333333337</v>
      </c>
      <c r="AV318" t="s">
        <v>2565</v>
      </c>
      <c r="AX318">
        <v>230</v>
      </c>
      <c r="AY318">
        <v>0.5</v>
      </c>
      <c r="AZ318" t="s">
        <v>3090</v>
      </c>
      <c r="BA318" t="s">
        <v>2757</v>
      </c>
      <c r="BD318" t="s">
        <v>2572</v>
      </c>
      <c r="BE318" t="s">
        <v>3017</v>
      </c>
      <c r="BG318">
        <v>0</v>
      </c>
      <c r="BH318">
        <v>0</v>
      </c>
      <c r="BJ318">
        <v>0</v>
      </c>
    </row>
    <row r="319" spans="1:62" x14ac:dyDescent="0.2">
      <c r="A319" t="s">
        <v>2462</v>
      </c>
      <c r="B319" t="s">
        <v>2462</v>
      </c>
      <c r="C319">
        <v>100035606</v>
      </c>
      <c r="D319" t="s">
        <v>2735</v>
      </c>
      <c r="E319" t="s">
        <v>2439</v>
      </c>
      <c r="F319" t="s">
        <v>2452</v>
      </c>
      <c r="G319" t="s">
        <v>2453</v>
      </c>
      <c r="H319" s="23">
        <v>0.33333333333333331</v>
      </c>
      <c r="I319" t="s">
        <v>2688</v>
      </c>
      <c r="J319" t="s">
        <v>2568</v>
      </c>
      <c r="K319" t="s">
        <v>2569</v>
      </c>
      <c r="L319" t="s">
        <v>2462</v>
      </c>
      <c r="M319" t="s">
        <v>2570</v>
      </c>
      <c r="N319" s="6">
        <v>46001</v>
      </c>
      <c r="O319" t="s">
        <v>2458</v>
      </c>
      <c r="P319" t="s">
        <v>2445</v>
      </c>
      <c r="Q319" s="23">
        <v>0.32667824074074076</v>
      </c>
      <c r="R319" s="23">
        <v>0.66666666666666663</v>
      </c>
      <c r="S319">
        <v>19.600000000000001</v>
      </c>
      <c r="T319" t="s">
        <v>2443</v>
      </c>
      <c r="U319" t="s">
        <v>2571</v>
      </c>
      <c r="V319">
        <v>7.66</v>
      </c>
      <c r="W319">
        <v>7.66</v>
      </c>
      <c r="X319" t="s">
        <v>2689</v>
      </c>
      <c r="Y319" t="s">
        <v>2689</v>
      </c>
      <c r="Z319" t="s">
        <v>2689</v>
      </c>
      <c r="AA319" t="s">
        <v>2689</v>
      </c>
      <c r="AC319" t="s">
        <v>2689</v>
      </c>
      <c r="AD319" t="s">
        <v>2689</v>
      </c>
      <c r="AE319" t="s">
        <v>2689</v>
      </c>
      <c r="AF319" t="s">
        <v>2689</v>
      </c>
      <c r="AH319">
        <v>150.13999999999999</v>
      </c>
      <c r="AI319" t="s">
        <v>2690</v>
      </c>
      <c r="AJ319" t="s">
        <v>2690</v>
      </c>
      <c r="AK319" t="s">
        <v>2690</v>
      </c>
      <c r="AL319" t="s">
        <v>2690</v>
      </c>
      <c r="AP319">
        <v>150.13999999999999</v>
      </c>
      <c r="AR319" s="23">
        <v>0.32667824074074076</v>
      </c>
      <c r="AS319" s="23">
        <v>0.50004629629629627</v>
      </c>
      <c r="AT319" s="23">
        <v>0.33333333333333331</v>
      </c>
      <c r="AU319" s="23">
        <v>0.66666666666666663</v>
      </c>
      <c r="AV319" t="s">
        <v>2565</v>
      </c>
      <c r="AX319">
        <v>230</v>
      </c>
      <c r="AY319">
        <v>0.5</v>
      </c>
      <c r="BA319" t="s">
        <v>2759</v>
      </c>
      <c r="BD319" t="s">
        <v>2572</v>
      </c>
      <c r="BE319" t="s">
        <v>3017</v>
      </c>
      <c r="BF319" t="s">
        <v>2456</v>
      </c>
      <c r="BG319">
        <v>0</v>
      </c>
      <c r="BH319">
        <v>0</v>
      </c>
      <c r="BJ319">
        <v>0</v>
      </c>
    </row>
    <row r="320" spans="1:62" x14ac:dyDescent="0.2">
      <c r="A320" t="s">
        <v>2462</v>
      </c>
      <c r="B320" t="s">
        <v>2462</v>
      </c>
      <c r="C320">
        <v>100035606</v>
      </c>
      <c r="D320" t="s">
        <v>2735</v>
      </c>
      <c r="E320" t="s">
        <v>2439</v>
      </c>
      <c r="F320" t="s">
        <v>2791</v>
      </c>
      <c r="G320" t="s">
        <v>2792</v>
      </c>
      <c r="H320" s="23">
        <v>0.79166666666666663</v>
      </c>
      <c r="I320" t="s">
        <v>2696</v>
      </c>
      <c r="J320" t="s">
        <v>2568</v>
      </c>
      <c r="K320" t="s">
        <v>2611</v>
      </c>
      <c r="L320" t="s">
        <v>2462</v>
      </c>
      <c r="M320" t="s">
        <v>2570</v>
      </c>
      <c r="N320" s="6">
        <v>46002</v>
      </c>
      <c r="O320" t="s">
        <v>2459</v>
      </c>
      <c r="P320" t="s">
        <v>2445</v>
      </c>
      <c r="Q320" s="23">
        <v>0.57646990740740744</v>
      </c>
      <c r="R320" s="23">
        <v>2.7777777777777778E-4</v>
      </c>
      <c r="S320">
        <v>19.600000000000001</v>
      </c>
      <c r="T320" t="s">
        <v>2443</v>
      </c>
      <c r="U320" t="s">
        <v>2571</v>
      </c>
      <c r="V320">
        <v>9.67</v>
      </c>
      <c r="W320">
        <v>8</v>
      </c>
      <c r="X320">
        <v>1.67</v>
      </c>
      <c r="Y320" t="s">
        <v>2689</v>
      </c>
      <c r="Z320" t="s">
        <v>2689</v>
      </c>
      <c r="AA320" t="s">
        <v>2689</v>
      </c>
      <c r="AC320" t="s">
        <v>2689</v>
      </c>
      <c r="AD320" t="s">
        <v>2689</v>
      </c>
      <c r="AE320" t="s">
        <v>2689</v>
      </c>
      <c r="AF320" t="s">
        <v>2689</v>
      </c>
      <c r="AH320">
        <v>156.80000000000001</v>
      </c>
      <c r="AI320">
        <v>49.1</v>
      </c>
      <c r="AJ320" t="s">
        <v>2690</v>
      </c>
      <c r="AK320" t="s">
        <v>2690</v>
      </c>
      <c r="AL320" t="s">
        <v>2690</v>
      </c>
      <c r="AP320">
        <v>205.9</v>
      </c>
      <c r="AR320" s="23">
        <v>0.57646990740740744</v>
      </c>
      <c r="AS320" s="23">
        <v>2.7777777777777778E-4</v>
      </c>
      <c r="AT320" s="23">
        <v>0.58333333333333337</v>
      </c>
      <c r="AU320" s="23">
        <v>0.91666666666666663</v>
      </c>
      <c r="AV320" t="s">
        <v>2565</v>
      </c>
      <c r="AX320">
        <v>230</v>
      </c>
      <c r="AY320">
        <v>0.5</v>
      </c>
      <c r="AZ320" t="s">
        <v>3091</v>
      </c>
      <c r="BA320" t="s">
        <v>2759</v>
      </c>
      <c r="BD320" t="s">
        <v>2572</v>
      </c>
      <c r="BE320" t="s">
        <v>3017</v>
      </c>
      <c r="BG320">
        <v>0</v>
      </c>
      <c r="BH320">
        <v>0</v>
      </c>
      <c r="BJ320">
        <v>0</v>
      </c>
    </row>
    <row r="321" spans="1:62" x14ac:dyDescent="0.2">
      <c r="A321" t="s">
        <v>2462</v>
      </c>
      <c r="B321" t="s">
        <v>2462</v>
      </c>
      <c r="C321">
        <v>100035606</v>
      </c>
      <c r="D321" t="s">
        <v>2735</v>
      </c>
      <c r="E321" t="s">
        <v>2439</v>
      </c>
      <c r="F321" t="s">
        <v>2811</v>
      </c>
      <c r="G321" t="s">
        <v>2812</v>
      </c>
      <c r="H321" s="23">
        <v>0.6875</v>
      </c>
      <c r="I321" t="s">
        <v>2696</v>
      </c>
      <c r="J321" t="s">
        <v>2568</v>
      </c>
      <c r="K321" t="s">
        <v>2569</v>
      </c>
      <c r="L321" t="s">
        <v>2462</v>
      </c>
      <c r="M321" t="s">
        <v>2570</v>
      </c>
      <c r="N321" s="6">
        <v>46005</v>
      </c>
      <c r="O321" t="s">
        <v>2461</v>
      </c>
      <c r="P321" t="s">
        <v>2442</v>
      </c>
      <c r="Q321" s="23">
        <v>0.53487268518518516</v>
      </c>
      <c r="R321" s="23">
        <v>0.85458333333333336</v>
      </c>
      <c r="S321">
        <v>19.600000000000001</v>
      </c>
      <c r="T321" t="s">
        <v>2443</v>
      </c>
      <c r="U321" t="s">
        <v>2571</v>
      </c>
      <c r="V321">
        <v>7.17</v>
      </c>
      <c r="W321">
        <v>7.17</v>
      </c>
      <c r="X321" t="s">
        <v>2689</v>
      </c>
      <c r="Y321" t="s">
        <v>2689</v>
      </c>
      <c r="Z321" t="s">
        <v>2689</v>
      </c>
      <c r="AA321" t="s">
        <v>2689</v>
      </c>
      <c r="AC321" t="s">
        <v>2689</v>
      </c>
      <c r="AD321" t="s">
        <v>2689</v>
      </c>
      <c r="AE321" t="s">
        <v>2689</v>
      </c>
      <c r="AF321" t="s">
        <v>2689</v>
      </c>
      <c r="AH321">
        <v>140.53</v>
      </c>
      <c r="AI321" t="s">
        <v>2690</v>
      </c>
      <c r="AJ321" t="s">
        <v>2690</v>
      </c>
      <c r="AK321" t="s">
        <v>2690</v>
      </c>
      <c r="AL321" t="s">
        <v>2690</v>
      </c>
      <c r="AP321">
        <v>140.53</v>
      </c>
      <c r="AR321" s="23">
        <v>0.53487268518518516</v>
      </c>
      <c r="AS321" s="23">
        <v>0.85458333333333336</v>
      </c>
      <c r="AT321" s="23">
        <v>0.54166666666666663</v>
      </c>
      <c r="AU321" s="23">
        <v>0.875</v>
      </c>
      <c r="AV321" t="s">
        <v>2565</v>
      </c>
      <c r="AX321">
        <v>230</v>
      </c>
      <c r="AY321">
        <v>0.5</v>
      </c>
      <c r="AZ321" t="s">
        <v>3092</v>
      </c>
      <c r="BA321" t="s">
        <v>2798</v>
      </c>
      <c r="BD321" t="s">
        <v>2572</v>
      </c>
      <c r="BE321" t="s">
        <v>3017</v>
      </c>
      <c r="BG321">
        <v>0</v>
      </c>
      <c r="BH321">
        <v>0</v>
      </c>
      <c r="BJ321">
        <v>0</v>
      </c>
    </row>
    <row r="322" spans="1:62" x14ac:dyDescent="0.2">
      <c r="A322" t="s">
        <v>2462</v>
      </c>
      <c r="B322" t="s">
        <v>2462</v>
      </c>
      <c r="C322">
        <v>100035606</v>
      </c>
      <c r="D322" t="s">
        <v>2735</v>
      </c>
      <c r="E322" t="s">
        <v>2439</v>
      </c>
      <c r="F322" t="s">
        <v>2814</v>
      </c>
      <c r="G322" t="s">
        <v>2815</v>
      </c>
      <c r="H322" s="23">
        <v>0.47916666666666669</v>
      </c>
      <c r="I322" t="s">
        <v>2696</v>
      </c>
      <c r="J322" t="s">
        <v>2583</v>
      </c>
      <c r="K322" t="s">
        <v>2607</v>
      </c>
      <c r="L322" t="s">
        <v>2462</v>
      </c>
      <c r="M322" t="s">
        <v>2567</v>
      </c>
      <c r="N322" s="6">
        <v>46006</v>
      </c>
      <c r="O322" t="s">
        <v>2455</v>
      </c>
      <c r="P322" t="s">
        <v>2445</v>
      </c>
      <c r="Q322" s="23">
        <v>0.28484953703703703</v>
      </c>
      <c r="R322" s="23">
        <v>0.50009259259259264</v>
      </c>
      <c r="S322">
        <v>19.600000000000001</v>
      </c>
      <c r="T322" t="s">
        <v>2443</v>
      </c>
      <c r="U322" t="s">
        <v>2571</v>
      </c>
      <c r="V322">
        <v>5.17</v>
      </c>
      <c r="W322">
        <v>5.17</v>
      </c>
      <c r="X322" t="s">
        <v>2689</v>
      </c>
      <c r="Y322" t="s">
        <v>2689</v>
      </c>
      <c r="Z322" t="s">
        <v>2689</v>
      </c>
      <c r="AA322" t="s">
        <v>2689</v>
      </c>
      <c r="AC322" t="s">
        <v>2689</v>
      </c>
      <c r="AD322" t="s">
        <v>2689</v>
      </c>
      <c r="AE322" t="s">
        <v>2689</v>
      </c>
      <c r="AF322" t="s">
        <v>2689</v>
      </c>
      <c r="AH322">
        <v>101.33</v>
      </c>
      <c r="AI322" t="s">
        <v>2690</v>
      </c>
      <c r="AJ322" t="s">
        <v>2690</v>
      </c>
      <c r="AK322" t="s">
        <v>2690</v>
      </c>
      <c r="AL322" t="s">
        <v>2690</v>
      </c>
      <c r="AP322">
        <v>101.33</v>
      </c>
      <c r="AR322" s="23">
        <v>0.28484953703703703</v>
      </c>
      <c r="AS322" s="23">
        <v>0.50009259259259264</v>
      </c>
      <c r="AT322" s="23">
        <v>0.29166666666666669</v>
      </c>
      <c r="AU322" s="23">
        <v>0.625</v>
      </c>
      <c r="AV322" t="s">
        <v>2565</v>
      </c>
      <c r="AX322">
        <v>100</v>
      </c>
      <c r="BA322" t="s">
        <v>2769</v>
      </c>
      <c r="BD322" t="s">
        <v>2572</v>
      </c>
      <c r="BE322" t="s">
        <v>3017</v>
      </c>
      <c r="BG322">
        <v>0</v>
      </c>
      <c r="BH322">
        <v>0</v>
      </c>
      <c r="BJ322">
        <v>0</v>
      </c>
    </row>
    <row r="323" spans="1:62" x14ac:dyDescent="0.2">
      <c r="A323" t="s">
        <v>2462</v>
      </c>
      <c r="B323" t="s">
        <v>2462</v>
      </c>
      <c r="C323">
        <v>100036545</v>
      </c>
      <c r="D323" t="s">
        <v>2679</v>
      </c>
      <c r="E323" t="s">
        <v>2439</v>
      </c>
      <c r="F323" t="s">
        <v>2789</v>
      </c>
      <c r="G323" t="s">
        <v>2790</v>
      </c>
      <c r="H323" s="23">
        <v>0.375</v>
      </c>
      <c r="I323" t="s">
        <v>2696</v>
      </c>
      <c r="J323" t="s">
        <v>2594</v>
      </c>
      <c r="K323" t="s">
        <v>2595</v>
      </c>
      <c r="L323" t="s">
        <v>2462</v>
      </c>
      <c r="M323" t="s">
        <v>2596</v>
      </c>
      <c r="N323" s="6">
        <v>46000</v>
      </c>
      <c r="O323" t="s">
        <v>2457</v>
      </c>
      <c r="P323" t="s">
        <v>2445</v>
      </c>
      <c r="Q323" s="23">
        <v>0.25224537037037037</v>
      </c>
      <c r="R323" s="23">
        <v>0.58341435185185186</v>
      </c>
      <c r="S323">
        <v>18.600000000000001</v>
      </c>
      <c r="T323" t="s">
        <v>2443</v>
      </c>
      <c r="U323" t="s">
        <v>2597</v>
      </c>
      <c r="V323">
        <v>7.45</v>
      </c>
      <c r="W323">
        <v>7.45</v>
      </c>
      <c r="X323" t="s">
        <v>2689</v>
      </c>
      <c r="Y323" t="s">
        <v>2689</v>
      </c>
      <c r="Z323" t="s">
        <v>2689</v>
      </c>
      <c r="AA323" t="s">
        <v>2689</v>
      </c>
      <c r="AC323" t="s">
        <v>2689</v>
      </c>
      <c r="AD323" t="s">
        <v>2689</v>
      </c>
      <c r="AE323" t="s">
        <v>2689</v>
      </c>
      <c r="AF323" t="s">
        <v>2689</v>
      </c>
      <c r="AH323">
        <v>138.57</v>
      </c>
      <c r="AI323" t="s">
        <v>2690</v>
      </c>
      <c r="AJ323" t="s">
        <v>2690</v>
      </c>
      <c r="AK323" t="s">
        <v>2690</v>
      </c>
      <c r="AL323" t="s">
        <v>2690</v>
      </c>
      <c r="AP323">
        <v>138.57</v>
      </c>
      <c r="AR323" s="23">
        <v>0.25224537037037037</v>
      </c>
      <c r="AS323" s="23">
        <v>0.58341435185185186</v>
      </c>
      <c r="AT323" s="23">
        <v>0.25</v>
      </c>
      <c r="AU323" s="23">
        <v>0.58333333333333337</v>
      </c>
      <c r="AV323" t="s">
        <v>2565</v>
      </c>
      <c r="AX323">
        <v>220</v>
      </c>
      <c r="AY323">
        <v>0.5</v>
      </c>
      <c r="AZ323" t="s">
        <v>3093</v>
      </c>
      <c r="BA323" t="s">
        <v>2757</v>
      </c>
      <c r="BD323" t="s">
        <v>2598</v>
      </c>
      <c r="BE323" t="s">
        <v>3079</v>
      </c>
      <c r="BG323">
        <v>0</v>
      </c>
      <c r="BH323">
        <v>0</v>
      </c>
      <c r="BJ323">
        <v>0</v>
      </c>
    </row>
    <row r="324" spans="1:62" x14ac:dyDescent="0.2">
      <c r="A324" t="s">
        <v>2462</v>
      </c>
      <c r="B324" t="s">
        <v>2462</v>
      </c>
      <c r="C324">
        <v>100036545</v>
      </c>
      <c r="D324" t="s">
        <v>2679</v>
      </c>
      <c r="E324" t="s">
        <v>2439</v>
      </c>
      <c r="F324" t="s">
        <v>2452</v>
      </c>
      <c r="G324" t="s">
        <v>2453</v>
      </c>
      <c r="H324" s="23">
        <v>0.33333333333333331</v>
      </c>
      <c r="I324" t="s">
        <v>2688</v>
      </c>
      <c r="J324" t="s">
        <v>2594</v>
      </c>
      <c r="K324" t="s">
        <v>3094</v>
      </c>
      <c r="L324" t="s">
        <v>2462</v>
      </c>
      <c r="M324" t="s">
        <v>2596</v>
      </c>
      <c r="N324" s="6">
        <v>46001</v>
      </c>
      <c r="O324" t="s">
        <v>2458</v>
      </c>
      <c r="P324" t="s">
        <v>2445</v>
      </c>
      <c r="Q324" s="23">
        <v>0.32681712962962961</v>
      </c>
      <c r="R324" s="23">
        <v>0.66258101851851847</v>
      </c>
      <c r="S324">
        <v>18.600000000000001</v>
      </c>
      <c r="T324" t="s">
        <v>2443</v>
      </c>
      <c r="U324" t="s">
        <v>2597</v>
      </c>
      <c r="V324">
        <v>7.56</v>
      </c>
      <c r="W324">
        <v>7.56</v>
      </c>
      <c r="X324" t="s">
        <v>2689</v>
      </c>
      <c r="Y324" t="s">
        <v>2689</v>
      </c>
      <c r="Z324" t="s">
        <v>2689</v>
      </c>
      <c r="AA324" t="s">
        <v>2689</v>
      </c>
      <c r="AC324" t="s">
        <v>2689</v>
      </c>
      <c r="AD324" t="s">
        <v>2689</v>
      </c>
      <c r="AE324" t="s">
        <v>2689</v>
      </c>
      <c r="AF324" t="s">
        <v>2689</v>
      </c>
      <c r="AH324">
        <v>140.62</v>
      </c>
      <c r="AI324" t="s">
        <v>2690</v>
      </c>
      <c r="AJ324" t="s">
        <v>2690</v>
      </c>
      <c r="AK324" t="s">
        <v>2690</v>
      </c>
      <c r="AL324" t="s">
        <v>2690</v>
      </c>
      <c r="AP324">
        <v>140.62</v>
      </c>
      <c r="AR324" s="23">
        <v>0.32681712962962961</v>
      </c>
      <c r="AS324" s="23">
        <v>0.66258101851851847</v>
      </c>
      <c r="AT324" s="23">
        <v>0.33333333333333331</v>
      </c>
      <c r="AU324" s="23">
        <v>0.66666666666666663</v>
      </c>
      <c r="AV324" t="s">
        <v>2565</v>
      </c>
      <c r="AX324">
        <v>220</v>
      </c>
      <c r="AY324">
        <v>0.5</v>
      </c>
      <c r="AZ324" t="s">
        <v>3095</v>
      </c>
      <c r="BA324" t="s">
        <v>2759</v>
      </c>
      <c r="BD324" t="s">
        <v>2598</v>
      </c>
      <c r="BE324" t="s">
        <v>3079</v>
      </c>
      <c r="BG324">
        <v>0</v>
      </c>
      <c r="BH324">
        <v>0</v>
      </c>
      <c r="BJ324">
        <v>0</v>
      </c>
    </row>
    <row r="325" spans="1:62" x14ac:dyDescent="0.2">
      <c r="A325" t="s">
        <v>2462</v>
      </c>
      <c r="B325" t="s">
        <v>2462</v>
      </c>
      <c r="C325">
        <v>100036545</v>
      </c>
      <c r="D325" t="s">
        <v>2679</v>
      </c>
      <c r="E325" t="s">
        <v>2439</v>
      </c>
      <c r="F325" t="s">
        <v>2791</v>
      </c>
      <c r="G325" t="s">
        <v>2792</v>
      </c>
      <c r="H325" s="23">
        <v>0.79166666666666663</v>
      </c>
      <c r="I325" t="s">
        <v>2696</v>
      </c>
      <c r="J325" t="s">
        <v>2594</v>
      </c>
      <c r="K325" t="s">
        <v>2605</v>
      </c>
      <c r="L325" t="s">
        <v>2462</v>
      </c>
      <c r="M325" t="s">
        <v>2596</v>
      </c>
      <c r="N325" s="6">
        <v>46002</v>
      </c>
      <c r="O325" t="s">
        <v>2459</v>
      </c>
      <c r="P325" t="s">
        <v>2445</v>
      </c>
      <c r="Q325" s="23">
        <v>0.57681712962962961</v>
      </c>
      <c r="R325" s="23">
        <v>0.93752314814814819</v>
      </c>
      <c r="S325">
        <v>18.600000000000001</v>
      </c>
      <c r="T325" t="s">
        <v>2443</v>
      </c>
      <c r="U325" t="s">
        <v>2597</v>
      </c>
      <c r="V325">
        <v>8.16</v>
      </c>
      <c r="W325">
        <v>8</v>
      </c>
      <c r="X325">
        <v>0.16</v>
      </c>
      <c r="Y325" t="s">
        <v>2689</v>
      </c>
      <c r="Z325" t="s">
        <v>2689</v>
      </c>
      <c r="AA325" t="s">
        <v>2689</v>
      </c>
      <c r="AC325" t="s">
        <v>2689</v>
      </c>
      <c r="AD325" t="s">
        <v>2689</v>
      </c>
      <c r="AE325" t="s">
        <v>2689</v>
      </c>
      <c r="AF325" t="s">
        <v>2689</v>
      </c>
      <c r="AH325">
        <v>148.80000000000001</v>
      </c>
      <c r="AI325">
        <v>4.46</v>
      </c>
      <c r="AJ325" t="s">
        <v>2690</v>
      </c>
      <c r="AK325" t="s">
        <v>2690</v>
      </c>
      <c r="AL325" t="s">
        <v>2690</v>
      </c>
      <c r="AP325">
        <v>153.26</v>
      </c>
      <c r="AR325" s="23">
        <v>0.57681712962962961</v>
      </c>
      <c r="AS325" s="23">
        <v>0.93752314814814819</v>
      </c>
      <c r="AT325" s="23">
        <v>0.58333333333333337</v>
      </c>
      <c r="AU325" s="23">
        <v>0.91666666666666663</v>
      </c>
      <c r="AV325" t="s">
        <v>2565</v>
      </c>
      <c r="AX325">
        <v>220</v>
      </c>
      <c r="AY325">
        <v>0.5</v>
      </c>
      <c r="AZ325" t="s">
        <v>3096</v>
      </c>
      <c r="BA325" t="s">
        <v>2798</v>
      </c>
      <c r="BD325" t="s">
        <v>2598</v>
      </c>
      <c r="BE325" t="s">
        <v>3079</v>
      </c>
      <c r="BF325" t="s">
        <v>2456</v>
      </c>
      <c r="BG325">
        <v>0</v>
      </c>
      <c r="BH325">
        <v>0</v>
      </c>
      <c r="BJ325">
        <v>0</v>
      </c>
    </row>
    <row r="326" spans="1:62" x14ac:dyDescent="0.2">
      <c r="A326" t="s">
        <v>2462</v>
      </c>
      <c r="B326" t="s">
        <v>2462</v>
      </c>
      <c r="C326">
        <v>100036545</v>
      </c>
      <c r="D326" t="s">
        <v>2679</v>
      </c>
      <c r="E326" t="s">
        <v>2439</v>
      </c>
      <c r="F326" t="s">
        <v>2811</v>
      </c>
      <c r="G326" t="s">
        <v>2812</v>
      </c>
      <c r="H326" s="23">
        <v>0.6875</v>
      </c>
      <c r="I326" t="s">
        <v>2696</v>
      </c>
      <c r="J326" t="s">
        <v>2594</v>
      </c>
      <c r="K326" t="s">
        <v>2595</v>
      </c>
      <c r="L326" t="s">
        <v>2462</v>
      </c>
      <c r="M326" t="s">
        <v>2596</v>
      </c>
      <c r="N326" s="6">
        <v>46005</v>
      </c>
      <c r="O326" t="s">
        <v>2461</v>
      </c>
      <c r="P326" t="s">
        <v>2442</v>
      </c>
      <c r="Q326" s="23">
        <v>0.53505787037037034</v>
      </c>
      <c r="R326" s="23">
        <v>0.84950231481481486</v>
      </c>
      <c r="S326">
        <v>18.600000000000001</v>
      </c>
      <c r="T326" t="s">
        <v>2443</v>
      </c>
      <c r="U326" t="s">
        <v>2597</v>
      </c>
      <c r="V326">
        <v>7.05</v>
      </c>
      <c r="W326">
        <v>7.05</v>
      </c>
      <c r="X326" t="s">
        <v>2689</v>
      </c>
      <c r="Y326" t="s">
        <v>2689</v>
      </c>
      <c r="Z326" t="s">
        <v>2689</v>
      </c>
      <c r="AA326" t="s">
        <v>2689</v>
      </c>
      <c r="AC326" t="s">
        <v>2689</v>
      </c>
      <c r="AD326" t="s">
        <v>2689</v>
      </c>
      <c r="AE326" t="s">
        <v>2689</v>
      </c>
      <c r="AF326" t="s">
        <v>2689</v>
      </c>
      <c r="AH326">
        <v>131.13</v>
      </c>
      <c r="AI326" t="s">
        <v>2690</v>
      </c>
      <c r="AJ326" t="s">
        <v>2690</v>
      </c>
      <c r="AK326" t="s">
        <v>2690</v>
      </c>
      <c r="AL326" t="s">
        <v>2690</v>
      </c>
      <c r="AP326">
        <v>131.13</v>
      </c>
      <c r="AR326" s="23">
        <v>0.53505787037037034</v>
      </c>
      <c r="AS326" s="23">
        <v>0.84950231481481486</v>
      </c>
      <c r="AT326" s="23">
        <v>0.54166666666666663</v>
      </c>
      <c r="AU326" s="23">
        <v>0.875</v>
      </c>
      <c r="AV326" t="s">
        <v>2565</v>
      </c>
      <c r="AX326">
        <v>220</v>
      </c>
      <c r="AY326">
        <v>0.5</v>
      </c>
      <c r="AZ326" t="s">
        <v>3097</v>
      </c>
      <c r="BA326" t="s">
        <v>2798</v>
      </c>
      <c r="BD326" t="s">
        <v>2598</v>
      </c>
      <c r="BE326" t="s">
        <v>3079</v>
      </c>
      <c r="BG326">
        <v>0</v>
      </c>
      <c r="BH326">
        <v>0</v>
      </c>
      <c r="BJ326">
        <v>0</v>
      </c>
    </row>
    <row r="327" spans="1:62" x14ac:dyDescent="0.2">
      <c r="A327" t="s">
        <v>2462</v>
      </c>
      <c r="B327" t="s">
        <v>2462</v>
      </c>
      <c r="C327">
        <v>100036545</v>
      </c>
      <c r="D327" t="s">
        <v>2679</v>
      </c>
      <c r="E327" t="s">
        <v>2439</v>
      </c>
      <c r="F327" t="s">
        <v>2814</v>
      </c>
      <c r="G327" t="s">
        <v>2815</v>
      </c>
      <c r="H327" s="23">
        <v>0.47916666666666669</v>
      </c>
      <c r="I327" t="s">
        <v>2696</v>
      </c>
      <c r="J327" t="s">
        <v>2594</v>
      </c>
      <c r="K327" t="s">
        <v>2599</v>
      </c>
      <c r="L327" t="s">
        <v>2462</v>
      </c>
      <c r="M327" t="s">
        <v>2596</v>
      </c>
      <c r="N327" s="6">
        <v>46006</v>
      </c>
      <c r="O327" t="s">
        <v>2455</v>
      </c>
      <c r="P327" t="s">
        <v>2445</v>
      </c>
      <c r="Q327" s="23">
        <v>0.28708333333333336</v>
      </c>
      <c r="R327" s="23">
        <v>0.49903935185185183</v>
      </c>
      <c r="S327">
        <v>18.600000000000001</v>
      </c>
      <c r="T327" t="s">
        <v>2443</v>
      </c>
      <c r="U327" t="s">
        <v>2597</v>
      </c>
      <c r="V327">
        <v>5.09</v>
      </c>
      <c r="W327">
        <v>5.09</v>
      </c>
      <c r="X327" t="s">
        <v>2689</v>
      </c>
      <c r="Y327" t="s">
        <v>2689</v>
      </c>
      <c r="Z327" t="s">
        <v>2689</v>
      </c>
      <c r="AA327" t="s">
        <v>2689</v>
      </c>
      <c r="AC327" t="s">
        <v>2689</v>
      </c>
      <c r="AD327" t="s">
        <v>2689</v>
      </c>
      <c r="AE327" t="s">
        <v>2689</v>
      </c>
      <c r="AF327" t="s">
        <v>2689</v>
      </c>
      <c r="AH327">
        <v>94.67</v>
      </c>
      <c r="AI327" t="s">
        <v>2690</v>
      </c>
      <c r="AJ327" t="s">
        <v>2690</v>
      </c>
      <c r="AK327" t="s">
        <v>2690</v>
      </c>
      <c r="AL327" t="s">
        <v>2690</v>
      </c>
      <c r="AP327">
        <v>94.67</v>
      </c>
      <c r="AR327" s="23">
        <v>0.28708333333333336</v>
      </c>
      <c r="AS327" s="23">
        <v>0.49903935185185183</v>
      </c>
      <c r="AT327" s="23">
        <v>0.29166666666666669</v>
      </c>
      <c r="AU327" s="23">
        <v>0.625</v>
      </c>
      <c r="AV327" t="s">
        <v>2565</v>
      </c>
      <c r="AX327">
        <v>220</v>
      </c>
      <c r="BA327" t="s">
        <v>2769</v>
      </c>
      <c r="BD327" t="s">
        <v>2598</v>
      </c>
      <c r="BE327" t="s">
        <v>3079</v>
      </c>
      <c r="BG327">
        <v>0</v>
      </c>
      <c r="BH327">
        <v>0</v>
      </c>
      <c r="BJ327">
        <v>0</v>
      </c>
    </row>
    <row r="328" spans="1:62" x14ac:dyDescent="0.2">
      <c r="A328" t="s">
        <v>2462</v>
      </c>
      <c r="B328" t="s">
        <v>2462</v>
      </c>
      <c r="C328">
        <v>100054330</v>
      </c>
      <c r="D328" t="s">
        <v>2736</v>
      </c>
      <c r="E328" t="s">
        <v>2439</v>
      </c>
      <c r="F328" t="s">
        <v>2782</v>
      </c>
      <c r="G328" t="s">
        <v>2783</v>
      </c>
      <c r="H328" s="23">
        <v>0.70833333333333337</v>
      </c>
      <c r="I328" t="s">
        <v>2696</v>
      </c>
      <c r="J328" t="s">
        <v>2528</v>
      </c>
      <c r="K328" t="s">
        <v>2665</v>
      </c>
      <c r="L328" t="s">
        <v>2462</v>
      </c>
      <c r="M328" t="s">
        <v>2570</v>
      </c>
      <c r="N328" s="6">
        <v>45994</v>
      </c>
      <c r="O328" t="s">
        <v>2458</v>
      </c>
      <c r="P328" t="s">
        <v>2445</v>
      </c>
      <c r="Q328" s="23">
        <v>0.51424768518518515</v>
      </c>
      <c r="R328" s="23">
        <v>0.84884259259259254</v>
      </c>
      <c r="S328">
        <v>25</v>
      </c>
      <c r="T328" t="s">
        <v>2443</v>
      </c>
      <c r="U328" t="s">
        <v>2577</v>
      </c>
      <c r="V328">
        <v>7.53</v>
      </c>
      <c r="W328">
        <v>7.53</v>
      </c>
      <c r="X328" t="s">
        <v>2689</v>
      </c>
      <c r="Y328" t="s">
        <v>2689</v>
      </c>
      <c r="Z328" t="s">
        <v>2689</v>
      </c>
      <c r="AA328" t="s">
        <v>2689</v>
      </c>
      <c r="AC328" t="s">
        <v>2689</v>
      </c>
      <c r="AD328" t="s">
        <v>2689</v>
      </c>
      <c r="AE328" t="s">
        <v>2689</v>
      </c>
      <c r="AF328" t="s">
        <v>2689</v>
      </c>
      <c r="AH328">
        <v>188.25</v>
      </c>
      <c r="AI328" t="s">
        <v>2690</v>
      </c>
      <c r="AJ328" t="s">
        <v>2690</v>
      </c>
      <c r="AK328" t="s">
        <v>2690</v>
      </c>
      <c r="AL328" t="s">
        <v>2690</v>
      </c>
      <c r="AP328">
        <v>188.25</v>
      </c>
      <c r="AR328" s="23">
        <v>0.51424768518518515</v>
      </c>
      <c r="AS328" s="23">
        <v>0.84884259259259254</v>
      </c>
      <c r="AT328" s="23">
        <v>0.52083333333333337</v>
      </c>
      <c r="AU328" s="23">
        <v>0.85416666666666663</v>
      </c>
      <c r="AV328" t="s">
        <v>2565</v>
      </c>
      <c r="AX328">
        <v>230</v>
      </c>
      <c r="AY328">
        <v>0.5</v>
      </c>
      <c r="AZ328" t="s">
        <v>3098</v>
      </c>
      <c r="BA328" t="s">
        <v>2754</v>
      </c>
      <c r="BD328" t="s">
        <v>2578</v>
      </c>
      <c r="BE328" t="s">
        <v>2988</v>
      </c>
      <c r="BG328">
        <v>0</v>
      </c>
      <c r="BH328">
        <v>0</v>
      </c>
      <c r="BJ328">
        <v>0</v>
      </c>
    </row>
    <row r="329" spans="1:62" x14ac:dyDescent="0.2">
      <c r="A329" t="s">
        <v>2462</v>
      </c>
      <c r="B329" t="s">
        <v>2462</v>
      </c>
      <c r="C329">
        <v>100054330</v>
      </c>
      <c r="D329" t="s">
        <v>2736</v>
      </c>
      <c r="E329" t="s">
        <v>2439</v>
      </c>
      <c r="F329" t="s">
        <v>2452</v>
      </c>
      <c r="G329" t="s">
        <v>2453</v>
      </c>
      <c r="H329" s="23">
        <v>0.33333333333333331</v>
      </c>
      <c r="I329" t="s">
        <v>2688</v>
      </c>
      <c r="J329" t="s">
        <v>2575</v>
      </c>
      <c r="K329" t="s">
        <v>2586</v>
      </c>
      <c r="L329" t="s">
        <v>2462</v>
      </c>
      <c r="M329" t="s">
        <v>2467</v>
      </c>
      <c r="N329" s="6">
        <v>45996</v>
      </c>
      <c r="O329" t="s">
        <v>2449</v>
      </c>
      <c r="P329" t="s">
        <v>2445</v>
      </c>
      <c r="Q329" s="23">
        <v>0.33106481481481481</v>
      </c>
      <c r="R329" s="23">
        <v>0.54388888888888887</v>
      </c>
      <c r="S329">
        <v>25</v>
      </c>
      <c r="T329" t="s">
        <v>2443</v>
      </c>
      <c r="U329" t="s">
        <v>2577</v>
      </c>
      <c r="V329">
        <v>5.1100000000000003</v>
      </c>
      <c r="W329">
        <v>5.1100000000000003</v>
      </c>
      <c r="X329" t="s">
        <v>2689</v>
      </c>
      <c r="Y329" t="s">
        <v>2689</v>
      </c>
      <c r="Z329" t="s">
        <v>2689</v>
      </c>
      <c r="AA329" t="s">
        <v>2689</v>
      </c>
      <c r="AC329" t="s">
        <v>2689</v>
      </c>
      <c r="AD329" t="s">
        <v>2689</v>
      </c>
      <c r="AE329" t="s">
        <v>2689</v>
      </c>
      <c r="AF329" t="s">
        <v>2689</v>
      </c>
      <c r="AH329">
        <v>127.75</v>
      </c>
      <c r="AI329" t="s">
        <v>2690</v>
      </c>
      <c r="AJ329" t="s">
        <v>2690</v>
      </c>
      <c r="AK329" t="s">
        <v>2690</v>
      </c>
      <c r="AL329" t="s">
        <v>2690</v>
      </c>
      <c r="AP329">
        <v>127.75</v>
      </c>
      <c r="AR329" s="23">
        <v>0.33106481481481481</v>
      </c>
      <c r="AS329" s="23">
        <v>0.54388888888888887</v>
      </c>
      <c r="AT329" s="23">
        <v>0.33333333333333331</v>
      </c>
      <c r="AU329" s="23">
        <v>0.66666666666666663</v>
      </c>
      <c r="AV329" t="s">
        <v>2565</v>
      </c>
      <c r="AX329">
        <v>100</v>
      </c>
      <c r="BA329" t="s">
        <v>2754</v>
      </c>
      <c r="BD329" t="s">
        <v>2578</v>
      </c>
      <c r="BE329" t="s">
        <v>2988</v>
      </c>
      <c r="BG329">
        <v>0</v>
      </c>
      <c r="BH329">
        <v>0</v>
      </c>
      <c r="BJ329">
        <v>0</v>
      </c>
    </row>
    <row r="330" spans="1:62" x14ac:dyDescent="0.2">
      <c r="A330" t="s">
        <v>2462</v>
      </c>
      <c r="B330" t="s">
        <v>2462</v>
      </c>
      <c r="C330">
        <v>100054330</v>
      </c>
      <c r="D330" t="s">
        <v>2736</v>
      </c>
      <c r="E330" t="s">
        <v>2439</v>
      </c>
      <c r="F330" t="s">
        <v>2452</v>
      </c>
      <c r="G330" t="s">
        <v>2453</v>
      </c>
      <c r="H330" s="23">
        <v>0.33333333333333331</v>
      </c>
      <c r="I330" t="s">
        <v>2688</v>
      </c>
      <c r="J330" t="s">
        <v>2575</v>
      </c>
      <c r="K330" t="s">
        <v>2576</v>
      </c>
      <c r="L330" t="s">
        <v>2462</v>
      </c>
      <c r="M330" t="s">
        <v>2467</v>
      </c>
      <c r="N330" s="6">
        <v>45998</v>
      </c>
      <c r="O330" t="s">
        <v>2461</v>
      </c>
      <c r="P330" t="s">
        <v>2442</v>
      </c>
      <c r="Q330" s="23">
        <v>0.32715277777777779</v>
      </c>
      <c r="R330" s="23">
        <v>0.67170138888888886</v>
      </c>
      <c r="S330">
        <v>25</v>
      </c>
      <c r="T330" t="s">
        <v>2443</v>
      </c>
      <c r="U330" t="s">
        <v>2577</v>
      </c>
      <c r="V330">
        <v>7.77</v>
      </c>
      <c r="W330">
        <v>7.77</v>
      </c>
      <c r="X330" t="s">
        <v>2689</v>
      </c>
      <c r="Y330" t="s">
        <v>2689</v>
      </c>
      <c r="Z330" t="s">
        <v>2689</v>
      </c>
      <c r="AA330" t="s">
        <v>2689</v>
      </c>
      <c r="AC330" t="s">
        <v>2689</v>
      </c>
      <c r="AD330" t="s">
        <v>2689</v>
      </c>
      <c r="AE330" t="s">
        <v>2689</v>
      </c>
      <c r="AF330" t="s">
        <v>2689</v>
      </c>
      <c r="AH330">
        <v>194.25</v>
      </c>
      <c r="AI330" t="s">
        <v>2690</v>
      </c>
      <c r="AJ330" t="s">
        <v>2690</v>
      </c>
      <c r="AK330" t="s">
        <v>2690</v>
      </c>
      <c r="AL330" t="s">
        <v>2690</v>
      </c>
      <c r="AP330">
        <v>194.25</v>
      </c>
      <c r="AR330" s="23">
        <v>0.32715277777777779</v>
      </c>
      <c r="AS330" s="23">
        <v>0.67170138888888886</v>
      </c>
      <c r="AT330" s="23">
        <v>0.33333333333333331</v>
      </c>
      <c r="AU330" s="23">
        <v>0.66666666666666663</v>
      </c>
      <c r="AV330" t="s">
        <v>2565</v>
      </c>
      <c r="AX330">
        <v>100</v>
      </c>
      <c r="AY330">
        <v>0.5</v>
      </c>
      <c r="AZ330" t="s">
        <v>3099</v>
      </c>
      <c r="BA330" t="s">
        <v>2754</v>
      </c>
      <c r="BD330" t="s">
        <v>2578</v>
      </c>
      <c r="BE330" t="s">
        <v>2988</v>
      </c>
      <c r="BG330">
        <v>0</v>
      </c>
      <c r="BH330">
        <v>0</v>
      </c>
      <c r="BJ330">
        <v>0</v>
      </c>
    </row>
    <row r="331" spans="1:62" x14ac:dyDescent="0.2">
      <c r="A331" t="s">
        <v>2462</v>
      </c>
      <c r="B331" t="s">
        <v>2462</v>
      </c>
      <c r="C331">
        <v>100054330</v>
      </c>
      <c r="D331" t="s">
        <v>2736</v>
      </c>
      <c r="E331" t="s">
        <v>2439</v>
      </c>
      <c r="F331" t="s">
        <v>2786</v>
      </c>
      <c r="G331" t="s">
        <v>2787</v>
      </c>
      <c r="H331" s="23">
        <v>0.66666666666666663</v>
      </c>
      <c r="I331" t="s">
        <v>2696</v>
      </c>
      <c r="J331" t="s">
        <v>2528</v>
      </c>
      <c r="K331" t="s">
        <v>2665</v>
      </c>
      <c r="L331" t="s">
        <v>2462</v>
      </c>
      <c r="M331" t="s">
        <v>2570</v>
      </c>
      <c r="N331" s="6">
        <v>45999</v>
      </c>
      <c r="O331" t="s">
        <v>2455</v>
      </c>
      <c r="P331" t="s">
        <v>2445</v>
      </c>
      <c r="Q331" s="23">
        <v>0.41064814814814815</v>
      </c>
      <c r="R331" s="23">
        <v>0.75482638888888887</v>
      </c>
      <c r="S331">
        <v>25</v>
      </c>
      <c r="T331" t="s">
        <v>2443</v>
      </c>
      <c r="U331" t="s">
        <v>2577</v>
      </c>
      <c r="V331">
        <v>7.76</v>
      </c>
      <c r="W331">
        <v>7.76</v>
      </c>
      <c r="X331" t="s">
        <v>2689</v>
      </c>
      <c r="Y331" t="s">
        <v>2689</v>
      </c>
      <c r="Z331" t="s">
        <v>2689</v>
      </c>
      <c r="AA331" t="s">
        <v>2689</v>
      </c>
      <c r="AC331" t="s">
        <v>2689</v>
      </c>
      <c r="AD331" t="s">
        <v>2689</v>
      </c>
      <c r="AE331" t="s">
        <v>2689</v>
      </c>
      <c r="AF331" t="s">
        <v>2689</v>
      </c>
      <c r="AH331">
        <v>194</v>
      </c>
      <c r="AI331" t="s">
        <v>2690</v>
      </c>
      <c r="AJ331" t="s">
        <v>2690</v>
      </c>
      <c r="AK331" t="s">
        <v>2690</v>
      </c>
      <c r="AL331" t="s">
        <v>2690</v>
      </c>
      <c r="AP331">
        <v>194</v>
      </c>
      <c r="AR331" s="23">
        <v>0.41064814814814815</v>
      </c>
      <c r="AS331" s="23">
        <v>0.75482638888888887</v>
      </c>
      <c r="AT331" s="23">
        <v>0.41666666666666669</v>
      </c>
      <c r="AU331" s="23">
        <v>0.75</v>
      </c>
      <c r="AV331" t="s">
        <v>2565</v>
      </c>
      <c r="AX331">
        <v>230</v>
      </c>
      <c r="AY331">
        <v>0.5</v>
      </c>
      <c r="AZ331" t="s">
        <v>3100</v>
      </c>
      <c r="BA331" t="s">
        <v>2861</v>
      </c>
      <c r="BD331" t="s">
        <v>2578</v>
      </c>
      <c r="BE331" t="s">
        <v>2988</v>
      </c>
      <c r="BG331">
        <v>0</v>
      </c>
      <c r="BH331">
        <v>0</v>
      </c>
      <c r="BJ331">
        <v>0</v>
      </c>
    </row>
    <row r="332" spans="1:62" x14ac:dyDescent="0.2">
      <c r="A332" t="s">
        <v>2462</v>
      </c>
      <c r="B332" t="s">
        <v>2462</v>
      </c>
      <c r="C332">
        <v>100054330</v>
      </c>
      <c r="D332" t="s">
        <v>2736</v>
      </c>
      <c r="E332" t="s">
        <v>2439</v>
      </c>
      <c r="F332" t="s">
        <v>2789</v>
      </c>
      <c r="G332" t="s">
        <v>2790</v>
      </c>
      <c r="H332" s="23">
        <v>0.375</v>
      </c>
      <c r="I332" t="s">
        <v>2696</v>
      </c>
      <c r="J332" t="s">
        <v>2575</v>
      </c>
      <c r="K332" t="s">
        <v>2587</v>
      </c>
      <c r="L332" t="s">
        <v>2462</v>
      </c>
      <c r="M332" t="s">
        <v>2467</v>
      </c>
      <c r="N332" s="6">
        <v>46000</v>
      </c>
      <c r="O332" t="s">
        <v>2457</v>
      </c>
      <c r="P332" t="s">
        <v>2445</v>
      </c>
      <c r="Q332" s="23">
        <v>0.24390046296296297</v>
      </c>
      <c r="R332" s="23">
        <v>0.58677083333333335</v>
      </c>
      <c r="S332">
        <v>25</v>
      </c>
      <c r="T332" t="s">
        <v>2443</v>
      </c>
      <c r="U332" t="s">
        <v>2577</v>
      </c>
      <c r="V332">
        <v>7.73</v>
      </c>
      <c r="W332">
        <v>7.73</v>
      </c>
      <c r="X332" t="s">
        <v>2689</v>
      </c>
      <c r="Y332" t="s">
        <v>2689</v>
      </c>
      <c r="Z332" t="s">
        <v>2689</v>
      </c>
      <c r="AA332" t="s">
        <v>2689</v>
      </c>
      <c r="AC332" t="s">
        <v>2689</v>
      </c>
      <c r="AD332" t="s">
        <v>2689</v>
      </c>
      <c r="AE332" t="s">
        <v>2689</v>
      </c>
      <c r="AF332" t="s">
        <v>2689</v>
      </c>
      <c r="AH332">
        <v>193.25</v>
      </c>
      <c r="AI332" t="s">
        <v>2690</v>
      </c>
      <c r="AJ332" t="s">
        <v>2690</v>
      </c>
      <c r="AK332" t="s">
        <v>2690</v>
      </c>
      <c r="AL332" t="s">
        <v>2690</v>
      </c>
      <c r="AP332">
        <v>193.25</v>
      </c>
      <c r="AR332" s="23">
        <v>0.24390046296296297</v>
      </c>
      <c r="AS332" s="23">
        <v>0.58677083333333335</v>
      </c>
      <c r="AT332" s="23">
        <v>0.25</v>
      </c>
      <c r="AU332" s="23">
        <v>0.58333333333333337</v>
      </c>
      <c r="AV332" t="s">
        <v>2565</v>
      </c>
      <c r="AX332">
        <v>100</v>
      </c>
      <c r="AY332">
        <v>0.5</v>
      </c>
      <c r="AZ332" t="s">
        <v>3101</v>
      </c>
      <c r="BA332" t="s">
        <v>2757</v>
      </c>
      <c r="BD332" t="s">
        <v>2578</v>
      </c>
      <c r="BE332" t="s">
        <v>2988</v>
      </c>
      <c r="BG332">
        <v>0</v>
      </c>
      <c r="BH332">
        <v>0</v>
      </c>
      <c r="BJ332">
        <v>0</v>
      </c>
    </row>
    <row r="333" spans="1:62" x14ac:dyDescent="0.2">
      <c r="A333" t="s">
        <v>2462</v>
      </c>
      <c r="B333" t="s">
        <v>2462</v>
      </c>
      <c r="C333">
        <v>100054330</v>
      </c>
      <c r="D333" t="s">
        <v>2736</v>
      </c>
      <c r="E333" t="s">
        <v>2439</v>
      </c>
      <c r="F333" t="s">
        <v>2452</v>
      </c>
      <c r="G333" t="s">
        <v>2453</v>
      </c>
      <c r="H333" s="23">
        <v>0.33333333333333331</v>
      </c>
      <c r="I333" t="s">
        <v>2688</v>
      </c>
      <c r="J333" t="s">
        <v>2528</v>
      </c>
      <c r="K333" t="s">
        <v>3021</v>
      </c>
      <c r="L333" t="s">
        <v>2462</v>
      </c>
      <c r="M333" t="s">
        <v>2570</v>
      </c>
      <c r="N333" s="6">
        <v>46001</v>
      </c>
      <c r="O333" t="s">
        <v>2458</v>
      </c>
      <c r="P333" t="s">
        <v>2445</v>
      </c>
      <c r="Q333" s="23">
        <v>0.33101851851851855</v>
      </c>
      <c r="R333" s="23">
        <v>0.66535879629629635</v>
      </c>
      <c r="S333">
        <v>25</v>
      </c>
      <c r="T333" t="s">
        <v>2443</v>
      </c>
      <c r="U333" t="s">
        <v>2577</v>
      </c>
      <c r="V333">
        <v>7.52</v>
      </c>
      <c r="W333">
        <v>7.52</v>
      </c>
      <c r="X333" t="s">
        <v>2689</v>
      </c>
      <c r="Y333" t="s">
        <v>2689</v>
      </c>
      <c r="Z333" t="s">
        <v>2689</v>
      </c>
      <c r="AA333" t="s">
        <v>2689</v>
      </c>
      <c r="AC333" t="s">
        <v>2689</v>
      </c>
      <c r="AD333" t="s">
        <v>2689</v>
      </c>
      <c r="AE333" t="s">
        <v>2689</v>
      </c>
      <c r="AF333" t="s">
        <v>2689</v>
      </c>
      <c r="AH333">
        <v>188</v>
      </c>
      <c r="AI333" t="s">
        <v>2690</v>
      </c>
      <c r="AJ333" t="s">
        <v>2690</v>
      </c>
      <c r="AK333" t="s">
        <v>2690</v>
      </c>
      <c r="AL333" t="s">
        <v>2690</v>
      </c>
      <c r="AP333">
        <v>188</v>
      </c>
      <c r="AR333" s="23">
        <v>0.33101851851851855</v>
      </c>
      <c r="AS333" s="23">
        <v>0.66535879629629635</v>
      </c>
      <c r="AT333" s="23">
        <v>0.33333333333333331</v>
      </c>
      <c r="AU333" s="23">
        <v>0.66666666666666663</v>
      </c>
      <c r="AV333" t="s">
        <v>2565</v>
      </c>
      <c r="AX333">
        <v>230</v>
      </c>
      <c r="AY333">
        <v>0.5</v>
      </c>
      <c r="AZ333" t="s">
        <v>3102</v>
      </c>
      <c r="BA333" t="s">
        <v>2759</v>
      </c>
      <c r="BD333" t="s">
        <v>2578</v>
      </c>
      <c r="BE333" t="s">
        <v>2988</v>
      </c>
      <c r="BG333">
        <v>0</v>
      </c>
      <c r="BH333">
        <v>0</v>
      </c>
      <c r="BJ333">
        <v>0</v>
      </c>
    </row>
    <row r="334" spans="1:62" x14ac:dyDescent="0.2">
      <c r="A334" t="s">
        <v>2462</v>
      </c>
      <c r="B334" t="s">
        <v>2462</v>
      </c>
      <c r="C334">
        <v>100054330</v>
      </c>
      <c r="D334" t="s">
        <v>2736</v>
      </c>
      <c r="E334" t="s">
        <v>2439</v>
      </c>
      <c r="F334" t="s">
        <v>2452</v>
      </c>
      <c r="G334" t="s">
        <v>2453</v>
      </c>
      <c r="H334" s="23">
        <v>0.33333333333333331</v>
      </c>
      <c r="I334" t="s">
        <v>2688</v>
      </c>
      <c r="J334" t="s">
        <v>2528</v>
      </c>
      <c r="K334" t="s">
        <v>2667</v>
      </c>
      <c r="L334" t="s">
        <v>2462</v>
      </c>
      <c r="M334" t="s">
        <v>2570</v>
      </c>
      <c r="N334" s="6">
        <v>46009</v>
      </c>
      <c r="O334" t="s">
        <v>2459</v>
      </c>
      <c r="P334" t="s">
        <v>2445</v>
      </c>
      <c r="Q334" s="23">
        <v>0.32802083333333332</v>
      </c>
      <c r="R334" s="23">
        <v>0.53565972222222225</v>
      </c>
      <c r="S334">
        <v>25</v>
      </c>
      <c r="T334" t="s">
        <v>2443</v>
      </c>
      <c r="U334" t="s">
        <v>2577</v>
      </c>
      <c r="V334">
        <v>4.9800000000000004</v>
      </c>
      <c r="W334">
        <v>4.9800000000000004</v>
      </c>
      <c r="X334" t="s">
        <v>2689</v>
      </c>
      <c r="Y334" t="s">
        <v>2689</v>
      </c>
      <c r="Z334" t="s">
        <v>2689</v>
      </c>
      <c r="AA334" t="s">
        <v>2689</v>
      </c>
      <c r="AC334" t="s">
        <v>2689</v>
      </c>
      <c r="AD334" t="s">
        <v>2689</v>
      </c>
      <c r="AE334" t="s">
        <v>2689</v>
      </c>
      <c r="AF334" t="s">
        <v>2689</v>
      </c>
      <c r="AH334">
        <v>124.5</v>
      </c>
      <c r="AI334" t="s">
        <v>2690</v>
      </c>
      <c r="AJ334" t="s">
        <v>2690</v>
      </c>
      <c r="AK334" t="s">
        <v>2690</v>
      </c>
      <c r="AL334" t="s">
        <v>2690</v>
      </c>
      <c r="AP334">
        <v>124.5</v>
      </c>
      <c r="AR334" s="23">
        <v>0.32802083333333332</v>
      </c>
      <c r="AS334" s="23">
        <v>0.53565972222222225</v>
      </c>
      <c r="AT334" s="23">
        <v>0.33333333333333331</v>
      </c>
      <c r="AU334" s="23">
        <v>0.5625</v>
      </c>
      <c r="AV334" t="s">
        <v>2565</v>
      </c>
      <c r="AX334">
        <v>230</v>
      </c>
      <c r="BA334" t="s">
        <v>2765</v>
      </c>
      <c r="BD334" t="s">
        <v>2578</v>
      </c>
      <c r="BE334" t="s">
        <v>2988</v>
      </c>
      <c r="BG334">
        <v>0</v>
      </c>
      <c r="BH334">
        <v>0</v>
      </c>
      <c r="BJ334">
        <v>0</v>
      </c>
    </row>
    <row r="335" spans="1:62" x14ac:dyDescent="0.2">
      <c r="A335" t="s">
        <v>2462</v>
      </c>
      <c r="B335" t="s">
        <v>2462</v>
      </c>
      <c r="C335">
        <v>100057864</v>
      </c>
      <c r="D335" t="s">
        <v>2602</v>
      </c>
      <c r="E335" t="s">
        <v>2439</v>
      </c>
      <c r="F335" t="s">
        <v>2452</v>
      </c>
      <c r="G335" t="s">
        <v>2453</v>
      </c>
      <c r="H335" s="23">
        <v>0.33333333333333331</v>
      </c>
      <c r="I335" t="s">
        <v>2688</v>
      </c>
      <c r="J335" t="s">
        <v>2575</v>
      </c>
      <c r="K335" t="s">
        <v>2588</v>
      </c>
      <c r="L335" t="s">
        <v>2462</v>
      </c>
      <c r="M335" t="s">
        <v>2467</v>
      </c>
      <c r="N335" s="6">
        <v>45992</v>
      </c>
      <c r="O335" t="s">
        <v>2455</v>
      </c>
      <c r="P335" t="s">
        <v>2445</v>
      </c>
      <c r="Q335" s="23">
        <v>0.32648148148148148</v>
      </c>
      <c r="R335" s="23">
        <v>0.66012731481481479</v>
      </c>
      <c r="S335">
        <v>28</v>
      </c>
      <c r="T335" t="s">
        <v>2443</v>
      </c>
      <c r="U335" t="s">
        <v>2603</v>
      </c>
      <c r="V335">
        <v>7.51</v>
      </c>
      <c r="W335">
        <v>7.51</v>
      </c>
      <c r="X335" t="s">
        <v>2689</v>
      </c>
      <c r="Y335" t="s">
        <v>2689</v>
      </c>
      <c r="Z335" t="s">
        <v>2689</v>
      </c>
      <c r="AA335" t="s">
        <v>2689</v>
      </c>
      <c r="AC335" t="s">
        <v>2689</v>
      </c>
      <c r="AD335" t="s">
        <v>2689</v>
      </c>
      <c r="AE335" t="s">
        <v>2689</v>
      </c>
      <c r="AF335" t="s">
        <v>2689</v>
      </c>
      <c r="AH335">
        <v>210.28</v>
      </c>
      <c r="AI335" t="s">
        <v>2690</v>
      </c>
      <c r="AJ335" t="s">
        <v>2690</v>
      </c>
      <c r="AK335" t="s">
        <v>2690</v>
      </c>
      <c r="AL335" t="s">
        <v>2690</v>
      </c>
      <c r="AP335">
        <v>210.28</v>
      </c>
      <c r="AR335" s="23">
        <v>0.32648148148148148</v>
      </c>
      <c r="AS335" s="23">
        <v>0.66012731481481479</v>
      </c>
      <c r="AT335" s="23">
        <v>0.33333333333333331</v>
      </c>
      <c r="AU335" s="23">
        <v>0.6875</v>
      </c>
      <c r="AV335" t="s">
        <v>2565</v>
      </c>
      <c r="AX335">
        <v>100</v>
      </c>
      <c r="AY335">
        <v>0.5</v>
      </c>
      <c r="BA335" t="s">
        <v>2692</v>
      </c>
      <c r="BD335" t="s">
        <v>2578</v>
      </c>
      <c r="BE335" t="s">
        <v>2988</v>
      </c>
      <c r="BF335" t="s">
        <v>2456</v>
      </c>
      <c r="BG335">
        <v>0</v>
      </c>
      <c r="BH335">
        <v>0</v>
      </c>
      <c r="BJ335">
        <v>0</v>
      </c>
    </row>
    <row r="336" spans="1:62" x14ac:dyDescent="0.2">
      <c r="A336" t="s">
        <v>2462</v>
      </c>
      <c r="B336" t="s">
        <v>2462</v>
      </c>
      <c r="C336">
        <v>100057864</v>
      </c>
      <c r="D336" t="s">
        <v>2602</v>
      </c>
      <c r="E336" t="s">
        <v>2439</v>
      </c>
      <c r="F336" t="s">
        <v>2800</v>
      </c>
      <c r="G336" t="s">
        <v>2801</v>
      </c>
      <c r="H336" s="23">
        <v>0.66666666666666663</v>
      </c>
      <c r="I336" t="s">
        <v>2696</v>
      </c>
      <c r="J336" t="s">
        <v>2575</v>
      </c>
      <c r="K336" t="s">
        <v>2588</v>
      </c>
      <c r="L336" t="s">
        <v>2462</v>
      </c>
      <c r="M336" t="s">
        <v>2467</v>
      </c>
      <c r="N336" s="6">
        <v>45993</v>
      </c>
      <c r="O336" t="s">
        <v>2457</v>
      </c>
      <c r="P336" t="s">
        <v>2445</v>
      </c>
      <c r="Q336" s="23">
        <v>0.32692129629629629</v>
      </c>
      <c r="R336" s="23">
        <v>0.64827546296296301</v>
      </c>
      <c r="S336">
        <v>28</v>
      </c>
      <c r="T336" t="s">
        <v>2443</v>
      </c>
      <c r="U336" t="s">
        <v>2603</v>
      </c>
      <c r="V336">
        <v>7.21</v>
      </c>
      <c r="W336">
        <v>7.21</v>
      </c>
      <c r="X336" t="s">
        <v>2689</v>
      </c>
      <c r="Y336" t="s">
        <v>2689</v>
      </c>
      <c r="Z336" t="s">
        <v>2689</v>
      </c>
      <c r="AA336" t="s">
        <v>2689</v>
      </c>
      <c r="AC336" t="s">
        <v>2689</v>
      </c>
      <c r="AD336" t="s">
        <v>2689</v>
      </c>
      <c r="AE336" t="s">
        <v>2689</v>
      </c>
      <c r="AF336" t="s">
        <v>2689</v>
      </c>
      <c r="AH336">
        <v>201.88</v>
      </c>
      <c r="AI336" t="s">
        <v>2690</v>
      </c>
      <c r="AJ336" t="s">
        <v>2690</v>
      </c>
      <c r="AK336" t="s">
        <v>2690</v>
      </c>
      <c r="AL336" t="s">
        <v>2690</v>
      </c>
      <c r="AP336">
        <v>201.88</v>
      </c>
      <c r="AR336" s="23">
        <v>0.32692129629629629</v>
      </c>
      <c r="AS336" s="23">
        <v>0.64827546296296301</v>
      </c>
      <c r="AT336" s="23">
        <v>0.33333333333333331</v>
      </c>
      <c r="AU336" s="23">
        <v>0.66666666666666663</v>
      </c>
      <c r="AV336" t="s">
        <v>2565</v>
      </c>
      <c r="AX336">
        <v>100</v>
      </c>
      <c r="AY336">
        <v>0.5</v>
      </c>
      <c r="AZ336" t="s">
        <v>3103</v>
      </c>
      <c r="BA336" t="s">
        <v>2752</v>
      </c>
      <c r="BD336" t="s">
        <v>2578</v>
      </c>
      <c r="BE336" t="s">
        <v>2988</v>
      </c>
      <c r="BG336">
        <v>0</v>
      </c>
      <c r="BH336">
        <v>0</v>
      </c>
      <c r="BJ336">
        <v>0</v>
      </c>
    </row>
    <row r="337" spans="1:62" x14ac:dyDescent="0.2">
      <c r="A337" t="s">
        <v>2462</v>
      </c>
      <c r="B337" t="s">
        <v>2462</v>
      </c>
      <c r="C337">
        <v>100057864</v>
      </c>
      <c r="D337" t="s">
        <v>2602</v>
      </c>
      <c r="E337" t="s">
        <v>2439</v>
      </c>
      <c r="F337" t="s">
        <v>2782</v>
      </c>
      <c r="G337" t="s">
        <v>2783</v>
      </c>
      <c r="H337" s="23">
        <v>0.70833333333333337</v>
      </c>
      <c r="I337" t="s">
        <v>2696</v>
      </c>
      <c r="J337" t="s">
        <v>2575</v>
      </c>
      <c r="K337" t="s">
        <v>2601</v>
      </c>
      <c r="L337" t="s">
        <v>2462</v>
      </c>
      <c r="M337" t="s">
        <v>2467</v>
      </c>
      <c r="N337" s="6">
        <v>45994</v>
      </c>
      <c r="O337" t="s">
        <v>2458</v>
      </c>
      <c r="P337" t="s">
        <v>2445</v>
      </c>
      <c r="Q337" s="23">
        <v>0.49818287037037035</v>
      </c>
      <c r="R337" s="23">
        <v>0.79021990740740744</v>
      </c>
      <c r="S337">
        <v>28</v>
      </c>
      <c r="T337" t="s">
        <v>2443</v>
      </c>
      <c r="U337" t="s">
        <v>2603</v>
      </c>
      <c r="V337">
        <v>6.51</v>
      </c>
      <c r="W337">
        <v>6.51</v>
      </c>
      <c r="X337" t="s">
        <v>2689</v>
      </c>
      <c r="Y337" t="s">
        <v>2689</v>
      </c>
      <c r="Z337" t="s">
        <v>2689</v>
      </c>
      <c r="AA337" t="s">
        <v>2689</v>
      </c>
      <c r="AC337" t="s">
        <v>2689</v>
      </c>
      <c r="AD337" t="s">
        <v>2689</v>
      </c>
      <c r="AE337" t="s">
        <v>2689</v>
      </c>
      <c r="AF337" t="s">
        <v>2689</v>
      </c>
      <c r="AH337">
        <v>182.28</v>
      </c>
      <c r="AI337" t="s">
        <v>2690</v>
      </c>
      <c r="AJ337" t="s">
        <v>2690</v>
      </c>
      <c r="AK337" t="s">
        <v>2690</v>
      </c>
      <c r="AL337" t="s">
        <v>2690</v>
      </c>
      <c r="AP337">
        <v>182.28</v>
      </c>
      <c r="AR337" s="23">
        <v>0.49818287037037035</v>
      </c>
      <c r="AS337" s="23">
        <v>0.79021990740740744</v>
      </c>
      <c r="AT337" s="23">
        <v>0.5</v>
      </c>
      <c r="AU337" s="23">
        <v>0.85416666666666663</v>
      </c>
      <c r="AV337" t="s">
        <v>2565</v>
      </c>
      <c r="AX337">
        <v>100</v>
      </c>
      <c r="AY337">
        <v>0.5</v>
      </c>
      <c r="AZ337" t="s">
        <v>3104</v>
      </c>
      <c r="BA337" t="s">
        <v>2754</v>
      </c>
      <c r="BD337" t="s">
        <v>2578</v>
      </c>
      <c r="BE337" t="s">
        <v>2988</v>
      </c>
      <c r="BG337">
        <v>0</v>
      </c>
      <c r="BH337">
        <v>0</v>
      </c>
      <c r="BJ337">
        <v>0</v>
      </c>
    </row>
    <row r="338" spans="1:62" x14ac:dyDescent="0.2">
      <c r="A338" t="s">
        <v>2462</v>
      </c>
      <c r="B338" t="s">
        <v>2462</v>
      </c>
      <c r="C338">
        <v>100057864</v>
      </c>
      <c r="D338" t="s">
        <v>2602</v>
      </c>
      <c r="E338" t="s">
        <v>2439</v>
      </c>
      <c r="F338" t="s">
        <v>2804</v>
      </c>
      <c r="G338" t="s">
        <v>2805</v>
      </c>
      <c r="H338" s="23">
        <v>0.70833333333333337</v>
      </c>
      <c r="I338" t="s">
        <v>2696</v>
      </c>
      <c r="J338" t="s">
        <v>2575</v>
      </c>
      <c r="K338" t="s">
        <v>2592</v>
      </c>
      <c r="L338" t="s">
        <v>2462</v>
      </c>
      <c r="M338" t="s">
        <v>2467</v>
      </c>
      <c r="N338" s="6">
        <v>45995</v>
      </c>
      <c r="O338" t="s">
        <v>2459</v>
      </c>
      <c r="P338" t="s">
        <v>2445</v>
      </c>
      <c r="Q338" s="23">
        <v>0.46259259259259261</v>
      </c>
      <c r="R338" s="23">
        <v>0.77249999999999996</v>
      </c>
      <c r="S338">
        <v>28</v>
      </c>
      <c r="T338" t="s">
        <v>2443</v>
      </c>
      <c r="U338" t="s">
        <v>2603</v>
      </c>
      <c r="V338">
        <v>6.94</v>
      </c>
      <c r="W338">
        <v>6.94</v>
      </c>
      <c r="X338" t="s">
        <v>2689</v>
      </c>
      <c r="Y338" t="s">
        <v>2689</v>
      </c>
      <c r="Z338" t="s">
        <v>2689</v>
      </c>
      <c r="AA338" t="s">
        <v>2689</v>
      </c>
      <c r="AC338" t="s">
        <v>2689</v>
      </c>
      <c r="AD338" t="s">
        <v>2689</v>
      </c>
      <c r="AE338" t="s">
        <v>2689</v>
      </c>
      <c r="AF338" t="s">
        <v>2689</v>
      </c>
      <c r="AH338">
        <v>194.32</v>
      </c>
      <c r="AI338" t="s">
        <v>2690</v>
      </c>
      <c r="AJ338" t="s">
        <v>2690</v>
      </c>
      <c r="AK338" t="s">
        <v>2690</v>
      </c>
      <c r="AL338" t="s">
        <v>2690</v>
      </c>
      <c r="AP338">
        <v>194.32</v>
      </c>
      <c r="AR338" s="23">
        <v>0.46259259259259261</v>
      </c>
      <c r="AS338" s="23">
        <v>0.77249999999999996</v>
      </c>
      <c r="AT338" s="23">
        <v>0.45833333333333331</v>
      </c>
      <c r="AU338" s="23">
        <v>0.8125</v>
      </c>
      <c r="AV338" t="s">
        <v>2565</v>
      </c>
      <c r="AX338">
        <v>100</v>
      </c>
      <c r="AY338">
        <v>0.5</v>
      </c>
      <c r="AZ338" t="s">
        <v>3105</v>
      </c>
      <c r="BA338" t="s">
        <v>2754</v>
      </c>
      <c r="BD338" t="s">
        <v>2578</v>
      </c>
      <c r="BE338" t="s">
        <v>2988</v>
      </c>
      <c r="BG338">
        <v>0</v>
      </c>
      <c r="BH338">
        <v>0</v>
      </c>
      <c r="BJ338">
        <v>0</v>
      </c>
    </row>
    <row r="339" spans="1:62" x14ac:dyDescent="0.2">
      <c r="A339" t="s">
        <v>2462</v>
      </c>
      <c r="B339" t="s">
        <v>2462</v>
      </c>
      <c r="C339">
        <v>100057864</v>
      </c>
      <c r="D339" t="s">
        <v>2602</v>
      </c>
      <c r="E339" t="s">
        <v>2439</v>
      </c>
      <c r="F339" t="s">
        <v>2452</v>
      </c>
      <c r="G339" t="s">
        <v>2453</v>
      </c>
      <c r="H339" s="23">
        <v>0.33333333333333331</v>
      </c>
      <c r="I339" t="s">
        <v>2688</v>
      </c>
      <c r="J339" t="s">
        <v>2528</v>
      </c>
      <c r="K339" t="s">
        <v>2665</v>
      </c>
      <c r="L339" t="s">
        <v>2462</v>
      </c>
      <c r="M339" t="s">
        <v>2570</v>
      </c>
      <c r="N339" s="6">
        <v>45996</v>
      </c>
      <c r="O339" t="s">
        <v>2449</v>
      </c>
      <c r="P339" t="s">
        <v>2445</v>
      </c>
      <c r="Q339" s="23">
        <v>0.32753472222222224</v>
      </c>
      <c r="R339" s="23">
        <v>0.54464120370370372</v>
      </c>
      <c r="S339">
        <v>28</v>
      </c>
      <c r="T339" t="s">
        <v>2443</v>
      </c>
      <c r="U339" t="s">
        <v>2603</v>
      </c>
      <c r="V339">
        <v>5.21</v>
      </c>
      <c r="W339">
        <v>5.21</v>
      </c>
      <c r="X339" t="s">
        <v>2689</v>
      </c>
      <c r="Y339" t="s">
        <v>2689</v>
      </c>
      <c r="Z339" t="s">
        <v>2689</v>
      </c>
      <c r="AA339" t="s">
        <v>2689</v>
      </c>
      <c r="AC339" t="s">
        <v>2689</v>
      </c>
      <c r="AD339" t="s">
        <v>2689</v>
      </c>
      <c r="AE339" t="s">
        <v>2689</v>
      </c>
      <c r="AF339" t="s">
        <v>2689</v>
      </c>
      <c r="AH339">
        <v>145.88</v>
      </c>
      <c r="AI339" t="s">
        <v>2690</v>
      </c>
      <c r="AJ339" t="s">
        <v>2690</v>
      </c>
      <c r="AK339" t="s">
        <v>2690</v>
      </c>
      <c r="AL339" t="s">
        <v>2690</v>
      </c>
      <c r="AP339">
        <v>145.88</v>
      </c>
      <c r="AR339" s="23">
        <v>0.32753472222222224</v>
      </c>
      <c r="AS339" s="23">
        <v>0.54464120370370372</v>
      </c>
      <c r="AT339" s="23">
        <v>0.33333333333333331</v>
      </c>
      <c r="AU339" s="23">
        <v>0.66666666666666663</v>
      </c>
      <c r="AV339" t="s">
        <v>2565</v>
      </c>
      <c r="AX339">
        <v>230</v>
      </c>
      <c r="BA339" t="s">
        <v>2754</v>
      </c>
      <c r="BD339" t="s">
        <v>2578</v>
      </c>
      <c r="BE339" t="s">
        <v>2988</v>
      </c>
      <c r="BG339">
        <v>0</v>
      </c>
      <c r="BH339">
        <v>0</v>
      </c>
      <c r="BJ339">
        <v>0</v>
      </c>
    </row>
    <row r="340" spans="1:62" x14ac:dyDescent="0.2">
      <c r="A340" t="s">
        <v>2462</v>
      </c>
      <c r="B340" t="s">
        <v>2462</v>
      </c>
      <c r="C340">
        <v>100057864</v>
      </c>
      <c r="D340" t="s">
        <v>2602</v>
      </c>
      <c r="E340" t="s">
        <v>2439</v>
      </c>
      <c r="F340" t="s">
        <v>2452</v>
      </c>
      <c r="G340" t="s">
        <v>2453</v>
      </c>
      <c r="H340" s="23">
        <v>0.33333333333333331</v>
      </c>
      <c r="I340" t="s">
        <v>2688</v>
      </c>
      <c r="J340" t="s">
        <v>2528</v>
      </c>
      <c r="K340" t="s">
        <v>2613</v>
      </c>
      <c r="L340" t="s">
        <v>2462</v>
      </c>
      <c r="M340" t="s">
        <v>2570</v>
      </c>
      <c r="N340" s="6">
        <v>45998</v>
      </c>
      <c r="O340" t="s">
        <v>2461</v>
      </c>
      <c r="P340" t="s">
        <v>2442</v>
      </c>
      <c r="Q340" s="23">
        <v>0.3311574074074074</v>
      </c>
      <c r="R340" s="23">
        <v>0.67708333333333337</v>
      </c>
      <c r="S340">
        <v>28</v>
      </c>
      <c r="T340" t="s">
        <v>2443</v>
      </c>
      <c r="U340" t="s">
        <v>2603</v>
      </c>
      <c r="V340">
        <v>7.8</v>
      </c>
      <c r="W340">
        <v>7.8</v>
      </c>
      <c r="X340" t="s">
        <v>2689</v>
      </c>
      <c r="Y340" t="s">
        <v>2689</v>
      </c>
      <c r="Z340" t="s">
        <v>2689</v>
      </c>
      <c r="AA340" t="s">
        <v>2689</v>
      </c>
      <c r="AC340" t="s">
        <v>2689</v>
      </c>
      <c r="AD340" t="s">
        <v>2689</v>
      </c>
      <c r="AE340" t="s">
        <v>2689</v>
      </c>
      <c r="AF340" t="s">
        <v>2689</v>
      </c>
      <c r="AH340">
        <v>218.4</v>
      </c>
      <c r="AI340" t="s">
        <v>2690</v>
      </c>
      <c r="AJ340" t="s">
        <v>2690</v>
      </c>
      <c r="AK340" t="s">
        <v>2690</v>
      </c>
      <c r="AL340" t="s">
        <v>2690</v>
      </c>
      <c r="AP340">
        <v>218.4</v>
      </c>
      <c r="AR340" s="23">
        <v>0.3311574074074074</v>
      </c>
      <c r="AT340" s="23">
        <v>0.33333333333333331</v>
      </c>
      <c r="AU340" s="23">
        <v>0.66666666666666663</v>
      </c>
      <c r="AV340" t="s">
        <v>2565</v>
      </c>
      <c r="AX340">
        <v>230</v>
      </c>
      <c r="AY340">
        <v>0.5</v>
      </c>
      <c r="AZ340" t="s">
        <v>3106</v>
      </c>
      <c r="BA340" t="s">
        <v>2757</v>
      </c>
      <c r="BD340" t="s">
        <v>2578</v>
      </c>
      <c r="BE340" t="s">
        <v>2988</v>
      </c>
      <c r="BF340" t="s">
        <v>2460</v>
      </c>
      <c r="BG340">
        <v>0</v>
      </c>
      <c r="BH340">
        <v>0</v>
      </c>
      <c r="BJ340">
        <v>0</v>
      </c>
    </row>
    <row r="341" spans="1:62" x14ac:dyDescent="0.2">
      <c r="A341" t="s">
        <v>2462</v>
      </c>
      <c r="B341" t="s">
        <v>2462</v>
      </c>
      <c r="C341">
        <v>100057864</v>
      </c>
      <c r="D341" t="s">
        <v>2602</v>
      </c>
      <c r="E341" t="s">
        <v>2439</v>
      </c>
      <c r="F341" t="s">
        <v>2786</v>
      </c>
      <c r="G341" t="s">
        <v>2787</v>
      </c>
      <c r="H341" s="23">
        <v>0.66666666666666663</v>
      </c>
      <c r="I341" t="s">
        <v>2696</v>
      </c>
      <c r="J341" t="s">
        <v>2528</v>
      </c>
      <c r="K341" t="s">
        <v>3021</v>
      </c>
      <c r="L341" t="s">
        <v>2462</v>
      </c>
      <c r="M341" t="s">
        <v>2570</v>
      </c>
      <c r="N341" s="6">
        <v>45999</v>
      </c>
      <c r="O341" t="s">
        <v>2455</v>
      </c>
      <c r="P341" t="s">
        <v>2445</v>
      </c>
      <c r="Q341" s="23">
        <v>0.3269097222222222</v>
      </c>
      <c r="R341" s="23">
        <v>0.78981481481481486</v>
      </c>
      <c r="S341">
        <v>28</v>
      </c>
      <c r="T341" t="s">
        <v>2443</v>
      </c>
      <c r="U341" t="s">
        <v>2603</v>
      </c>
      <c r="V341">
        <v>10.61</v>
      </c>
      <c r="W341">
        <v>8</v>
      </c>
      <c r="X341">
        <v>2.61</v>
      </c>
      <c r="Y341" t="s">
        <v>2689</v>
      </c>
      <c r="Z341" t="s">
        <v>2689</v>
      </c>
      <c r="AA341" t="s">
        <v>2689</v>
      </c>
      <c r="AC341" t="s">
        <v>2689</v>
      </c>
      <c r="AD341" t="s">
        <v>2689</v>
      </c>
      <c r="AE341" t="s">
        <v>2689</v>
      </c>
      <c r="AF341" t="s">
        <v>2689</v>
      </c>
      <c r="AH341">
        <v>224</v>
      </c>
      <c r="AI341">
        <v>109.62</v>
      </c>
      <c r="AJ341" t="s">
        <v>2690</v>
      </c>
      <c r="AK341" t="s">
        <v>2690</v>
      </c>
      <c r="AL341" t="s">
        <v>2690</v>
      </c>
      <c r="AP341">
        <v>333.62</v>
      </c>
      <c r="AR341" s="23">
        <v>0.3269097222222222</v>
      </c>
      <c r="AS341" s="23">
        <v>0.78981481481481486</v>
      </c>
      <c r="AT341" s="23">
        <v>0.33333333333333331</v>
      </c>
      <c r="AU341" s="23">
        <v>0.66666666666666663</v>
      </c>
      <c r="AV341" t="s">
        <v>2565</v>
      </c>
      <c r="AX341">
        <v>230</v>
      </c>
      <c r="AY341">
        <v>0.5</v>
      </c>
      <c r="AZ341" t="s">
        <v>3107</v>
      </c>
      <c r="BA341" t="s">
        <v>2861</v>
      </c>
      <c r="BD341" t="s">
        <v>2578</v>
      </c>
      <c r="BE341" t="s">
        <v>2988</v>
      </c>
      <c r="BG341">
        <v>0</v>
      </c>
      <c r="BH341">
        <v>0</v>
      </c>
      <c r="BJ341">
        <v>0</v>
      </c>
    </row>
    <row r="342" spans="1:62" x14ac:dyDescent="0.2">
      <c r="A342" t="s">
        <v>2462</v>
      </c>
      <c r="B342" t="s">
        <v>2462</v>
      </c>
      <c r="C342">
        <v>100057864</v>
      </c>
      <c r="D342" t="s">
        <v>2602</v>
      </c>
      <c r="E342" t="s">
        <v>2439</v>
      </c>
      <c r="F342" t="s">
        <v>2789</v>
      </c>
      <c r="G342" t="s">
        <v>2790</v>
      </c>
      <c r="H342" s="23">
        <v>0.375</v>
      </c>
      <c r="I342" t="s">
        <v>2696</v>
      </c>
      <c r="J342" t="s">
        <v>2528</v>
      </c>
      <c r="K342" t="s">
        <v>2665</v>
      </c>
      <c r="L342" t="s">
        <v>2462</v>
      </c>
      <c r="M342" t="s">
        <v>2570</v>
      </c>
      <c r="N342" s="6">
        <v>46000</v>
      </c>
      <c r="O342" t="s">
        <v>2457</v>
      </c>
      <c r="P342" t="s">
        <v>2445</v>
      </c>
      <c r="Q342" s="23">
        <v>0.24710648148148148</v>
      </c>
      <c r="R342" s="23">
        <v>0.58578703703703705</v>
      </c>
      <c r="S342">
        <v>28</v>
      </c>
      <c r="T342" t="s">
        <v>2443</v>
      </c>
      <c r="U342" t="s">
        <v>2603</v>
      </c>
      <c r="V342">
        <v>7.63</v>
      </c>
      <c r="W342">
        <v>5.54</v>
      </c>
      <c r="X342">
        <v>2.09</v>
      </c>
      <c r="Y342" t="s">
        <v>2689</v>
      </c>
      <c r="Z342" t="s">
        <v>2689</v>
      </c>
      <c r="AA342" t="s">
        <v>2689</v>
      </c>
      <c r="AC342" t="s">
        <v>2689</v>
      </c>
      <c r="AD342" t="s">
        <v>2689</v>
      </c>
      <c r="AE342" t="s">
        <v>2689</v>
      </c>
      <c r="AF342" t="s">
        <v>2689</v>
      </c>
      <c r="AH342">
        <v>155.12</v>
      </c>
      <c r="AI342">
        <v>87.78</v>
      </c>
      <c r="AJ342" t="s">
        <v>2690</v>
      </c>
      <c r="AK342" t="s">
        <v>2690</v>
      </c>
      <c r="AL342" t="s">
        <v>2690</v>
      </c>
      <c r="AP342">
        <v>242.9</v>
      </c>
      <c r="AR342" s="23">
        <v>0.24710648148148148</v>
      </c>
      <c r="AS342" s="23">
        <v>0.58578703703703705</v>
      </c>
      <c r="AT342" s="23">
        <v>0.25</v>
      </c>
      <c r="AU342" s="23">
        <v>0.58333333333333337</v>
      </c>
      <c r="AV342" t="s">
        <v>2565</v>
      </c>
      <c r="AX342">
        <v>230</v>
      </c>
      <c r="AY342">
        <v>0.5</v>
      </c>
      <c r="AZ342" t="s">
        <v>3108</v>
      </c>
      <c r="BA342" t="s">
        <v>2757</v>
      </c>
      <c r="BD342" t="s">
        <v>2578</v>
      </c>
      <c r="BE342" t="s">
        <v>2988</v>
      </c>
      <c r="BF342" t="s">
        <v>2446</v>
      </c>
      <c r="BG342">
        <v>0</v>
      </c>
      <c r="BH342">
        <v>0</v>
      </c>
      <c r="BJ342">
        <v>0</v>
      </c>
    </row>
    <row r="343" spans="1:62" x14ac:dyDescent="0.2">
      <c r="A343" t="s">
        <v>2462</v>
      </c>
      <c r="B343" t="s">
        <v>2462</v>
      </c>
      <c r="C343">
        <v>100057864</v>
      </c>
      <c r="D343" t="s">
        <v>2602</v>
      </c>
      <c r="E343" t="s">
        <v>2439</v>
      </c>
      <c r="F343" t="s">
        <v>2452</v>
      </c>
      <c r="G343" t="s">
        <v>2453</v>
      </c>
      <c r="H343" s="23">
        <v>0.33333333333333331</v>
      </c>
      <c r="I343" t="s">
        <v>2688</v>
      </c>
      <c r="J343" t="s">
        <v>2528</v>
      </c>
      <c r="K343" t="s">
        <v>2665</v>
      </c>
      <c r="L343" t="s">
        <v>2462</v>
      </c>
      <c r="M343" t="s">
        <v>2570</v>
      </c>
      <c r="N343" s="6">
        <v>46001</v>
      </c>
      <c r="O343" t="s">
        <v>2458</v>
      </c>
      <c r="P343" t="s">
        <v>2445</v>
      </c>
      <c r="Q343" s="23">
        <v>0.32668981481481479</v>
      </c>
      <c r="R343" s="23">
        <v>0.67173611111111109</v>
      </c>
      <c r="S343">
        <v>28</v>
      </c>
      <c r="T343" t="s">
        <v>2443</v>
      </c>
      <c r="U343" t="s">
        <v>2603</v>
      </c>
      <c r="V343">
        <v>7.78</v>
      </c>
      <c r="W343">
        <v>7.78</v>
      </c>
      <c r="X343" t="s">
        <v>2689</v>
      </c>
      <c r="Y343" t="s">
        <v>2689</v>
      </c>
      <c r="Z343" t="s">
        <v>2689</v>
      </c>
      <c r="AA343" t="s">
        <v>2689</v>
      </c>
      <c r="AC343" t="s">
        <v>2689</v>
      </c>
      <c r="AD343" t="s">
        <v>2689</v>
      </c>
      <c r="AE343" t="s">
        <v>2689</v>
      </c>
      <c r="AF343" t="s">
        <v>2689</v>
      </c>
      <c r="AH343">
        <v>217.84</v>
      </c>
      <c r="AI343" t="s">
        <v>2690</v>
      </c>
      <c r="AJ343" t="s">
        <v>2690</v>
      </c>
      <c r="AK343" t="s">
        <v>2690</v>
      </c>
      <c r="AL343" t="s">
        <v>2690</v>
      </c>
      <c r="AP343">
        <v>217.84</v>
      </c>
      <c r="AR343" s="23">
        <v>0.32668981481481479</v>
      </c>
      <c r="AS343" s="23">
        <v>0.67173611111111109</v>
      </c>
      <c r="AT343" s="23">
        <v>0.33333333333333331</v>
      </c>
      <c r="AU343" s="23">
        <v>0.66666666666666663</v>
      </c>
      <c r="AV343" t="s">
        <v>2565</v>
      </c>
      <c r="AX343">
        <v>230</v>
      </c>
      <c r="AY343">
        <v>0.5</v>
      </c>
      <c r="AZ343" t="s">
        <v>3109</v>
      </c>
      <c r="BA343" t="s">
        <v>2759</v>
      </c>
      <c r="BD343" t="s">
        <v>2578</v>
      </c>
      <c r="BE343" t="s">
        <v>2988</v>
      </c>
      <c r="BG343">
        <v>0</v>
      </c>
      <c r="BH343">
        <v>0</v>
      </c>
      <c r="BJ343">
        <v>0</v>
      </c>
    </row>
    <row r="344" spans="1:62" x14ac:dyDescent="0.2">
      <c r="A344" t="s">
        <v>2462</v>
      </c>
      <c r="B344" t="s">
        <v>2462</v>
      </c>
      <c r="C344">
        <v>100057864</v>
      </c>
      <c r="D344" t="s">
        <v>2602</v>
      </c>
      <c r="E344" t="s">
        <v>2439</v>
      </c>
      <c r="F344" t="s">
        <v>2791</v>
      </c>
      <c r="G344" t="s">
        <v>2792</v>
      </c>
      <c r="H344" s="23">
        <v>0.79166666666666663</v>
      </c>
      <c r="I344" t="s">
        <v>2696</v>
      </c>
      <c r="J344" t="s">
        <v>2528</v>
      </c>
      <c r="K344" t="s">
        <v>2667</v>
      </c>
      <c r="L344" t="s">
        <v>2462</v>
      </c>
      <c r="M344" t="s">
        <v>2570</v>
      </c>
      <c r="N344" s="6">
        <v>46002</v>
      </c>
      <c r="O344" t="s">
        <v>2459</v>
      </c>
      <c r="P344" t="s">
        <v>2445</v>
      </c>
      <c r="Q344" s="23">
        <v>0.5491435185185185</v>
      </c>
      <c r="R344" s="23">
        <v>0.99584490740740739</v>
      </c>
      <c r="S344">
        <v>28</v>
      </c>
      <c r="T344" t="s">
        <v>2443</v>
      </c>
      <c r="U344" t="s">
        <v>2603</v>
      </c>
      <c r="V344">
        <v>10.08</v>
      </c>
      <c r="W344">
        <v>8</v>
      </c>
      <c r="X344">
        <v>2.08</v>
      </c>
      <c r="Y344" t="s">
        <v>2689</v>
      </c>
      <c r="Z344" t="s">
        <v>2689</v>
      </c>
      <c r="AA344" t="s">
        <v>2689</v>
      </c>
      <c r="AC344" t="s">
        <v>2689</v>
      </c>
      <c r="AD344" t="s">
        <v>2689</v>
      </c>
      <c r="AE344" t="s">
        <v>2689</v>
      </c>
      <c r="AF344" t="s">
        <v>2689</v>
      </c>
      <c r="AH344">
        <v>224</v>
      </c>
      <c r="AI344">
        <v>87.36</v>
      </c>
      <c r="AJ344" t="s">
        <v>2690</v>
      </c>
      <c r="AK344" t="s">
        <v>2690</v>
      </c>
      <c r="AL344" t="s">
        <v>2690</v>
      </c>
      <c r="AP344">
        <v>311.36</v>
      </c>
      <c r="AR344" s="23">
        <v>0.5491435185185185</v>
      </c>
      <c r="AS344" s="23">
        <v>0.99584490740740739</v>
      </c>
      <c r="AT344" s="23">
        <v>0.54861111111111116</v>
      </c>
      <c r="AU344" s="23">
        <v>0.91666666666666663</v>
      </c>
      <c r="AV344" t="s">
        <v>2565</v>
      </c>
      <c r="AX344">
        <v>230</v>
      </c>
      <c r="AY344">
        <v>0.65</v>
      </c>
      <c r="AZ344" t="s">
        <v>3110</v>
      </c>
      <c r="BA344" t="s">
        <v>2759</v>
      </c>
      <c r="BD344" t="s">
        <v>2578</v>
      </c>
      <c r="BE344" t="s">
        <v>2988</v>
      </c>
      <c r="BG344">
        <v>0</v>
      </c>
      <c r="BH344">
        <v>0</v>
      </c>
      <c r="BJ344">
        <v>0</v>
      </c>
    </row>
    <row r="345" spans="1:62" x14ac:dyDescent="0.2">
      <c r="A345" t="s">
        <v>2462</v>
      </c>
      <c r="B345" t="s">
        <v>2462</v>
      </c>
      <c r="C345">
        <v>100057864</v>
      </c>
      <c r="D345" t="s">
        <v>2602</v>
      </c>
      <c r="E345" t="s">
        <v>2439</v>
      </c>
      <c r="F345" t="s">
        <v>2794</v>
      </c>
      <c r="G345" t="s">
        <v>2795</v>
      </c>
      <c r="H345" s="23">
        <v>0.79166666666666663</v>
      </c>
      <c r="I345" t="s">
        <v>2696</v>
      </c>
      <c r="J345" t="s">
        <v>2575</v>
      </c>
      <c r="K345" t="s">
        <v>2588</v>
      </c>
      <c r="L345" t="s">
        <v>2462</v>
      </c>
      <c r="M345" t="s">
        <v>2467</v>
      </c>
      <c r="N345" s="6">
        <v>46003</v>
      </c>
      <c r="O345" t="s">
        <v>2449</v>
      </c>
      <c r="P345" t="s">
        <v>2445</v>
      </c>
      <c r="Q345" s="23">
        <v>0.5770601851851852</v>
      </c>
      <c r="R345" s="23">
        <v>0.96178240740740739</v>
      </c>
      <c r="S345">
        <v>28</v>
      </c>
      <c r="T345" t="s">
        <v>2443</v>
      </c>
      <c r="U345" t="s">
        <v>2603</v>
      </c>
      <c r="V345">
        <v>8.73</v>
      </c>
      <c r="W345">
        <v>8</v>
      </c>
      <c r="X345">
        <v>0.73</v>
      </c>
      <c r="Y345" t="s">
        <v>2689</v>
      </c>
      <c r="Z345" t="s">
        <v>2689</v>
      </c>
      <c r="AA345" t="s">
        <v>2689</v>
      </c>
      <c r="AC345" t="s">
        <v>2689</v>
      </c>
      <c r="AD345" t="s">
        <v>2689</v>
      </c>
      <c r="AE345" t="s">
        <v>2689</v>
      </c>
      <c r="AF345" t="s">
        <v>2689</v>
      </c>
      <c r="AH345">
        <v>224</v>
      </c>
      <c r="AI345">
        <v>30.66</v>
      </c>
      <c r="AJ345" t="s">
        <v>2690</v>
      </c>
      <c r="AK345" t="s">
        <v>2690</v>
      </c>
      <c r="AL345" t="s">
        <v>2690</v>
      </c>
      <c r="AP345">
        <v>254.66</v>
      </c>
      <c r="AR345" s="23">
        <v>0.5770601851851852</v>
      </c>
      <c r="AS345" s="23">
        <v>0.96178240740740739</v>
      </c>
      <c r="AT345" s="23">
        <v>0.58333333333333337</v>
      </c>
      <c r="AU345" s="23">
        <v>0.91666666666666663</v>
      </c>
      <c r="AV345" t="s">
        <v>2565</v>
      </c>
      <c r="AX345">
        <v>100</v>
      </c>
      <c r="AY345">
        <v>0.5</v>
      </c>
      <c r="AZ345" t="s">
        <v>3111</v>
      </c>
      <c r="BA345" t="s">
        <v>2798</v>
      </c>
      <c r="BD345" t="s">
        <v>2578</v>
      </c>
      <c r="BE345" t="s">
        <v>2988</v>
      </c>
      <c r="BG345">
        <v>0</v>
      </c>
      <c r="BH345">
        <v>0</v>
      </c>
      <c r="BJ345">
        <v>0</v>
      </c>
    </row>
    <row r="346" spans="1:62" x14ac:dyDescent="0.2">
      <c r="A346" t="s">
        <v>2462</v>
      </c>
      <c r="B346" t="s">
        <v>2462</v>
      </c>
      <c r="C346">
        <v>100057864</v>
      </c>
      <c r="D346" t="s">
        <v>2602</v>
      </c>
      <c r="E346" t="s">
        <v>2439</v>
      </c>
      <c r="F346" t="s">
        <v>2811</v>
      </c>
      <c r="G346" t="s">
        <v>2812</v>
      </c>
      <c r="H346" s="23">
        <v>0.6875</v>
      </c>
      <c r="I346" t="s">
        <v>2696</v>
      </c>
      <c r="J346" t="s">
        <v>2528</v>
      </c>
      <c r="K346" t="s">
        <v>3021</v>
      </c>
      <c r="L346" t="s">
        <v>2462</v>
      </c>
      <c r="M346" t="s">
        <v>2570</v>
      </c>
      <c r="N346" s="6">
        <v>46005</v>
      </c>
      <c r="O346" t="s">
        <v>2461</v>
      </c>
      <c r="P346" t="s">
        <v>2442</v>
      </c>
      <c r="Q346" s="23">
        <v>0.55396990740740737</v>
      </c>
      <c r="R346" s="23">
        <v>0.84890046296296295</v>
      </c>
      <c r="S346">
        <v>28</v>
      </c>
      <c r="T346" t="s">
        <v>2443</v>
      </c>
      <c r="U346" t="s">
        <v>2603</v>
      </c>
      <c r="V346">
        <v>6.58</v>
      </c>
      <c r="W346">
        <v>6.58</v>
      </c>
      <c r="X346" t="s">
        <v>2689</v>
      </c>
      <c r="Y346" t="s">
        <v>2689</v>
      </c>
      <c r="Z346" t="s">
        <v>2689</v>
      </c>
      <c r="AA346" t="s">
        <v>2689</v>
      </c>
      <c r="AC346" t="s">
        <v>2689</v>
      </c>
      <c r="AD346" t="s">
        <v>2689</v>
      </c>
      <c r="AE346" t="s">
        <v>2689</v>
      </c>
      <c r="AF346" t="s">
        <v>2689</v>
      </c>
      <c r="AH346">
        <v>184.24</v>
      </c>
      <c r="AI346" t="s">
        <v>2690</v>
      </c>
      <c r="AJ346" t="s">
        <v>2690</v>
      </c>
      <c r="AK346" t="s">
        <v>2690</v>
      </c>
      <c r="AL346" t="s">
        <v>2690</v>
      </c>
      <c r="AP346">
        <v>184.24</v>
      </c>
      <c r="AQ346" t="s">
        <v>2442</v>
      </c>
      <c r="AR346" s="23">
        <v>0.55396990740740737</v>
      </c>
      <c r="AS346" s="23">
        <v>0.84890046296296295</v>
      </c>
      <c r="AT346" s="23">
        <v>0.54166666666666663</v>
      </c>
      <c r="AU346" s="23">
        <v>0.875</v>
      </c>
      <c r="AV346" t="s">
        <v>2565</v>
      </c>
      <c r="AX346">
        <v>230</v>
      </c>
      <c r="AY346">
        <v>0.5</v>
      </c>
      <c r="AZ346" t="s">
        <v>3112</v>
      </c>
      <c r="BA346" t="s">
        <v>2798</v>
      </c>
      <c r="BD346" t="s">
        <v>2578</v>
      </c>
      <c r="BE346" t="s">
        <v>2988</v>
      </c>
      <c r="BF346" t="s">
        <v>2456</v>
      </c>
      <c r="BG346">
        <v>0</v>
      </c>
      <c r="BH346">
        <v>0</v>
      </c>
      <c r="BJ346">
        <v>0</v>
      </c>
    </row>
    <row r="347" spans="1:62" x14ac:dyDescent="0.2">
      <c r="A347" t="s">
        <v>2462</v>
      </c>
      <c r="B347" t="s">
        <v>2462</v>
      </c>
      <c r="C347">
        <v>100057864</v>
      </c>
      <c r="D347" t="s">
        <v>2602</v>
      </c>
      <c r="E347" t="s">
        <v>2439</v>
      </c>
      <c r="F347" t="s">
        <v>2814</v>
      </c>
      <c r="G347" t="s">
        <v>2815</v>
      </c>
      <c r="H347" s="23">
        <v>0.47916666666666669</v>
      </c>
      <c r="I347" t="s">
        <v>2696</v>
      </c>
      <c r="J347" t="s">
        <v>2528</v>
      </c>
      <c r="K347" t="s">
        <v>2665</v>
      </c>
      <c r="L347" t="s">
        <v>2462</v>
      </c>
      <c r="M347" t="s">
        <v>2570</v>
      </c>
      <c r="N347" s="6">
        <v>46006</v>
      </c>
      <c r="O347" t="s">
        <v>2455</v>
      </c>
      <c r="P347" t="s">
        <v>2445</v>
      </c>
      <c r="Q347" s="23">
        <v>0.28472222222222221</v>
      </c>
      <c r="R347" s="23">
        <v>0.57152777777777775</v>
      </c>
      <c r="S347">
        <v>28</v>
      </c>
      <c r="T347" t="s">
        <v>2443</v>
      </c>
      <c r="U347" t="s">
        <v>2603</v>
      </c>
      <c r="V347">
        <v>6.38</v>
      </c>
      <c r="W347">
        <v>6.38</v>
      </c>
      <c r="X347" t="s">
        <v>2689</v>
      </c>
      <c r="Y347" t="s">
        <v>2689</v>
      </c>
      <c r="Z347" t="s">
        <v>2689</v>
      </c>
      <c r="AA347" t="s">
        <v>2689</v>
      </c>
      <c r="AC347" t="s">
        <v>2689</v>
      </c>
      <c r="AD347" t="s">
        <v>2689</v>
      </c>
      <c r="AE347" t="s">
        <v>2689</v>
      </c>
      <c r="AF347" t="s">
        <v>2689</v>
      </c>
      <c r="AH347">
        <v>178.64</v>
      </c>
      <c r="AI347" t="s">
        <v>2690</v>
      </c>
      <c r="AJ347" t="s">
        <v>2690</v>
      </c>
      <c r="AK347" t="s">
        <v>2690</v>
      </c>
      <c r="AL347" t="s">
        <v>2690</v>
      </c>
      <c r="AP347">
        <v>178.64</v>
      </c>
      <c r="AT347" s="23">
        <v>0.29166666666666669</v>
      </c>
      <c r="AU347" s="23">
        <v>0.625</v>
      </c>
      <c r="AV347" t="s">
        <v>2565</v>
      </c>
      <c r="AX347">
        <v>230</v>
      </c>
      <c r="AY347">
        <v>0.5</v>
      </c>
      <c r="BA347" t="s">
        <v>2769</v>
      </c>
      <c r="BD347" t="s">
        <v>2578</v>
      </c>
      <c r="BE347" t="s">
        <v>2988</v>
      </c>
      <c r="BF347" t="s">
        <v>2456</v>
      </c>
      <c r="BG347">
        <v>0</v>
      </c>
      <c r="BH347">
        <v>0</v>
      </c>
      <c r="BJ347">
        <v>0</v>
      </c>
    </row>
    <row r="348" spans="1:62" x14ac:dyDescent="0.2">
      <c r="A348" t="s">
        <v>2462</v>
      </c>
      <c r="B348" t="s">
        <v>2462</v>
      </c>
      <c r="C348">
        <v>100057864</v>
      </c>
      <c r="D348" t="s">
        <v>2602</v>
      </c>
      <c r="E348" t="s">
        <v>2439</v>
      </c>
      <c r="F348" t="s">
        <v>2452</v>
      </c>
      <c r="G348" t="s">
        <v>2453</v>
      </c>
      <c r="H348" s="23">
        <v>0.33333333333333331</v>
      </c>
      <c r="I348" t="s">
        <v>2688</v>
      </c>
      <c r="J348" t="s">
        <v>2575</v>
      </c>
      <c r="K348" t="s">
        <v>2588</v>
      </c>
      <c r="L348" t="s">
        <v>2462</v>
      </c>
      <c r="M348" t="s">
        <v>2467</v>
      </c>
      <c r="N348" s="6">
        <v>46008</v>
      </c>
      <c r="O348" t="s">
        <v>2458</v>
      </c>
      <c r="P348" t="s">
        <v>2445</v>
      </c>
      <c r="Q348" s="23">
        <v>0.32664351851851853</v>
      </c>
      <c r="R348" s="23">
        <v>0.53881944444444441</v>
      </c>
      <c r="S348">
        <v>28</v>
      </c>
      <c r="T348" t="s">
        <v>2443</v>
      </c>
      <c r="U348" t="s">
        <v>2603</v>
      </c>
      <c r="V348">
        <v>5.09</v>
      </c>
      <c r="W348">
        <v>5.09</v>
      </c>
      <c r="X348" t="s">
        <v>2689</v>
      </c>
      <c r="Y348" t="s">
        <v>2689</v>
      </c>
      <c r="Z348" t="s">
        <v>2689</v>
      </c>
      <c r="AA348" t="s">
        <v>2689</v>
      </c>
      <c r="AC348" t="s">
        <v>2689</v>
      </c>
      <c r="AD348" t="s">
        <v>2689</v>
      </c>
      <c r="AE348" t="s">
        <v>2689</v>
      </c>
      <c r="AF348" t="s">
        <v>2689</v>
      </c>
      <c r="AH348">
        <v>142.52000000000001</v>
      </c>
      <c r="AI348" t="s">
        <v>2690</v>
      </c>
      <c r="AJ348" t="s">
        <v>2690</v>
      </c>
      <c r="AK348" t="s">
        <v>2690</v>
      </c>
      <c r="AL348" t="s">
        <v>2690</v>
      </c>
      <c r="AP348">
        <v>142.52000000000001</v>
      </c>
      <c r="AR348" s="23">
        <v>0.32664351851851853</v>
      </c>
      <c r="AS348" s="23">
        <v>0.53881944444444441</v>
      </c>
      <c r="AT348" s="23">
        <v>0.33333333333333331</v>
      </c>
      <c r="AU348" s="23">
        <v>0.54166666666666663</v>
      </c>
      <c r="AV348" t="s">
        <v>2565</v>
      </c>
      <c r="AX348">
        <v>100</v>
      </c>
      <c r="BA348" t="s">
        <v>2771</v>
      </c>
      <c r="BD348" t="s">
        <v>2578</v>
      </c>
      <c r="BE348" t="s">
        <v>2988</v>
      </c>
      <c r="BG348">
        <v>0</v>
      </c>
      <c r="BH348">
        <v>0</v>
      </c>
      <c r="BJ348">
        <v>0</v>
      </c>
    </row>
    <row r="349" spans="1:62" x14ac:dyDescent="0.2">
      <c r="A349" t="s">
        <v>2462</v>
      </c>
      <c r="B349" t="s">
        <v>2462</v>
      </c>
      <c r="C349">
        <v>100059506</v>
      </c>
      <c r="D349" t="s">
        <v>2737</v>
      </c>
      <c r="E349" t="s">
        <v>2439</v>
      </c>
      <c r="F349" t="s">
        <v>2800</v>
      </c>
      <c r="G349" t="s">
        <v>2801</v>
      </c>
      <c r="H349" s="23">
        <v>0.66666666666666663</v>
      </c>
      <c r="I349" t="s">
        <v>2696</v>
      </c>
      <c r="J349" t="s">
        <v>2568</v>
      </c>
      <c r="K349" t="s">
        <v>2666</v>
      </c>
      <c r="L349" t="s">
        <v>2462</v>
      </c>
      <c r="M349" t="s">
        <v>2570</v>
      </c>
      <c r="N349" s="6">
        <v>45993</v>
      </c>
      <c r="O349" t="s">
        <v>2457</v>
      </c>
      <c r="P349" t="s">
        <v>2445</v>
      </c>
      <c r="Q349" s="23">
        <v>0.32810185185185187</v>
      </c>
      <c r="R349" s="23">
        <v>0.65093749999999995</v>
      </c>
      <c r="S349">
        <v>19.600000000000001</v>
      </c>
      <c r="T349" t="s">
        <v>2443</v>
      </c>
      <c r="U349" t="s">
        <v>2571</v>
      </c>
      <c r="V349">
        <v>7.25</v>
      </c>
      <c r="W349">
        <v>7.25</v>
      </c>
      <c r="X349" t="s">
        <v>2689</v>
      </c>
      <c r="Y349" t="s">
        <v>2689</v>
      </c>
      <c r="Z349" t="s">
        <v>2689</v>
      </c>
      <c r="AA349" t="s">
        <v>2689</v>
      </c>
      <c r="AC349" t="s">
        <v>2689</v>
      </c>
      <c r="AD349" t="s">
        <v>2689</v>
      </c>
      <c r="AE349" t="s">
        <v>2689</v>
      </c>
      <c r="AF349" t="s">
        <v>2689</v>
      </c>
      <c r="AH349">
        <v>142.1</v>
      </c>
      <c r="AI349" t="s">
        <v>2690</v>
      </c>
      <c r="AJ349" t="s">
        <v>2690</v>
      </c>
      <c r="AK349" t="s">
        <v>2690</v>
      </c>
      <c r="AL349" t="s">
        <v>2690</v>
      </c>
      <c r="AP349">
        <v>142.1</v>
      </c>
      <c r="AR349" s="23">
        <v>0.32810185185185187</v>
      </c>
      <c r="AS349" s="23">
        <v>0.65093749999999995</v>
      </c>
      <c r="AT349" s="23">
        <v>0.33333333333333331</v>
      </c>
      <c r="AU349" s="23">
        <v>0.66666666666666663</v>
      </c>
      <c r="AV349" t="s">
        <v>2565</v>
      </c>
      <c r="AX349">
        <v>230</v>
      </c>
      <c r="AY349">
        <v>0.5</v>
      </c>
      <c r="AZ349" t="s">
        <v>3113</v>
      </c>
      <c r="BA349" t="s">
        <v>2752</v>
      </c>
      <c r="BD349" t="s">
        <v>2572</v>
      </c>
      <c r="BE349" t="s">
        <v>3017</v>
      </c>
      <c r="BG349">
        <v>0</v>
      </c>
      <c r="BH349">
        <v>0</v>
      </c>
      <c r="BJ349">
        <v>0</v>
      </c>
    </row>
    <row r="350" spans="1:62" x14ac:dyDescent="0.2">
      <c r="A350" t="s">
        <v>2462</v>
      </c>
      <c r="B350" t="s">
        <v>2462</v>
      </c>
      <c r="C350">
        <v>100059506</v>
      </c>
      <c r="D350" t="s">
        <v>2737</v>
      </c>
      <c r="E350" t="s">
        <v>2439</v>
      </c>
      <c r="F350" t="s">
        <v>2782</v>
      </c>
      <c r="G350" t="s">
        <v>2783</v>
      </c>
      <c r="H350" s="23">
        <v>0.70833333333333337</v>
      </c>
      <c r="I350" t="s">
        <v>2696</v>
      </c>
      <c r="J350" t="s">
        <v>2568</v>
      </c>
      <c r="K350" t="s">
        <v>2666</v>
      </c>
      <c r="L350" t="s">
        <v>2462</v>
      </c>
      <c r="M350" t="s">
        <v>2570</v>
      </c>
      <c r="N350" s="6">
        <v>45994</v>
      </c>
      <c r="O350" t="s">
        <v>2458</v>
      </c>
      <c r="P350" t="s">
        <v>2445</v>
      </c>
      <c r="Q350" s="23">
        <v>0.51407407407407413</v>
      </c>
      <c r="R350" s="23">
        <v>0.85105324074074074</v>
      </c>
      <c r="S350">
        <v>19.600000000000001</v>
      </c>
      <c r="T350" t="s">
        <v>2443</v>
      </c>
      <c r="U350" t="s">
        <v>2571</v>
      </c>
      <c r="V350">
        <v>7.59</v>
      </c>
      <c r="W350">
        <v>7.59</v>
      </c>
      <c r="X350" t="s">
        <v>2689</v>
      </c>
      <c r="Y350" t="s">
        <v>2689</v>
      </c>
      <c r="Z350" t="s">
        <v>2689</v>
      </c>
      <c r="AA350" t="s">
        <v>2689</v>
      </c>
      <c r="AC350" t="s">
        <v>2689</v>
      </c>
      <c r="AD350" t="s">
        <v>2689</v>
      </c>
      <c r="AE350" t="s">
        <v>2689</v>
      </c>
      <c r="AF350" t="s">
        <v>2689</v>
      </c>
      <c r="AH350">
        <v>148.76</v>
      </c>
      <c r="AI350" t="s">
        <v>2690</v>
      </c>
      <c r="AJ350" t="s">
        <v>2690</v>
      </c>
      <c r="AK350" t="s">
        <v>2690</v>
      </c>
      <c r="AL350" t="s">
        <v>2690</v>
      </c>
      <c r="AP350">
        <v>148.76</v>
      </c>
      <c r="AR350" s="23">
        <v>0.51407407407407413</v>
      </c>
      <c r="AS350" s="23">
        <v>0.85105324074074074</v>
      </c>
      <c r="AT350" s="23">
        <v>0.52083333333333337</v>
      </c>
      <c r="AU350" s="23">
        <v>0.85416666666666663</v>
      </c>
      <c r="AV350" t="s">
        <v>2565</v>
      </c>
      <c r="AX350">
        <v>230</v>
      </c>
      <c r="AY350">
        <v>0.5</v>
      </c>
      <c r="AZ350" t="s">
        <v>3114</v>
      </c>
      <c r="BA350" t="s">
        <v>2754</v>
      </c>
      <c r="BD350" t="s">
        <v>2572</v>
      </c>
      <c r="BE350" t="s">
        <v>3017</v>
      </c>
      <c r="BG350">
        <v>0</v>
      </c>
      <c r="BH350">
        <v>0</v>
      </c>
      <c r="BJ350">
        <v>0</v>
      </c>
    </row>
    <row r="351" spans="1:62" x14ac:dyDescent="0.2">
      <c r="A351" t="s">
        <v>2462</v>
      </c>
      <c r="B351" t="s">
        <v>2462</v>
      </c>
      <c r="C351">
        <v>100059506</v>
      </c>
      <c r="D351" t="s">
        <v>2737</v>
      </c>
      <c r="E351" t="s">
        <v>2439</v>
      </c>
      <c r="F351" t="s">
        <v>2804</v>
      </c>
      <c r="G351" t="s">
        <v>2805</v>
      </c>
      <c r="H351" s="23">
        <v>0.70833333333333337</v>
      </c>
      <c r="I351" t="s">
        <v>2696</v>
      </c>
      <c r="J351" t="s">
        <v>2568</v>
      </c>
      <c r="K351" t="s">
        <v>2610</v>
      </c>
      <c r="L351" t="s">
        <v>2462</v>
      </c>
      <c r="M351" t="s">
        <v>2570</v>
      </c>
      <c r="N351" s="6">
        <v>45995</v>
      </c>
      <c r="O351" t="s">
        <v>2459</v>
      </c>
      <c r="P351" t="s">
        <v>2445</v>
      </c>
      <c r="Q351" s="23">
        <v>0.5153240740740741</v>
      </c>
      <c r="R351" s="23">
        <v>0.8144675925925926</v>
      </c>
      <c r="S351">
        <v>19.600000000000001</v>
      </c>
      <c r="T351" t="s">
        <v>2443</v>
      </c>
      <c r="U351" t="s">
        <v>2571</v>
      </c>
      <c r="V351">
        <v>6.68</v>
      </c>
      <c r="W351">
        <v>6.68</v>
      </c>
      <c r="X351" t="s">
        <v>2689</v>
      </c>
      <c r="Y351" t="s">
        <v>2689</v>
      </c>
      <c r="Z351" t="s">
        <v>2689</v>
      </c>
      <c r="AA351" t="s">
        <v>2689</v>
      </c>
      <c r="AC351" t="s">
        <v>2689</v>
      </c>
      <c r="AD351" t="s">
        <v>2689</v>
      </c>
      <c r="AE351" t="s">
        <v>2689</v>
      </c>
      <c r="AF351" t="s">
        <v>2689</v>
      </c>
      <c r="AH351">
        <v>130.93</v>
      </c>
      <c r="AI351" t="s">
        <v>2690</v>
      </c>
      <c r="AJ351" t="s">
        <v>2690</v>
      </c>
      <c r="AK351" t="s">
        <v>2690</v>
      </c>
      <c r="AL351" t="s">
        <v>2690</v>
      </c>
      <c r="AP351">
        <v>130.93</v>
      </c>
      <c r="AR351" s="23">
        <v>0.5153240740740741</v>
      </c>
      <c r="AS351" s="23">
        <v>0.8144675925925926</v>
      </c>
      <c r="AT351" s="23">
        <v>0.52083333333333337</v>
      </c>
      <c r="AU351" s="23">
        <v>0.85416666666666663</v>
      </c>
      <c r="AV351" t="s">
        <v>2565</v>
      </c>
      <c r="AX351">
        <v>230</v>
      </c>
      <c r="AY351">
        <v>0.5</v>
      </c>
      <c r="AZ351" t="s">
        <v>3115</v>
      </c>
      <c r="BA351" t="s">
        <v>2754</v>
      </c>
      <c r="BD351" t="s">
        <v>2572</v>
      </c>
      <c r="BE351" t="s">
        <v>3017</v>
      </c>
      <c r="BG351">
        <v>0</v>
      </c>
      <c r="BH351">
        <v>0</v>
      </c>
      <c r="BJ351">
        <v>0</v>
      </c>
    </row>
    <row r="352" spans="1:62" x14ac:dyDescent="0.2">
      <c r="A352" t="s">
        <v>2462</v>
      </c>
      <c r="B352" t="s">
        <v>2462</v>
      </c>
      <c r="C352">
        <v>100059506</v>
      </c>
      <c r="D352" t="s">
        <v>2737</v>
      </c>
      <c r="E352" t="s">
        <v>2439</v>
      </c>
      <c r="F352" t="s">
        <v>2452</v>
      </c>
      <c r="G352" t="s">
        <v>2453</v>
      </c>
      <c r="H352" s="23">
        <v>0.33333333333333331</v>
      </c>
      <c r="I352" t="s">
        <v>2688</v>
      </c>
      <c r="J352" t="s">
        <v>2568</v>
      </c>
      <c r="K352" t="s">
        <v>2668</v>
      </c>
      <c r="L352" t="s">
        <v>2462</v>
      </c>
      <c r="M352" t="s">
        <v>2570</v>
      </c>
      <c r="N352" s="6">
        <v>45996</v>
      </c>
      <c r="O352" t="s">
        <v>2449</v>
      </c>
      <c r="P352" t="s">
        <v>2445</v>
      </c>
      <c r="Q352" s="23">
        <v>0.32685185185185184</v>
      </c>
      <c r="R352" s="23">
        <v>0.54510416666666661</v>
      </c>
      <c r="S352">
        <v>19.600000000000001</v>
      </c>
      <c r="T352" t="s">
        <v>2443</v>
      </c>
      <c r="U352" t="s">
        <v>2571</v>
      </c>
      <c r="V352">
        <v>5.24</v>
      </c>
      <c r="W352">
        <v>5.24</v>
      </c>
      <c r="X352" t="s">
        <v>2689</v>
      </c>
      <c r="Y352" t="s">
        <v>2689</v>
      </c>
      <c r="Z352" t="s">
        <v>2689</v>
      </c>
      <c r="AA352" t="s">
        <v>2689</v>
      </c>
      <c r="AC352" t="s">
        <v>2689</v>
      </c>
      <c r="AD352" t="s">
        <v>2689</v>
      </c>
      <c r="AE352" t="s">
        <v>2689</v>
      </c>
      <c r="AF352" t="s">
        <v>2689</v>
      </c>
      <c r="AH352">
        <v>102.7</v>
      </c>
      <c r="AI352" t="s">
        <v>2690</v>
      </c>
      <c r="AJ352" t="s">
        <v>2690</v>
      </c>
      <c r="AK352" t="s">
        <v>2690</v>
      </c>
      <c r="AL352" t="s">
        <v>2690</v>
      </c>
      <c r="AP352">
        <v>102.7</v>
      </c>
      <c r="AR352" s="23">
        <v>0.32685185185185184</v>
      </c>
      <c r="AS352" s="23">
        <v>0.54510416666666661</v>
      </c>
      <c r="AT352" s="23">
        <v>0.33333333333333331</v>
      </c>
      <c r="AU352" s="23">
        <v>0.66666666666666663</v>
      </c>
      <c r="AV352" t="s">
        <v>2565</v>
      </c>
      <c r="AX352">
        <v>230</v>
      </c>
      <c r="BA352" t="s">
        <v>2754</v>
      </c>
      <c r="BD352" t="s">
        <v>2572</v>
      </c>
      <c r="BE352" t="s">
        <v>3017</v>
      </c>
      <c r="BG352">
        <v>0</v>
      </c>
      <c r="BH352">
        <v>0</v>
      </c>
      <c r="BJ352">
        <v>0</v>
      </c>
    </row>
    <row r="353" spans="1:62" x14ac:dyDescent="0.2">
      <c r="A353" t="s">
        <v>2462</v>
      </c>
      <c r="B353" t="s">
        <v>2462</v>
      </c>
      <c r="C353">
        <v>100059506</v>
      </c>
      <c r="D353" t="s">
        <v>2737</v>
      </c>
      <c r="E353" t="s">
        <v>2439</v>
      </c>
      <c r="F353" t="s">
        <v>2786</v>
      </c>
      <c r="G353" t="s">
        <v>2787</v>
      </c>
      <c r="H353" s="23">
        <v>0.66666666666666663</v>
      </c>
      <c r="I353" t="s">
        <v>2696</v>
      </c>
      <c r="J353" t="s">
        <v>2568</v>
      </c>
      <c r="K353" t="s">
        <v>2668</v>
      </c>
      <c r="L353" t="s">
        <v>2462</v>
      </c>
      <c r="M353" t="s">
        <v>2570</v>
      </c>
      <c r="N353" s="6">
        <v>45999</v>
      </c>
      <c r="O353" t="s">
        <v>2455</v>
      </c>
      <c r="P353" t="s">
        <v>2445</v>
      </c>
      <c r="Q353" s="23">
        <v>0.51413194444444443</v>
      </c>
      <c r="R353" s="23">
        <v>0.85378472222222224</v>
      </c>
      <c r="S353">
        <v>19.600000000000001</v>
      </c>
      <c r="T353" t="s">
        <v>2443</v>
      </c>
      <c r="U353" t="s">
        <v>2571</v>
      </c>
      <c r="V353">
        <v>7.65</v>
      </c>
      <c r="W353">
        <v>7.65</v>
      </c>
      <c r="X353" t="s">
        <v>2689</v>
      </c>
      <c r="Y353" t="s">
        <v>2689</v>
      </c>
      <c r="Z353" t="s">
        <v>2689</v>
      </c>
      <c r="AA353" t="s">
        <v>2689</v>
      </c>
      <c r="AC353" t="s">
        <v>2689</v>
      </c>
      <c r="AD353" t="s">
        <v>2689</v>
      </c>
      <c r="AE353" t="s">
        <v>2689</v>
      </c>
      <c r="AF353" t="s">
        <v>2689</v>
      </c>
      <c r="AH353">
        <v>149.94</v>
      </c>
      <c r="AI353" t="s">
        <v>2690</v>
      </c>
      <c r="AJ353" t="s">
        <v>2690</v>
      </c>
      <c r="AK353" t="s">
        <v>2690</v>
      </c>
      <c r="AL353" t="s">
        <v>2690</v>
      </c>
      <c r="AP353">
        <v>149.94</v>
      </c>
      <c r="AR353" s="23">
        <v>0.51413194444444443</v>
      </c>
      <c r="AS353" s="23">
        <v>0.85378472222222224</v>
      </c>
      <c r="AT353" s="23">
        <v>0.52083333333333337</v>
      </c>
      <c r="AU353" s="23">
        <v>0.85416666666666663</v>
      </c>
      <c r="AV353" t="s">
        <v>2565</v>
      </c>
      <c r="AX353">
        <v>230</v>
      </c>
      <c r="AY353">
        <v>0.5</v>
      </c>
      <c r="AZ353" t="s">
        <v>3116</v>
      </c>
      <c r="BA353" t="s">
        <v>2861</v>
      </c>
      <c r="BD353" t="s">
        <v>2572</v>
      </c>
      <c r="BE353" t="s">
        <v>3017</v>
      </c>
      <c r="BG353">
        <v>0</v>
      </c>
      <c r="BH353">
        <v>0</v>
      </c>
      <c r="BJ353">
        <v>0</v>
      </c>
    </row>
    <row r="354" spans="1:62" x14ac:dyDescent="0.2">
      <c r="A354" t="s">
        <v>2462</v>
      </c>
      <c r="B354" t="s">
        <v>2462</v>
      </c>
      <c r="C354">
        <v>100059506</v>
      </c>
      <c r="D354" t="s">
        <v>2737</v>
      </c>
      <c r="E354" t="s">
        <v>2439</v>
      </c>
      <c r="F354" t="s">
        <v>2452</v>
      </c>
      <c r="G354" t="s">
        <v>2453</v>
      </c>
      <c r="H354" s="23">
        <v>0.33333333333333331</v>
      </c>
      <c r="I354" t="s">
        <v>2688</v>
      </c>
      <c r="J354" t="s">
        <v>2568</v>
      </c>
      <c r="K354" t="s">
        <v>2669</v>
      </c>
      <c r="L354" t="s">
        <v>2462</v>
      </c>
      <c r="M354" t="s">
        <v>2570</v>
      </c>
      <c r="N354" s="6">
        <v>46001</v>
      </c>
      <c r="O354" t="s">
        <v>2458</v>
      </c>
      <c r="P354" t="s">
        <v>2445</v>
      </c>
      <c r="Q354" s="23">
        <v>0.32795138888888886</v>
      </c>
      <c r="R354" s="23">
        <v>0.66540509259259262</v>
      </c>
      <c r="S354">
        <v>19.600000000000001</v>
      </c>
      <c r="T354" t="s">
        <v>2443</v>
      </c>
      <c r="U354" t="s">
        <v>2571</v>
      </c>
      <c r="V354">
        <v>7.6</v>
      </c>
      <c r="W354">
        <v>7.6</v>
      </c>
      <c r="X354" t="s">
        <v>2689</v>
      </c>
      <c r="Y354" t="s">
        <v>2689</v>
      </c>
      <c r="Z354" t="s">
        <v>2689</v>
      </c>
      <c r="AA354" t="s">
        <v>2689</v>
      </c>
      <c r="AC354" t="s">
        <v>2689</v>
      </c>
      <c r="AD354" t="s">
        <v>2689</v>
      </c>
      <c r="AE354" t="s">
        <v>2689</v>
      </c>
      <c r="AF354" t="s">
        <v>2689</v>
      </c>
      <c r="AH354">
        <v>148.96</v>
      </c>
      <c r="AI354" t="s">
        <v>2690</v>
      </c>
      <c r="AJ354" t="s">
        <v>2690</v>
      </c>
      <c r="AK354" t="s">
        <v>2690</v>
      </c>
      <c r="AL354" t="s">
        <v>2690</v>
      </c>
      <c r="AP354">
        <v>148.96</v>
      </c>
      <c r="AR354" s="23">
        <v>0.32795138888888886</v>
      </c>
      <c r="AS354" s="23">
        <v>0.66540509259259262</v>
      </c>
      <c r="AT354" s="23">
        <v>0.33333333333333331</v>
      </c>
      <c r="AU354" s="23">
        <v>0.66666666666666663</v>
      </c>
      <c r="AV354" t="s">
        <v>2565</v>
      </c>
      <c r="AX354">
        <v>230</v>
      </c>
      <c r="AY354">
        <v>0.5</v>
      </c>
      <c r="AZ354" t="s">
        <v>3117</v>
      </c>
      <c r="BA354" t="s">
        <v>2759</v>
      </c>
      <c r="BD354" t="s">
        <v>2572</v>
      </c>
      <c r="BE354" t="s">
        <v>3017</v>
      </c>
      <c r="BG354">
        <v>0</v>
      </c>
      <c r="BH354">
        <v>0</v>
      </c>
      <c r="BJ354">
        <v>0</v>
      </c>
    </row>
    <row r="355" spans="1:62" x14ac:dyDescent="0.2">
      <c r="A355" t="s">
        <v>2462</v>
      </c>
      <c r="B355" t="s">
        <v>2462</v>
      </c>
      <c r="C355">
        <v>100059506</v>
      </c>
      <c r="D355" t="s">
        <v>2737</v>
      </c>
      <c r="E355" t="s">
        <v>2439</v>
      </c>
      <c r="F355" t="s">
        <v>2791</v>
      </c>
      <c r="G355" t="s">
        <v>2792</v>
      </c>
      <c r="H355" s="23">
        <v>0.79166666666666663</v>
      </c>
      <c r="I355" t="s">
        <v>2696</v>
      </c>
      <c r="J355" t="s">
        <v>2568</v>
      </c>
      <c r="K355" t="s">
        <v>2610</v>
      </c>
      <c r="L355" t="s">
        <v>2462</v>
      </c>
      <c r="M355" t="s">
        <v>2570</v>
      </c>
      <c r="N355" s="6">
        <v>46002</v>
      </c>
      <c r="O355" t="s">
        <v>2459</v>
      </c>
      <c r="P355" t="s">
        <v>2445</v>
      </c>
      <c r="Q355" s="23">
        <v>0.57692129629629629</v>
      </c>
      <c r="R355" s="23">
        <v>0.99851851851851847</v>
      </c>
      <c r="S355">
        <v>19.600000000000001</v>
      </c>
      <c r="T355" t="s">
        <v>2443</v>
      </c>
      <c r="U355" t="s">
        <v>2571</v>
      </c>
      <c r="V355">
        <v>9.6199999999999992</v>
      </c>
      <c r="W355">
        <v>8</v>
      </c>
      <c r="X355">
        <v>1.62</v>
      </c>
      <c r="Y355" t="s">
        <v>2689</v>
      </c>
      <c r="Z355" t="s">
        <v>2689</v>
      </c>
      <c r="AA355" t="s">
        <v>2689</v>
      </c>
      <c r="AC355" t="s">
        <v>2689</v>
      </c>
      <c r="AD355" t="s">
        <v>2689</v>
      </c>
      <c r="AE355" t="s">
        <v>2689</v>
      </c>
      <c r="AF355" t="s">
        <v>2689</v>
      </c>
      <c r="AH355">
        <v>156.80000000000001</v>
      </c>
      <c r="AI355">
        <v>47.63</v>
      </c>
      <c r="AJ355" t="s">
        <v>2690</v>
      </c>
      <c r="AK355" t="s">
        <v>2690</v>
      </c>
      <c r="AL355" t="s">
        <v>2690</v>
      </c>
      <c r="AP355">
        <v>204.43</v>
      </c>
      <c r="AR355" s="23">
        <v>0.57692129629629629</v>
      </c>
      <c r="AS355" s="23">
        <v>0.99851851851851847</v>
      </c>
      <c r="AT355" s="23">
        <v>0.58333333333333337</v>
      </c>
      <c r="AU355" s="23">
        <v>0.91666666666666663</v>
      </c>
      <c r="AV355" t="s">
        <v>2565</v>
      </c>
      <c r="AX355">
        <v>230</v>
      </c>
      <c r="AY355">
        <v>0.5</v>
      </c>
      <c r="AZ355" t="s">
        <v>3118</v>
      </c>
      <c r="BA355" t="s">
        <v>2759</v>
      </c>
      <c r="BD355" t="s">
        <v>2572</v>
      </c>
      <c r="BE355" t="s">
        <v>3017</v>
      </c>
      <c r="BG355">
        <v>0</v>
      </c>
      <c r="BH355">
        <v>0</v>
      </c>
      <c r="BJ355">
        <v>0</v>
      </c>
    </row>
    <row r="356" spans="1:62" x14ac:dyDescent="0.2">
      <c r="A356" t="s">
        <v>2462</v>
      </c>
      <c r="B356" t="s">
        <v>2462</v>
      </c>
      <c r="C356">
        <v>100059506</v>
      </c>
      <c r="D356" t="s">
        <v>2737</v>
      </c>
      <c r="E356" t="s">
        <v>2439</v>
      </c>
      <c r="F356" t="s">
        <v>2794</v>
      </c>
      <c r="G356" t="s">
        <v>2795</v>
      </c>
      <c r="H356" s="23">
        <v>0.79166666666666663</v>
      </c>
      <c r="I356" t="s">
        <v>2696</v>
      </c>
      <c r="J356" t="s">
        <v>2568</v>
      </c>
      <c r="K356" t="s">
        <v>2668</v>
      </c>
      <c r="L356" t="s">
        <v>2462</v>
      </c>
      <c r="M356" t="s">
        <v>2570</v>
      </c>
      <c r="N356" s="6">
        <v>46003</v>
      </c>
      <c r="O356" t="s">
        <v>2449</v>
      </c>
      <c r="P356" t="s">
        <v>2445</v>
      </c>
      <c r="Q356" s="23">
        <v>0.57649305555555552</v>
      </c>
      <c r="R356" s="23">
        <v>0.95172453703703708</v>
      </c>
      <c r="S356">
        <v>19.600000000000001</v>
      </c>
      <c r="T356" t="s">
        <v>2443</v>
      </c>
      <c r="U356" t="s">
        <v>2571</v>
      </c>
      <c r="V356">
        <v>8.51</v>
      </c>
      <c r="W356">
        <v>8</v>
      </c>
      <c r="X356">
        <v>0.51</v>
      </c>
      <c r="Y356" t="s">
        <v>2689</v>
      </c>
      <c r="Z356" t="s">
        <v>2689</v>
      </c>
      <c r="AA356" t="s">
        <v>2689</v>
      </c>
      <c r="AC356" t="s">
        <v>2689</v>
      </c>
      <c r="AD356" t="s">
        <v>2689</v>
      </c>
      <c r="AE356" t="s">
        <v>2689</v>
      </c>
      <c r="AF356" t="s">
        <v>2689</v>
      </c>
      <c r="AH356">
        <v>156.80000000000001</v>
      </c>
      <c r="AI356">
        <v>14.99</v>
      </c>
      <c r="AJ356" t="s">
        <v>2690</v>
      </c>
      <c r="AK356" t="s">
        <v>2690</v>
      </c>
      <c r="AL356" t="s">
        <v>2690</v>
      </c>
      <c r="AP356">
        <v>171.79</v>
      </c>
      <c r="AR356" s="23">
        <v>0.57649305555555552</v>
      </c>
      <c r="AS356" s="23">
        <v>0.95172453703703708</v>
      </c>
      <c r="AT356" s="23">
        <v>0.58333333333333337</v>
      </c>
      <c r="AU356" s="23">
        <v>0.91666666666666663</v>
      </c>
      <c r="AV356" t="s">
        <v>2565</v>
      </c>
      <c r="AX356">
        <v>230</v>
      </c>
      <c r="AY356">
        <v>0.5</v>
      </c>
      <c r="AZ356" t="s">
        <v>3119</v>
      </c>
      <c r="BA356" t="s">
        <v>2798</v>
      </c>
      <c r="BD356" t="s">
        <v>2572</v>
      </c>
      <c r="BE356" t="s">
        <v>3017</v>
      </c>
      <c r="BG356">
        <v>0</v>
      </c>
      <c r="BH356">
        <v>0</v>
      </c>
      <c r="BJ356">
        <v>0</v>
      </c>
    </row>
    <row r="357" spans="1:62" x14ac:dyDescent="0.2">
      <c r="A357" t="s">
        <v>2462</v>
      </c>
      <c r="B357" t="s">
        <v>2462</v>
      </c>
      <c r="C357">
        <v>100059506</v>
      </c>
      <c r="D357" t="s">
        <v>2737</v>
      </c>
      <c r="E357" t="s">
        <v>2439</v>
      </c>
      <c r="F357" t="s">
        <v>2811</v>
      </c>
      <c r="G357" t="s">
        <v>2812</v>
      </c>
      <c r="H357" s="23">
        <v>0.6875</v>
      </c>
      <c r="I357" t="s">
        <v>2696</v>
      </c>
      <c r="J357" t="s">
        <v>2568</v>
      </c>
      <c r="K357" t="s">
        <v>2611</v>
      </c>
      <c r="L357" t="s">
        <v>2462</v>
      </c>
      <c r="M357" t="s">
        <v>2570</v>
      </c>
      <c r="N357" s="6">
        <v>46005</v>
      </c>
      <c r="O357" t="s">
        <v>2461</v>
      </c>
      <c r="P357" t="s">
        <v>2442</v>
      </c>
      <c r="Q357" s="23">
        <v>0.53502314814814811</v>
      </c>
      <c r="R357" s="23">
        <v>0.8445138888888889</v>
      </c>
      <c r="S357">
        <v>19.600000000000001</v>
      </c>
      <c r="T357" t="s">
        <v>2443</v>
      </c>
      <c r="U357" t="s">
        <v>2571</v>
      </c>
      <c r="V357">
        <v>6.93</v>
      </c>
      <c r="W357">
        <v>6.93</v>
      </c>
      <c r="X357" t="s">
        <v>2689</v>
      </c>
      <c r="Y357" t="s">
        <v>2689</v>
      </c>
      <c r="Z357" t="s">
        <v>2689</v>
      </c>
      <c r="AA357" t="s">
        <v>2689</v>
      </c>
      <c r="AC357" t="s">
        <v>2689</v>
      </c>
      <c r="AD357" t="s">
        <v>2689</v>
      </c>
      <c r="AE357" t="s">
        <v>2689</v>
      </c>
      <c r="AF357" t="s">
        <v>2689</v>
      </c>
      <c r="AH357">
        <v>135.83000000000001</v>
      </c>
      <c r="AI357" t="s">
        <v>2690</v>
      </c>
      <c r="AJ357" t="s">
        <v>2690</v>
      </c>
      <c r="AK357" t="s">
        <v>2690</v>
      </c>
      <c r="AL357" t="s">
        <v>2690</v>
      </c>
      <c r="AP357">
        <v>135.83000000000001</v>
      </c>
      <c r="AR357" s="23">
        <v>0.53502314814814811</v>
      </c>
      <c r="AS357" s="23">
        <v>0.8445138888888889</v>
      </c>
      <c r="AT357" s="23">
        <v>0.54166666666666663</v>
      </c>
      <c r="AU357" s="23">
        <v>0.875</v>
      </c>
      <c r="AV357" t="s">
        <v>2565</v>
      </c>
      <c r="AX357">
        <v>230</v>
      </c>
      <c r="AY357">
        <v>0.5</v>
      </c>
      <c r="AZ357" t="s">
        <v>3120</v>
      </c>
      <c r="BA357" t="s">
        <v>2798</v>
      </c>
      <c r="BD357" t="s">
        <v>2572</v>
      </c>
      <c r="BE357" t="s">
        <v>3017</v>
      </c>
      <c r="BG357">
        <v>0</v>
      </c>
      <c r="BH357">
        <v>0</v>
      </c>
      <c r="BJ357">
        <v>0</v>
      </c>
    </row>
    <row r="358" spans="1:62" x14ac:dyDescent="0.2">
      <c r="A358" t="s">
        <v>2462</v>
      </c>
      <c r="B358" t="s">
        <v>2462</v>
      </c>
      <c r="C358">
        <v>100059506</v>
      </c>
      <c r="D358" t="s">
        <v>2737</v>
      </c>
      <c r="E358" t="s">
        <v>2439</v>
      </c>
      <c r="F358" t="s">
        <v>2814</v>
      </c>
      <c r="G358" t="s">
        <v>2815</v>
      </c>
      <c r="H358" s="23">
        <v>0.47916666666666669</v>
      </c>
      <c r="I358" t="s">
        <v>2696</v>
      </c>
      <c r="J358" t="s">
        <v>2583</v>
      </c>
      <c r="K358" t="s">
        <v>2606</v>
      </c>
      <c r="L358" t="s">
        <v>2462</v>
      </c>
      <c r="M358" t="s">
        <v>2567</v>
      </c>
      <c r="N358" s="6">
        <v>46006</v>
      </c>
      <c r="O358" t="s">
        <v>2455</v>
      </c>
      <c r="P358" t="s">
        <v>2445</v>
      </c>
      <c r="Q358" s="23">
        <v>0.28528935185185184</v>
      </c>
      <c r="R358" s="23">
        <v>0.50011574074074072</v>
      </c>
      <c r="S358">
        <v>19.600000000000001</v>
      </c>
      <c r="T358" t="s">
        <v>2443</v>
      </c>
      <c r="U358" t="s">
        <v>2571</v>
      </c>
      <c r="V358">
        <v>5.16</v>
      </c>
      <c r="W358">
        <v>5.16</v>
      </c>
      <c r="X358" t="s">
        <v>2689</v>
      </c>
      <c r="Y358" t="s">
        <v>2689</v>
      </c>
      <c r="Z358" t="s">
        <v>2689</v>
      </c>
      <c r="AA358" t="s">
        <v>2689</v>
      </c>
      <c r="AC358" t="s">
        <v>2689</v>
      </c>
      <c r="AD358" t="s">
        <v>2689</v>
      </c>
      <c r="AE358" t="s">
        <v>2689</v>
      </c>
      <c r="AF358" t="s">
        <v>2689</v>
      </c>
      <c r="AH358">
        <v>101.14</v>
      </c>
      <c r="AI358" t="s">
        <v>2690</v>
      </c>
      <c r="AJ358" t="s">
        <v>2690</v>
      </c>
      <c r="AK358" t="s">
        <v>2690</v>
      </c>
      <c r="AL358" t="s">
        <v>2690</v>
      </c>
      <c r="AP358">
        <v>101.14</v>
      </c>
      <c r="AR358" s="23">
        <v>0.28528935185185184</v>
      </c>
      <c r="AS358" s="23">
        <v>0.50011574074074072</v>
      </c>
      <c r="AT358" s="23">
        <v>0.29166666666666669</v>
      </c>
      <c r="AU358" s="23">
        <v>0.625</v>
      </c>
      <c r="AV358" t="s">
        <v>2565</v>
      </c>
      <c r="AX358">
        <v>100</v>
      </c>
      <c r="BA358" t="s">
        <v>2769</v>
      </c>
      <c r="BD358" t="s">
        <v>2572</v>
      </c>
      <c r="BE358" t="s">
        <v>3017</v>
      </c>
      <c r="BG358">
        <v>0</v>
      </c>
      <c r="BH358">
        <v>0</v>
      </c>
      <c r="BJ358">
        <v>0</v>
      </c>
    </row>
    <row r="359" spans="1:62" x14ac:dyDescent="0.2">
      <c r="A359" t="s">
        <v>2462</v>
      </c>
      <c r="B359" t="s">
        <v>2462</v>
      </c>
      <c r="C359">
        <v>100063862</v>
      </c>
      <c r="D359" t="s">
        <v>3121</v>
      </c>
      <c r="E359" t="s">
        <v>2439</v>
      </c>
      <c r="F359" t="s">
        <v>2786</v>
      </c>
      <c r="G359" t="s">
        <v>2787</v>
      </c>
      <c r="H359" s="23">
        <v>0.66666666666666663</v>
      </c>
      <c r="I359" t="s">
        <v>2696</v>
      </c>
      <c r="J359" t="s">
        <v>2594</v>
      </c>
      <c r="K359" t="s">
        <v>2599</v>
      </c>
      <c r="L359" t="s">
        <v>2462</v>
      </c>
      <c r="M359" t="s">
        <v>2596</v>
      </c>
      <c r="N359" s="6">
        <v>45999</v>
      </c>
      <c r="O359" t="s">
        <v>2455</v>
      </c>
      <c r="P359" t="s">
        <v>2445</v>
      </c>
      <c r="Q359" s="23">
        <v>0.41788194444444443</v>
      </c>
      <c r="R359" s="23">
        <v>0.73162037037037042</v>
      </c>
      <c r="S359">
        <v>18.600000000000001</v>
      </c>
      <c r="T359" t="s">
        <v>2443</v>
      </c>
      <c r="U359" t="s">
        <v>2597</v>
      </c>
      <c r="V359">
        <v>7.03</v>
      </c>
      <c r="W359">
        <v>7.03</v>
      </c>
      <c r="X359" t="s">
        <v>2689</v>
      </c>
      <c r="Y359" t="s">
        <v>2689</v>
      </c>
      <c r="Z359" t="s">
        <v>2689</v>
      </c>
      <c r="AA359" t="s">
        <v>2689</v>
      </c>
      <c r="AC359" t="s">
        <v>2689</v>
      </c>
      <c r="AD359" t="s">
        <v>2689</v>
      </c>
      <c r="AE359" t="s">
        <v>2689</v>
      </c>
      <c r="AF359" t="s">
        <v>2689</v>
      </c>
      <c r="AH359">
        <v>130.76</v>
      </c>
      <c r="AI359" t="s">
        <v>2690</v>
      </c>
      <c r="AJ359" t="s">
        <v>2690</v>
      </c>
      <c r="AK359" t="s">
        <v>2690</v>
      </c>
      <c r="AL359" t="s">
        <v>2690</v>
      </c>
      <c r="AP359">
        <v>130.76</v>
      </c>
      <c r="AR359" s="23">
        <v>0.41788194444444443</v>
      </c>
      <c r="AS359" s="23">
        <v>0.73162037037037042</v>
      </c>
      <c r="AT359" s="23">
        <v>0.41666666666666669</v>
      </c>
      <c r="AU359" s="23">
        <v>0.75</v>
      </c>
      <c r="AV359" t="s">
        <v>2565</v>
      </c>
      <c r="AX359">
        <v>220</v>
      </c>
      <c r="AY359">
        <v>0.5</v>
      </c>
      <c r="AZ359" t="s">
        <v>3122</v>
      </c>
      <c r="BA359" t="s">
        <v>2861</v>
      </c>
      <c r="BD359" t="s">
        <v>2598</v>
      </c>
      <c r="BE359" t="s">
        <v>3079</v>
      </c>
      <c r="BG359">
        <v>0</v>
      </c>
      <c r="BH359">
        <v>0</v>
      </c>
      <c r="BJ359">
        <v>0</v>
      </c>
    </row>
    <row r="360" spans="1:62" x14ac:dyDescent="0.2">
      <c r="A360" t="s">
        <v>2462</v>
      </c>
      <c r="B360" t="s">
        <v>2462</v>
      </c>
      <c r="C360">
        <v>100063862</v>
      </c>
      <c r="D360" t="s">
        <v>3121</v>
      </c>
      <c r="E360" t="s">
        <v>2439</v>
      </c>
      <c r="F360" t="s">
        <v>2452</v>
      </c>
      <c r="G360" t="s">
        <v>2453</v>
      </c>
      <c r="H360" s="23">
        <v>0.33333333333333331</v>
      </c>
      <c r="I360" t="s">
        <v>2688</v>
      </c>
      <c r="J360" t="s">
        <v>2594</v>
      </c>
      <c r="K360" t="s">
        <v>2599</v>
      </c>
      <c r="L360" t="s">
        <v>2462</v>
      </c>
      <c r="M360" t="s">
        <v>2596</v>
      </c>
      <c r="N360" s="6">
        <v>46001</v>
      </c>
      <c r="O360" t="s">
        <v>2458</v>
      </c>
      <c r="P360" t="s">
        <v>2445</v>
      </c>
      <c r="Q360" s="23">
        <v>0.32672453703703702</v>
      </c>
      <c r="R360" s="23">
        <v>0.66210648148148143</v>
      </c>
      <c r="S360">
        <v>18.600000000000001</v>
      </c>
      <c r="T360" t="s">
        <v>2443</v>
      </c>
      <c r="U360" t="s">
        <v>2597</v>
      </c>
      <c r="V360">
        <v>7.55</v>
      </c>
      <c r="W360">
        <v>7.55</v>
      </c>
      <c r="X360" t="s">
        <v>2689</v>
      </c>
      <c r="Y360" t="s">
        <v>2689</v>
      </c>
      <c r="Z360" t="s">
        <v>2689</v>
      </c>
      <c r="AA360" t="s">
        <v>2689</v>
      </c>
      <c r="AC360" t="s">
        <v>2689</v>
      </c>
      <c r="AD360" t="s">
        <v>2689</v>
      </c>
      <c r="AE360" t="s">
        <v>2689</v>
      </c>
      <c r="AF360" t="s">
        <v>2689</v>
      </c>
      <c r="AH360">
        <v>140.43</v>
      </c>
      <c r="AI360" t="s">
        <v>2690</v>
      </c>
      <c r="AJ360" t="s">
        <v>2690</v>
      </c>
      <c r="AK360" t="s">
        <v>2690</v>
      </c>
      <c r="AL360" t="s">
        <v>2690</v>
      </c>
      <c r="AP360">
        <v>140.43</v>
      </c>
      <c r="AR360" s="23">
        <v>0.32672453703703702</v>
      </c>
      <c r="AS360" s="23">
        <v>0.66210648148148143</v>
      </c>
      <c r="AT360" s="23">
        <v>0.33333333333333331</v>
      </c>
      <c r="AU360" s="23">
        <v>0.66666666666666663</v>
      </c>
      <c r="AV360" t="s">
        <v>2565</v>
      </c>
      <c r="AX360">
        <v>220</v>
      </c>
      <c r="AY360">
        <v>0.5</v>
      </c>
      <c r="AZ360" t="s">
        <v>3123</v>
      </c>
      <c r="BA360" t="s">
        <v>2759</v>
      </c>
      <c r="BD360" t="s">
        <v>2598</v>
      </c>
      <c r="BE360" t="s">
        <v>3079</v>
      </c>
      <c r="BG360">
        <v>0</v>
      </c>
      <c r="BH360">
        <v>0</v>
      </c>
      <c r="BJ360">
        <v>0</v>
      </c>
    </row>
    <row r="361" spans="1:62" x14ac:dyDescent="0.2">
      <c r="A361" t="s">
        <v>2462</v>
      </c>
      <c r="B361" t="s">
        <v>2462</v>
      </c>
      <c r="C361">
        <v>100063862</v>
      </c>
      <c r="D361" t="s">
        <v>3121</v>
      </c>
      <c r="E361" t="s">
        <v>2439</v>
      </c>
      <c r="F361" t="s">
        <v>2791</v>
      </c>
      <c r="G361" t="s">
        <v>2792</v>
      </c>
      <c r="H361" s="23">
        <v>0.79166666666666663</v>
      </c>
      <c r="I361" t="s">
        <v>2696</v>
      </c>
      <c r="J361" t="s">
        <v>2594</v>
      </c>
      <c r="K361" t="s">
        <v>2599</v>
      </c>
      <c r="L361" t="s">
        <v>2462</v>
      </c>
      <c r="M361" t="s">
        <v>2596</v>
      </c>
      <c r="N361" s="6">
        <v>46002</v>
      </c>
      <c r="O361" t="s">
        <v>2459</v>
      </c>
      <c r="P361" t="s">
        <v>2445</v>
      </c>
      <c r="Q361" s="23">
        <v>0.57754629629629628</v>
      </c>
      <c r="R361" s="23">
        <v>0.91506944444444449</v>
      </c>
      <c r="S361">
        <v>18.600000000000001</v>
      </c>
      <c r="T361" t="s">
        <v>2443</v>
      </c>
      <c r="U361" t="s">
        <v>2597</v>
      </c>
      <c r="V361">
        <v>7.6</v>
      </c>
      <c r="W361">
        <v>7.6</v>
      </c>
      <c r="X361" t="s">
        <v>2689</v>
      </c>
      <c r="Y361" t="s">
        <v>2689</v>
      </c>
      <c r="Z361" t="s">
        <v>2689</v>
      </c>
      <c r="AA361" t="s">
        <v>2689</v>
      </c>
      <c r="AC361" t="s">
        <v>2689</v>
      </c>
      <c r="AD361" t="s">
        <v>2689</v>
      </c>
      <c r="AE361" t="s">
        <v>2689</v>
      </c>
      <c r="AF361" t="s">
        <v>2689</v>
      </c>
      <c r="AH361">
        <v>141.36000000000001</v>
      </c>
      <c r="AI361" t="s">
        <v>2690</v>
      </c>
      <c r="AJ361" t="s">
        <v>2690</v>
      </c>
      <c r="AK361" t="s">
        <v>2690</v>
      </c>
      <c r="AL361" t="s">
        <v>2690</v>
      </c>
      <c r="AP361">
        <v>141.36000000000001</v>
      </c>
      <c r="AR361" s="23">
        <v>0.57754629629629628</v>
      </c>
      <c r="AS361" s="23">
        <v>0.91506944444444449</v>
      </c>
      <c r="AT361" s="23">
        <v>0.58333333333333337</v>
      </c>
      <c r="AU361" s="23">
        <v>0.91666666666666663</v>
      </c>
      <c r="AV361" t="s">
        <v>2565</v>
      </c>
      <c r="AX361">
        <v>220</v>
      </c>
      <c r="AY361">
        <v>0.5</v>
      </c>
      <c r="AZ361" t="s">
        <v>3124</v>
      </c>
      <c r="BA361" t="s">
        <v>2759</v>
      </c>
      <c r="BD361" t="s">
        <v>2598</v>
      </c>
      <c r="BE361" t="s">
        <v>3079</v>
      </c>
      <c r="BG361">
        <v>0</v>
      </c>
      <c r="BH361">
        <v>0</v>
      </c>
      <c r="BJ361">
        <v>0</v>
      </c>
    </row>
    <row r="362" spans="1:62" x14ac:dyDescent="0.2">
      <c r="A362" t="s">
        <v>2462</v>
      </c>
      <c r="B362" t="s">
        <v>2462</v>
      </c>
      <c r="C362">
        <v>100063862</v>
      </c>
      <c r="D362" t="s">
        <v>3121</v>
      </c>
      <c r="E362" t="s">
        <v>2439</v>
      </c>
      <c r="F362" t="s">
        <v>2794</v>
      </c>
      <c r="G362" t="s">
        <v>2795</v>
      </c>
      <c r="H362" s="23">
        <v>0.79166666666666663</v>
      </c>
      <c r="I362" t="s">
        <v>2696</v>
      </c>
      <c r="J362" t="s">
        <v>2594</v>
      </c>
      <c r="K362" t="s">
        <v>2599</v>
      </c>
      <c r="L362" t="s">
        <v>2462</v>
      </c>
      <c r="M362" t="s">
        <v>2596</v>
      </c>
      <c r="N362" s="6">
        <v>46003</v>
      </c>
      <c r="O362" t="s">
        <v>2449</v>
      </c>
      <c r="P362" t="s">
        <v>2445</v>
      </c>
      <c r="Q362" s="23">
        <v>0.57761574074074074</v>
      </c>
      <c r="R362" s="23">
        <v>0.82895833333333335</v>
      </c>
      <c r="S362">
        <v>18.600000000000001</v>
      </c>
      <c r="T362" t="s">
        <v>2443</v>
      </c>
      <c r="U362" t="s">
        <v>2597</v>
      </c>
      <c r="V362">
        <v>5.53</v>
      </c>
      <c r="W362">
        <v>5.53</v>
      </c>
      <c r="X362" t="s">
        <v>2689</v>
      </c>
      <c r="Y362" t="s">
        <v>2689</v>
      </c>
      <c r="Z362" t="s">
        <v>2689</v>
      </c>
      <c r="AA362" t="s">
        <v>2689</v>
      </c>
      <c r="AC362" t="s">
        <v>2689</v>
      </c>
      <c r="AD362" t="s">
        <v>2689</v>
      </c>
      <c r="AE362" t="s">
        <v>2689</v>
      </c>
      <c r="AF362" t="s">
        <v>2689</v>
      </c>
      <c r="AH362">
        <v>102.86</v>
      </c>
      <c r="AI362" t="s">
        <v>2690</v>
      </c>
      <c r="AJ362" t="s">
        <v>2690</v>
      </c>
      <c r="AK362" t="s">
        <v>2690</v>
      </c>
      <c r="AL362" t="s">
        <v>2690</v>
      </c>
      <c r="AP362">
        <v>102.86</v>
      </c>
      <c r="AR362" s="23">
        <v>0.57761574074074074</v>
      </c>
      <c r="AS362" s="23">
        <v>0.82895833333333335</v>
      </c>
      <c r="AT362" s="23">
        <v>0.58333333333333337</v>
      </c>
      <c r="AU362" s="23">
        <v>0.91666666666666663</v>
      </c>
      <c r="AV362" t="s">
        <v>2565</v>
      </c>
      <c r="AX362">
        <v>220</v>
      </c>
      <c r="AY362">
        <v>0.5</v>
      </c>
      <c r="AZ362" t="s">
        <v>3125</v>
      </c>
      <c r="BA362" t="s">
        <v>2798</v>
      </c>
      <c r="BD362" t="s">
        <v>2598</v>
      </c>
      <c r="BE362" t="s">
        <v>3079</v>
      </c>
      <c r="BG362">
        <v>0</v>
      </c>
      <c r="BH362">
        <v>0</v>
      </c>
      <c r="BJ362">
        <v>0</v>
      </c>
    </row>
    <row r="363" spans="1:62" x14ac:dyDescent="0.2">
      <c r="A363" t="s">
        <v>2462</v>
      </c>
      <c r="B363" t="s">
        <v>2462</v>
      </c>
      <c r="C363">
        <v>100067161</v>
      </c>
      <c r="D363" t="s">
        <v>2608</v>
      </c>
      <c r="E363" t="s">
        <v>2439</v>
      </c>
      <c r="F363" t="s">
        <v>2452</v>
      </c>
      <c r="G363" t="s">
        <v>2453</v>
      </c>
      <c r="H363" s="23">
        <v>0.33333333333333331</v>
      </c>
      <c r="I363" t="s">
        <v>2688</v>
      </c>
      <c r="J363" t="s">
        <v>2568</v>
      </c>
      <c r="K363" t="s">
        <v>2668</v>
      </c>
      <c r="L363" t="s">
        <v>2462</v>
      </c>
      <c r="M363" t="s">
        <v>2570</v>
      </c>
      <c r="N363" s="6">
        <v>45992</v>
      </c>
      <c r="O363" t="s">
        <v>2455</v>
      </c>
      <c r="P363" t="s">
        <v>2445</v>
      </c>
      <c r="Q363" s="23">
        <v>0.32761574074074074</v>
      </c>
      <c r="R363" s="23">
        <v>0.66675925925925927</v>
      </c>
      <c r="S363">
        <v>19.600000000000001</v>
      </c>
      <c r="T363" t="s">
        <v>2443</v>
      </c>
      <c r="U363" t="s">
        <v>2571</v>
      </c>
      <c r="V363">
        <v>7.64</v>
      </c>
      <c r="W363">
        <v>7.64</v>
      </c>
      <c r="X363" t="s">
        <v>2689</v>
      </c>
      <c r="Y363" t="s">
        <v>2689</v>
      </c>
      <c r="Z363" t="s">
        <v>2689</v>
      </c>
      <c r="AA363" t="s">
        <v>2689</v>
      </c>
      <c r="AC363" t="s">
        <v>2689</v>
      </c>
      <c r="AD363" t="s">
        <v>2689</v>
      </c>
      <c r="AE363" t="s">
        <v>2689</v>
      </c>
      <c r="AF363" t="s">
        <v>2689</v>
      </c>
      <c r="AH363">
        <v>149.74</v>
      </c>
      <c r="AI363" t="s">
        <v>2690</v>
      </c>
      <c r="AJ363" t="s">
        <v>2690</v>
      </c>
      <c r="AK363" t="s">
        <v>2690</v>
      </c>
      <c r="AL363" t="s">
        <v>2690</v>
      </c>
      <c r="AP363">
        <v>149.74</v>
      </c>
      <c r="AR363" s="23">
        <v>0.32761574074074074</v>
      </c>
      <c r="AS363" s="23">
        <v>0.66675925925925927</v>
      </c>
      <c r="AT363" s="23">
        <v>0.33333333333333331</v>
      </c>
      <c r="AU363" s="23">
        <v>0.6875</v>
      </c>
      <c r="AV363" t="s">
        <v>2565</v>
      </c>
      <c r="AX363">
        <v>230</v>
      </c>
      <c r="AY363">
        <v>0.5</v>
      </c>
      <c r="AZ363" t="s">
        <v>3126</v>
      </c>
      <c r="BA363" t="s">
        <v>2692</v>
      </c>
      <c r="BD363" t="s">
        <v>2572</v>
      </c>
      <c r="BE363" t="s">
        <v>3017</v>
      </c>
      <c r="BG363">
        <v>0</v>
      </c>
      <c r="BH363">
        <v>0</v>
      </c>
      <c r="BJ363">
        <v>0</v>
      </c>
    </row>
    <row r="364" spans="1:62" x14ac:dyDescent="0.2">
      <c r="A364" t="s">
        <v>2462</v>
      </c>
      <c r="B364" t="s">
        <v>2462</v>
      </c>
      <c r="C364">
        <v>100067161</v>
      </c>
      <c r="D364" t="s">
        <v>2608</v>
      </c>
      <c r="E364" t="s">
        <v>2439</v>
      </c>
      <c r="F364" t="s">
        <v>2800</v>
      </c>
      <c r="G364" t="s">
        <v>2801</v>
      </c>
      <c r="H364" s="23">
        <v>0.66666666666666663</v>
      </c>
      <c r="I364" t="s">
        <v>2696</v>
      </c>
      <c r="J364" t="s">
        <v>2568</v>
      </c>
      <c r="K364" t="s">
        <v>2668</v>
      </c>
      <c r="L364" t="s">
        <v>2462</v>
      </c>
      <c r="M364" t="s">
        <v>2570</v>
      </c>
      <c r="N364" s="6">
        <v>45993</v>
      </c>
      <c r="O364" t="s">
        <v>2457</v>
      </c>
      <c r="P364" t="s">
        <v>2445</v>
      </c>
      <c r="Q364" s="23">
        <v>0.32810185185185187</v>
      </c>
      <c r="R364" s="23">
        <v>0.5735069444444445</v>
      </c>
      <c r="S364">
        <v>19.600000000000001</v>
      </c>
      <c r="T364" t="s">
        <v>2443</v>
      </c>
      <c r="U364" t="s">
        <v>2571</v>
      </c>
      <c r="V364">
        <v>5.89</v>
      </c>
      <c r="W364">
        <v>5.89</v>
      </c>
      <c r="X364" t="s">
        <v>2689</v>
      </c>
      <c r="Y364" t="s">
        <v>2689</v>
      </c>
      <c r="Z364" t="s">
        <v>2689</v>
      </c>
      <c r="AA364" t="s">
        <v>2689</v>
      </c>
      <c r="AC364" t="s">
        <v>2689</v>
      </c>
      <c r="AD364" t="s">
        <v>2689</v>
      </c>
      <c r="AE364" t="s">
        <v>2689</v>
      </c>
      <c r="AF364" t="s">
        <v>2689</v>
      </c>
      <c r="AH364">
        <v>115.44</v>
      </c>
      <c r="AI364" t="s">
        <v>2690</v>
      </c>
      <c r="AJ364" t="s">
        <v>2690</v>
      </c>
      <c r="AK364" t="s">
        <v>2690</v>
      </c>
      <c r="AL364" t="s">
        <v>2690</v>
      </c>
      <c r="AP364">
        <v>115.44</v>
      </c>
      <c r="AR364" s="23">
        <v>0.32810185185185187</v>
      </c>
      <c r="AS364" s="23">
        <v>0.5735069444444445</v>
      </c>
      <c r="AT364" s="23">
        <v>0.33333333333333331</v>
      </c>
      <c r="AU364" s="23">
        <v>0.66666666666666663</v>
      </c>
      <c r="AV364" t="s">
        <v>2565</v>
      </c>
      <c r="AX364">
        <v>230</v>
      </c>
      <c r="BA364" t="s">
        <v>2752</v>
      </c>
      <c r="BD364" t="s">
        <v>2572</v>
      </c>
      <c r="BE364" t="s">
        <v>3017</v>
      </c>
      <c r="BG364">
        <v>0</v>
      </c>
      <c r="BH364">
        <v>0</v>
      </c>
      <c r="BJ364">
        <v>0</v>
      </c>
    </row>
    <row r="365" spans="1:62" x14ac:dyDescent="0.2">
      <c r="A365" t="s">
        <v>2462</v>
      </c>
      <c r="B365" t="s">
        <v>2462</v>
      </c>
      <c r="C365">
        <v>100067161</v>
      </c>
      <c r="D365" t="s">
        <v>2608</v>
      </c>
      <c r="E365" t="s">
        <v>2439</v>
      </c>
      <c r="F365" t="s">
        <v>2782</v>
      </c>
      <c r="G365" t="s">
        <v>2783</v>
      </c>
      <c r="H365" s="23">
        <v>0.70833333333333337</v>
      </c>
      <c r="I365" t="s">
        <v>2696</v>
      </c>
      <c r="J365" t="s">
        <v>2568</v>
      </c>
      <c r="K365" t="s">
        <v>2668</v>
      </c>
      <c r="L365" t="s">
        <v>2462</v>
      </c>
      <c r="M365" t="s">
        <v>2570</v>
      </c>
      <c r="N365" s="6">
        <v>45994</v>
      </c>
      <c r="O365" t="s">
        <v>2458</v>
      </c>
      <c r="P365" t="s">
        <v>2445</v>
      </c>
      <c r="Q365" s="23">
        <v>0.51554398148148151</v>
      </c>
      <c r="R365" s="23">
        <v>0.85123842592592591</v>
      </c>
      <c r="S365">
        <v>19.600000000000001</v>
      </c>
      <c r="T365" t="s">
        <v>2443</v>
      </c>
      <c r="U365" t="s">
        <v>2571</v>
      </c>
      <c r="V365">
        <v>7.56</v>
      </c>
      <c r="W365">
        <v>7.56</v>
      </c>
      <c r="X365" t="s">
        <v>2689</v>
      </c>
      <c r="Y365" t="s">
        <v>2689</v>
      </c>
      <c r="Z365" t="s">
        <v>2689</v>
      </c>
      <c r="AA365" t="s">
        <v>2689</v>
      </c>
      <c r="AC365" t="s">
        <v>2689</v>
      </c>
      <c r="AD365" t="s">
        <v>2689</v>
      </c>
      <c r="AE365" t="s">
        <v>2689</v>
      </c>
      <c r="AF365" t="s">
        <v>2689</v>
      </c>
      <c r="AH365">
        <v>148.18</v>
      </c>
      <c r="AI365" t="s">
        <v>2690</v>
      </c>
      <c r="AJ365" t="s">
        <v>2690</v>
      </c>
      <c r="AK365" t="s">
        <v>2690</v>
      </c>
      <c r="AL365" t="s">
        <v>2690</v>
      </c>
      <c r="AP365">
        <v>148.18</v>
      </c>
      <c r="AR365" s="23">
        <v>0.51554398148148151</v>
      </c>
      <c r="AS365" s="23">
        <v>0.85123842592592591</v>
      </c>
      <c r="AT365" s="23">
        <v>0.52083333333333337</v>
      </c>
      <c r="AU365" s="23">
        <v>0.85416666666666663</v>
      </c>
      <c r="AV365" t="s">
        <v>2565</v>
      </c>
      <c r="AX365">
        <v>230</v>
      </c>
      <c r="AY365">
        <v>0.5</v>
      </c>
      <c r="AZ365" t="s">
        <v>3127</v>
      </c>
      <c r="BA365" t="s">
        <v>2754</v>
      </c>
      <c r="BD365" t="s">
        <v>2572</v>
      </c>
      <c r="BE365" t="s">
        <v>3017</v>
      </c>
      <c r="BG365">
        <v>0</v>
      </c>
      <c r="BH365">
        <v>0</v>
      </c>
      <c r="BJ365">
        <v>0</v>
      </c>
    </row>
    <row r="366" spans="1:62" x14ac:dyDescent="0.2">
      <c r="A366" t="s">
        <v>2462</v>
      </c>
      <c r="B366" t="s">
        <v>2462</v>
      </c>
      <c r="C366">
        <v>100067161</v>
      </c>
      <c r="D366" t="s">
        <v>2608</v>
      </c>
      <c r="E366" t="s">
        <v>2439</v>
      </c>
      <c r="F366" t="s">
        <v>2804</v>
      </c>
      <c r="G366" t="s">
        <v>2805</v>
      </c>
      <c r="H366" s="23">
        <v>0.70833333333333337</v>
      </c>
      <c r="I366" t="s">
        <v>2696</v>
      </c>
      <c r="J366" t="s">
        <v>2568</v>
      </c>
      <c r="K366" t="s">
        <v>2668</v>
      </c>
      <c r="L366" t="s">
        <v>2462</v>
      </c>
      <c r="M366" t="s">
        <v>2570</v>
      </c>
      <c r="N366" s="6">
        <v>45995</v>
      </c>
      <c r="O366" t="s">
        <v>2459</v>
      </c>
      <c r="P366" t="s">
        <v>2445</v>
      </c>
      <c r="Q366" s="23">
        <v>0.51412037037037039</v>
      </c>
      <c r="R366" s="23">
        <v>0.81320601851851848</v>
      </c>
      <c r="S366">
        <v>19.600000000000001</v>
      </c>
      <c r="T366" t="s">
        <v>2443</v>
      </c>
      <c r="U366" t="s">
        <v>2571</v>
      </c>
      <c r="V366">
        <v>6.68</v>
      </c>
      <c r="W366">
        <v>6.68</v>
      </c>
      <c r="X366" t="s">
        <v>2689</v>
      </c>
      <c r="Y366" t="s">
        <v>2689</v>
      </c>
      <c r="Z366" t="s">
        <v>2689</v>
      </c>
      <c r="AA366" t="s">
        <v>2689</v>
      </c>
      <c r="AC366" t="s">
        <v>2689</v>
      </c>
      <c r="AD366" t="s">
        <v>2689</v>
      </c>
      <c r="AE366" t="s">
        <v>2689</v>
      </c>
      <c r="AF366" t="s">
        <v>2689</v>
      </c>
      <c r="AH366">
        <v>130.93</v>
      </c>
      <c r="AI366" t="s">
        <v>2690</v>
      </c>
      <c r="AJ366" t="s">
        <v>2690</v>
      </c>
      <c r="AK366" t="s">
        <v>2690</v>
      </c>
      <c r="AL366" t="s">
        <v>2690</v>
      </c>
      <c r="AP366">
        <v>130.93</v>
      </c>
      <c r="AR366" s="23">
        <v>0.51412037037037039</v>
      </c>
      <c r="AS366" s="23">
        <v>0.81320601851851848</v>
      </c>
      <c r="AT366" s="23">
        <v>0.52083333333333337</v>
      </c>
      <c r="AU366" s="23">
        <v>0.85416666666666663</v>
      </c>
      <c r="AV366" t="s">
        <v>2565</v>
      </c>
      <c r="AX366">
        <v>230</v>
      </c>
      <c r="AY366">
        <v>0.5</v>
      </c>
      <c r="AZ366" t="s">
        <v>3128</v>
      </c>
      <c r="BA366" t="s">
        <v>2754</v>
      </c>
      <c r="BD366" t="s">
        <v>2572</v>
      </c>
      <c r="BE366" t="s">
        <v>3017</v>
      </c>
      <c r="BG366">
        <v>0</v>
      </c>
      <c r="BH366">
        <v>0</v>
      </c>
      <c r="BJ366">
        <v>0</v>
      </c>
    </row>
    <row r="367" spans="1:62" x14ac:dyDescent="0.2">
      <c r="A367" t="s">
        <v>2462</v>
      </c>
      <c r="B367" t="s">
        <v>2462</v>
      </c>
      <c r="C367">
        <v>100067161</v>
      </c>
      <c r="D367" t="s">
        <v>2608</v>
      </c>
      <c r="E367" t="s">
        <v>2439</v>
      </c>
      <c r="F367" t="s">
        <v>2452</v>
      </c>
      <c r="G367" t="s">
        <v>2453</v>
      </c>
      <c r="H367" s="23">
        <v>0.33333333333333331</v>
      </c>
      <c r="I367" t="s">
        <v>2688</v>
      </c>
      <c r="J367" t="s">
        <v>2568</v>
      </c>
      <c r="K367" t="s">
        <v>2609</v>
      </c>
      <c r="L367" t="s">
        <v>2462</v>
      </c>
      <c r="M367" t="s">
        <v>2570</v>
      </c>
      <c r="N367" s="6">
        <v>45996</v>
      </c>
      <c r="O367" t="s">
        <v>2449</v>
      </c>
      <c r="P367" t="s">
        <v>2445</v>
      </c>
      <c r="Q367" s="23">
        <v>0.33340277777777777</v>
      </c>
      <c r="R367" s="23">
        <v>0.54193287037037041</v>
      </c>
      <c r="S367">
        <v>19.600000000000001</v>
      </c>
      <c r="T367" t="s">
        <v>2443</v>
      </c>
      <c r="U367" t="s">
        <v>2571</v>
      </c>
      <c r="V367">
        <v>5</v>
      </c>
      <c r="W367">
        <v>5</v>
      </c>
      <c r="X367" t="s">
        <v>2689</v>
      </c>
      <c r="Y367" t="s">
        <v>2689</v>
      </c>
      <c r="Z367" t="s">
        <v>2689</v>
      </c>
      <c r="AA367" t="s">
        <v>2689</v>
      </c>
      <c r="AC367" t="s">
        <v>2689</v>
      </c>
      <c r="AD367" t="s">
        <v>2689</v>
      </c>
      <c r="AE367" t="s">
        <v>2689</v>
      </c>
      <c r="AF367" t="s">
        <v>2689</v>
      </c>
      <c r="AH367">
        <v>98</v>
      </c>
      <c r="AI367" t="s">
        <v>2690</v>
      </c>
      <c r="AJ367" t="s">
        <v>2690</v>
      </c>
      <c r="AK367" t="s">
        <v>2690</v>
      </c>
      <c r="AL367" t="s">
        <v>2690</v>
      </c>
      <c r="AP367">
        <v>98</v>
      </c>
      <c r="AR367" s="23">
        <v>0.33340277777777777</v>
      </c>
      <c r="AS367" s="23">
        <v>0.54193287037037041</v>
      </c>
      <c r="AT367" s="23">
        <v>0.33333333333333331</v>
      </c>
      <c r="AU367" s="23">
        <v>0.66666666666666663</v>
      </c>
      <c r="AV367" t="s">
        <v>2565</v>
      </c>
      <c r="AX367">
        <v>230</v>
      </c>
      <c r="BA367" t="s">
        <v>2754</v>
      </c>
      <c r="BD367" t="s">
        <v>2572</v>
      </c>
      <c r="BE367" t="s">
        <v>3017</v>
      </c>
      <c r="BG367">
        <v>0</v>
      </c>
      <c r="BH367">
        <v>0</v>
      </c>
      <c r="BJ367">
        <v>0</v>
      </c>
    </row>
    <row r="368" spans="1:62" x14ac:dyDescent="0.2">
      <c r="A368" t="s">
        <v>2462</v>
      </c>
      <c r="B368" t="s">
        <v>2462</v>
      </c>
      <c r="C368">
        <v>100067161</v>
      </c>
      <c r="D368" t="s">
        <v>2608</v>
      </c>
      <c r="E368" t="s">
        <v>2439</v>
      </c>
      <c r="F368" t="s">
        <v>2452</v>
      </c>
      <c r="G368" t="s">
        <v>2453</v>
      </c>
      <c r="H368" s="23">
        <v>0.33333333333333331</v>
      </c>
      <c r="I368" t="s">
        <v>2688</v>
      </c>
      <c r="J368" t="s">
        <v>2568</v>
      </c>
      <c r="K368" t="s">
        <v>2609</v>
      </c>
      <c r="L368" t="s">
        <v>2462</v>
      </c>
      <c r="M368" t="s">
        <v>2570</v>
      </c>
      <c r="N368" s="6">
        <v>45998</v>
      </c>
      <c r="O368" t="s">
        <v>2461</v>
      </c>
      <c r="P368" t="s">
        <v>2442</v>
      </c>
      <c r="Q368" s="23">
        <v>0.32723379629629629</v>
      </c>
      <c r="R368" s="23">
        <v>0.67210648148148144</v>
      </c>
      <c r="S368">
        <v>19.600000000000001</v>
      </c>
      <c r="T368" t="s">
        <v>2443</v>
      </c>
      <c r="U368" t="s">
        <v>2571</v>
      </c>
      <c r="V368">
        <v>7.78</v>
      </c>
      <c r="W368">
        <v>7.78</v>
      </c>
      <c r="X368" t="s">
        <v>2689</v>
      </c>
      <c r="Y368" t="s">
        <v>2689</v>
      </c>
      <c r="Z368" t="s">
        <v>2689</v>
      </c>
      <c r="AA368" t="s">
        <v>2689</v>
      </c>
      <c r="AC368" t="s">
        <v>2689</v>
      </c>
      <c r="AD368" t="s">
        <v>2689</v>
      </c>
      <c r="AE368" t="s">
        <v>2689</v>
      </c>
      <c r="AF368" t="s">
        <v>2689</v>
      </c>
      <c r="AH368">
        <v>152.49</v>
      </c>
      <c r="AI368" t="s">
        <v>2690</v>
      </c>
      <c r="AJ368" t="s">
        <v>2690</v>
      </c>
      <c r="AK368" t="s">
        <v>2690</v>
      </c>
      <c r="AL368" t="s">
        <v>2690</v>
      </c>
      <c r="AP368">
        <v>152.49</v>
      </c>
      <c r="AR368" s="23">
        <v>0.32723379629629629</v>
      </c>
      <c r="AS368" s="23">
        <v>0.67210648148148144</v>
      </c>
      <c r="AT368" s="23">
        <v>0.33333333333333331</v>
      </c>
      <c r="AU368" s="23">
        <v>0.66666666666666663</v>
      </c>
      <c r="AV368" t="s">
        <v>2565</v>
      </c>
      <c r="AX368">
        <v>230</v>
      </c>
      <c r="AY368">
        <v>0.5</v>
      </c>
      <c r="AZ368" t="s">
        <v>3129</v>
      </c>
      <c r="BA368" t="s">
        <v>2754</v>
      </c>
      <c r="BD368" t="s">
        <v>2572</v>
      </c>
      <c r="BE368" t="s">
        <v>3017</v>
      </c>
      <c r="BG368">
        <v>0</v>
      </c>
      <c r="BH368">
        <v>0</v>
      </c>
      <c r="BJ368">
        <v>0</v>
      </c>
    </row>
    <row r="369" spans="1:62" x14ac:dyDescent="0.2">
      <c r="A369" t="s">
        <v>2462</v>
      </c>
      <c r="B369" t="s">
        <v>2462</v>
      </c>
      <c r="C369">
        <v>100067161</v>
      </c>
      <c r="D369" t="s">
        <v>2608</v>
      </c>
      <c r="E369" t="s">
        <v>2439</v>
      </c>
      <c r="F369" t="s">
        <v>2786</v>
      </c>
      <c r="G369" t="s">
        <v>2787</v>
      </c>
      <c r="H369" s="23">
        <v>0.66666666666666663</v>
      </c>
      <c r="I369" t="s">
        <v>2696</v>
      </c>
      <c r="J369" t="s">
        <v>2568</v>
      </c>
      <c r="K369" t="s">
        <v>2609</v>
      </c>
      <c r="L369" t="s">
        <v>2462</v>
      </c>
      <c r="M369" t="s">
        <v>2570</v>
      </c>
      <c r="N369" s="6">
        <v>45999</v>
      </c>
      <c r="O369" t="s">
        <v>2455</v>
      </c>
      <c r="P369" t="s">
        <v>2445</v>
      </c>
      <c r="Q369" s="23">
        <v>0.3266087962962963</v>
      </c>
      <c r="R369" s="23">
        <v>0.69528935185185181</v>
      </c>
      <c r="S369">
        <v>19.600000000000001</v>
      </c>
      <c r="T369" t="s">
        <v>2443</v>
      </c>
      <c r="U369" t="s">
        <v>2571</v>
      </c>
      <c r="V369">
        <v>8.35</v>
      </c>
      <c r="W369">
        <v>8</v>
      </c>
      <c r="X369">
        <v>0.35</v>
      </c>
      <c r="Y369" t="s">
        <v>2689</v>
      </c>
      <c r="Z369" t="s">
        <v>2689</v>
      </c>
      <c r="AA369" t="s">
        <v>2689</v>
      </c>
      <c r="AC369" t="s">
        <v>2689</v>
      </c>
      <c r="AD369" t="s">
        <v>2689</v>
      </c>
      <c r="AE369" t="s">
        <v>2689</v>
      </c>
      <c r="AF369" t="s">
        <v>2689</v>
      </c>
      <c r="AH369">
        <v>156.80000000000001</v>
      </c>
      <c r="AI369">
        <v>10.29</v>
      </c>
      <c r="AJ369" t="s">
        <v>2690</v>
      </c>
      <c r="AK369" t="s">
        <v>2690</v>
      </c>
      <c r="AL369" t="s">
        <v>2690</v>
      </c>
      <c r="AP369">
        <v>167.09</v>
      </c>
      <c r="AR369" s="23">
        <v>0.3266087962962963</v>
      </c>
      <c r="AS369" s="23">
        <v>0.69528935185185181</v>
      </c>
      <c r="AT369" s="23">
        <v>0.33333333333333331</v>
      </c>
      <c r="AU369" s="23">
        <v>0.66666666666666663</v>
      </c>
      <c r="AV369" t="s">
        <v>2565</v>
      </c>
      <c r="AX369">
        <v>230</v>
      </c>
      <c r="AY369">
        <v>0.5</v>
      </c>
      <c r="AZ369" t="s">
        <v>3130</v>
      </c>
      <c r="BA369" t="s">
        <v>2861</v>
      </c>
      <c r="BD369" t="s">
        <v>2572</v>
      </c>
      <c r="BE369" t="s">
        <v>3017</v>
      </c>
      <c r="BG369">
        <v>0</v>
      </c>
      <c r="BH369">
        <v>0</v>
      </c>
      <c r="BJ369">
        <v>0</v>
      </c>
    </row>
    <row r="370" spans="1:62" x14ac:dyDescent="0.2">
      <c r="A370" t="s">
        <v>2462</v>
      </c>
      <c r="B370" t="s">
        <v>2462</v>
      </c>
      <c r="C370">
        <v>100067161</v>
      </c>
      <c r="D370" t="s">
        <v>2608</v>
      </c>
      <c r="E370" t="s">
        <v>2439</v>
      </c>
      <c r="F370" t="s">
        <v>2789</v>
      </c>
      <c r="G370" t="s">
        <v>2790</v>
      </c>
      <c r="H370" s="23">
        <v>0.375</v>
      </c>
      <c r="I370" t="s">
        <v>2696</v>
      </c>
      <c r="J370" t="s">
        <v>2568</v>
      </c>
      <c r="K370" t="s">
        <v>2609</v>
      </c>
      <c r="L370" t="s">
        <v>2462</v>
      </c>
      <c r="M370" t="s">
        <v>2570</v>
      </c>
      <c r="N370" s="6">
        <v>46000</v>
      </c>
      <c r="O370" t="s">
        <v>2457</v>
      </c>
      <c r="P370" t="s">
        <v>2445</v>
      </c>
      <c r="Q370" s="23">
        <v>0.24314814814814814</v>
      </c>
      <c r="R370" s="23">
        <v>0.5834259259259259</v>
      </c>
      <c r="S370">
        <v>19.600000000000001</v>
      </c>
      <c r="T370" t="s">
        <v>2443</v>
      </c>
      <c r="U370" t="s">
        <v>2571</v>
      </c>
      <c r="V370">
        <v>7.67</v>
      </c>
      <c r="W370">
        <v>4.9800000000000004</v>
      </c>
      <c r="X370">
        <v>2.69</v>
      </c>
      <c r="Y370" t="s">
        <v>2689</v>
      </c>
      <c r="Z370" t="s">
        <v>2689</v>
      </c>
      <c r="AA370" t="s">
        <v>2689</v>
      </c>
      <c r="AC370" t="s">
        <v>2689</v>
      </c>
      <c r="AD370" t="s">
        <v>2689</v>
      </c>
      <c r="AE370" t="s">
        <v>2689</v>
      </c>
      <c r="AF370" t="s">
        <v>2689</v>
      </c>
      <c r="AH370">
        <v>97.61</v>
      </c>
      <c r="AI370">
        <v>79.09</v>
      </c>
      <c r="AJ370" t="s">
        <v>2690</v>
      </c>
      <c r="AK370" t="s">
        <v>2690</v>
      </c>
      <c r="AL370" t="s">
        <v>2690</v>
      </c>
      <c r="AP370">
        <v>176.7</v>
      </c>
      <c r="AR370" s="23">
        <v>0.24314814814814814</v>
      </c>
      <c r="AS370" s="23">
        <v>0.5834259259259259</v>
      </c>
      <c r="AT370" s="23">
        <v>0.25</v>
      </c>
      <c r="AU370" s="23">
        <v>0.58333333333333337</v>
      </c>
      <c r="AV370" t="s">
        <v>2565</v>
      </c>
      <c r="AX370">
        <v>230</v>
      </c>
      <c r="AY370">
        <v>0.5</v>
      </c>
      <c r="AZ370" t="s">
        <v>3131</v>
      </c>
      <c r="BA370" t="s">
        <v>2757</v>
      </c>
      <c r="BD370" t="s">
        <v>2572</v>
      </c>
      <c r="BE370" t="s">
        <v>3017</v>
      </c>
      <c r="BG370">
        <v>0</v>
      </c>
      <c r="BH370">
        <v>0</v>
      </c>
      <c r="BJ370">
        <v>0</v>
      </c>
    </row>
    <row r="371" spans="1:62" x14ac:dyDescent="0.2">
      <c r="A371" t="s">
        <v>2462</v>
      </c>
      <c r="B371" t="s">
        <v>2462</v>
      </c>
      <c r="C371">
        <v>100067161</v>
      </c>
      <c r="D371" t="s">
        <v>2608</v>
      </c>
      <c r="E371" t="s">
        <v>2439</v>
      </c>
      <c r="F371" t="s">
        <v>2452</v>
      </c>
      <c r="G371" t="s">
        <v>2453</v>
      </c>
      <c r="H371" s="23">
        <v>0.33333333333333331</v>
      </c>
      <c r="I371" t="s">
        <v>2688</v>
      </c>
      <c r="J371" t="s">
        <v>2568</v>
      </c>
      <c r="K371" t="s">
        <v>2611</v>
      </c>
      <c r="L371" t="s">
        <v>2462</v>
      </c>
      <c r="M371" t="s">
        <v>2570</v>
      </c>
      <c r="N371" s="6">
        <v>46001</v>
      </c>
      <c r="O371" t="s">
        <v>2458</v>
      </c>
      <c r="P371" t="s">
        <v>2445</v>
      </c>
      <c r="Q371" s="23">
        <v>0.32922453703703702</v>
      </c>
      <c r="R371" s="23">
        <v>0.66560185185185183</v>
      </c>
      <c r="S371">
        <v>19.600000000000001</v>
      </c>
      <c r="T371" t="s">
        <v>2443</v>
      </c>
      <c r="U371" t="s">
        <v>2571</v>
      </c>
      <c r="V371">
        <v>7.57</v>
      </c>
      <c r="W371">
        <v>7.57</v>
      </c>
      <c r="X371" t="s">
        <v>2689</v>
      </c>
      <c r="Y371" t="s">
        <v>2689</v>
      </c>
      <c r="Z371" t="s">
        <v>2689</v>
      </c>
      <c r="AA371" t="s">
        <v>2689</v>
      </c>
      <c r="AC371" t="s">
        <v>2689</v>
      </c>
      <c r="AD371" t="s">
        <v>2689</v>
      </c>
      <c r="AE371" t="s">
        <v>2689</v>
      </c>
      <c r="AF371" t="s">
        <v>2689</v>
      </c>
      <c r="AH371">
        <v>148.37</v>
      </c>
      <c r="AI371" t="s">
        <v>2690</v>
      </c>
      <c r="AJ371" t="s">
        <v>2690</v>
      </c>
      <c r="AK371" t="s">
        <v>2690</v>
      </c>
      <c r="AL371" t="s">
        <v>2690</v>
      </c>
      <c r="AP371">
        <v>148.37</v>
      </c>
      <c r="AR371" s="23">
        <v>0.32922453703703702</v>
      </c>
      <c r="AS371" s="23">
        <v>0.66560185185185183</v>
      </c>
      <c r="AT371" s="23">
        <v>0.33333333333333331</v>
      </c>
      <c r="AU371" s="23">
        <v>0.66666666666666663</v>
      </c>
      <c r="AV371" t="s">
        <v>2565</v>
      </c>
      <c r="AX371">
        <v>230</v>
      </c>
      <c r="AY371">
        <v>0.5</v>
      </c>
      <c r="AZ371" t="s">
        <v>3132</v>
      </c>
      <c r="BA371" t="s">
        <v>2759</v>
      </c>
      <c r="BD371" t="s">
        <v>2572</v>
      </c>
      <c r="BE371" t="s">
        <v>3017</v>
      </c>
      <c r="BG371">
        <v>0</v>
      </c>
      <c r="BH371">
        <v>0</v>
      </c>
      <c r="BJ371">
        <v>0</v>
      </c>
    </row>
    <row r="372" spans="1:62" x14ac:dyDescent="0.2">
      <c r="A372" t="s">
        <v>2462</v>
      </c>
      <c r="B372" t="s">
        <v>2462</v>
      </c>
      <c r="C372">
        <v>100067161</v>
      </c>
      <c r="D372" t="s">
        <v>2608</v>
      </c>
      <c r="E372" t="s">
        <v>2439</v>
      </c>
      <c r="F372" t="s">
        <v>2794</v>
      </c>
      <c r="G372" t="s">
        <v>2795</v>
      </c>
      <c r="H372" s="23">
        <v>0.79166666666666663</v>
      </c>
      <c r="I372" t="s">
        <v>2696</v>
      </c>
      <c r="J372" t="s">
        <v>2568</v>
      </c>
      <c r="K372" t="s">
        <v>2609</v>
      </c>
      <c r="L372" t="s">
        <v>2462</v>
      </c>
      <c r="M372" t="s">
        <v>2570</v>
      </c>
      <c r="N372" s="6">
        <v>46003</v>
      </c>
      <c r="O372" t="s">
        <v>2449</v>
      </c>
      <c r="P372" t="s">
        <v>2445</v>
      </c>
      <c r="Q372" s="23">
        <v>0.57645833333333329</v>
      </c>
      <c r="R372" s="23">
        <v>0.95165509259259262</v>
      </c>
      <c r="S372">
        <v>19.600000000000001</v>
      </c>
      <c r="T372" t="s">
        <v>2443</v>
      </c>
      <c r="U372" t="s">
        <v>2571</v>
      </c>
      <c r="V372">
        <v>8.5</v>
      </c>
      <c r="W372">
        <v>8</v>
      </c>
      <c r="X372">
        <v>0.5</v>
      </c>
      <c r="Y372" t="s">
        <v>2689</v>
      </c>
      <c r="Z372" t="s">
        <v>2689</v>
      </c>
      <c r="AA372" t="s">
        <v>2689</v>
      </c>
      <c r="AC372" t="s">
        <v>2689</v>
      </c>
      <c r="AD372" t="s">
        <v>2689</v>
      </c>
      <c r="AE372" t="s">
        <v>2689</v>
      </c>
      <c r="AF372" t="s">
        <v>2689</v>
      </c>
      <c r="AH372">
        <v>156.80000000000001</v>
      </c>
      <c r="AI372">
        <v>14.7</v>
      </c>
      <c r="AJ372" t="s">
        <v>2690</v>
      </c>
      <c r="AK372" t="s">
        <v>2690</v>
      </c>
      <c r="AL372" t="s">
        <v>2690</v>
      </c>
      <c r="AP372">
        <v>171.5</v>
      </c>
      <c r="AR372" s="23">
        <v>0.57645833333333329</v>
      </c>
      <c r="AS372" s="23">
        <v>0.95165509259259262</v>
      </c>
      <c r="AT372" s="23">
        <v>0.58333333333333337</v>
      </c>
      <c r="AU372" s="23">
        <v>0.91666666666666663</v>
      </c>
      <c r="AV372" t="s">
        <v>2565</v>
      </c>
      <c r="AX372">
        <v>230</v>
      </c>
      <c r="AY372">
        <v>0.5</v>
      </c>
      <c r="AZ372" t="s">
        <v>3133</v>
      </c>
      <c r="BA372" t="s">
        <v>2798</v>
      </c>
      <c r="BD372" t="s">
        <v>2572</v>
      </c>
      <c r="BE372" t="s">
        <v>3017</v>
      </c>
      <c r="BG372">
        <v>0</v>
      </c>
      <c r="BH372">
        <v>0</v>
      </c>
      <c r="BJ372">
        <v>0</v>
      </c>
    </row>
    <row r="373" spans="1:62" x14ac:dyDescent="0.2">
      <c r="A373" t="s">
        <v>2462</v>
      </c>
      <c r="B373" t="s">
        <v>2462</v>
      </c>
      <c r="C373">
        <v>100067161</v>
      </c>
      <c r="D373" t="s">
        <v>2608</v>
      </c>
      <c r="E373" t="s">
        <v>2439</v>
      </c>
      <c r="F373" t="s">
        <v>2811</v>
      </c>
      <c r="G373" t="s">
        <v>2812</v>
      </c>
      <c r="H373" s="23">
        <v>0.6875</v>
      </c>
      <c r="I373" t="s">
        <v>2696</v>
      </c>
      <c r="J373" t="s">
        <v>2568</v>
      </c>
      <c r="K373" t="s">
        <v>2609</v>
      </c>
      <c r="L373" t="s">
        <v>2462</v>
      </c>
      <c r="M373" t="s">
        <v>2570</v>
      </c>
      <c r="N373" s="6">
        <v>46005</v>
      </c>
      <c r="O373" t="s">
        <v>2461</v>
      </c>
      <c r="P373" t="s">
        <v>2442</v>
      </c>
      <c r="Q373" s="23">
        <v>0.53486111111111112</v>
      </c>
      <c r="R373" s="23">
        <v>0.85456018518518517</v>
      </c>
      <c r="S373">
        <v>19.600000000000001</v>
      </c>
      <c r="T373" t="s">
        <v>2443</v>
      </c>
      <c r="U373" t="s">
        <v>2571</v>
      </c>
      <c r="V373">
        <v>7.17</v>
      </c>
      <c r="W373">
        <v>7.17</v>
      </c>
      <c r="X373" t="s">
        <v>2689</v>
      </c>
      <c r="Y373" t="s">
        <v>2689</v>
      </c>
      <c r="Z373" t="s">
        <v>2689</v>
      </c>
      <c r="AA373" t="s">
        <v>2689</v>
      </c>
      <c r="AC373" t="s">
        <v>2689</v>
      </c>
      <c r="AD373" t="s">
        <v>2689</v>
      </c>
      <c r="AE373" t="s">
        <v>2689</v>
      </c>
      <c r="AF373" t="s">
        <v>2689</v>
      </c>
      <c r="AH373">
        <v>140.53</v>
      </c>
      <c r="AI373" t="s">
        <v>2690</v>
      </c>
      <c r="AJ373" t="s">
        <v>2690</v>
      </c>
      <c r="AK373" t="s">
        <v>2690</v>
      </c>
      <c r="AL373" t="s">
        <v>2690</v>
      </c>
      <c r="AP373">
        <v>140.53</v>
      </c>
      <c r="AR373" s="23">
        <v>0.53486111111111112</v>
      </c>
      <c r="AS373" s="23">
        <v>0.85456018518518517</v>
      </c>
      <c r="AT373" s="23">
        <v>0.54166666666666663</v>
      </c>
      <c r="AU373" s="23">
        <v>0.875</v>
      </c>
      <c r="AV373" t="s">
        <v>2565</v>
      </c>
      <c r="AX373">
        <v>230</v>
      </c>
      <c r="AY373">
        <v>0.5</v>
      </c>
      <c r="AZ373" t="s">
        <v>3134</v>
      </c>
      <c r="BA373" t="s">
        <v>2798</v>
      </c>
      <c r="BD373" t="s">
        <v>2572</v>
      </c>
      <c r="BE373" t="s">
        <v>3017</v>
      </c>
      <c r="BG373">
        <v>0</v>
      </c>
      <c r="BH373">
        <v>0</v>
      </c>
      <c r="BJ373">
        <v>0</v>
      </c>
    </row>
    <row r="374" spans="1:62" x14ac:dyDescent="0.2">
      <c r="A374" t="s">
        <v>2462</v>
      </c>
      <c r="B374" t="s">
        <v>2462</v>
      </c>
      <c r="C374">
        <v>100067161</v>
      </c>
      <c r="D374" t="s">
        <v>2608</v>
      </c>
      <c r="E374" t="s">
        <v>2439</v>
      </c>
      <c r="F374" t="s">
        <v>2814</v>
      </c>
      <c r="G374" t="s">
        <v>2815</v>
      </c>
      <c r="H374" s="23">
        <v>0.47916666666666669</v>
      </c>
      <c r="I374" t="s">
        <v>2696</v>
      </c>
      <c r="J374" t="s">
        <v>2583</v>
      </c>
      <c r="K374" t="s">
        <v>2585</v>
      </c>
      <c r="L374" t="s">
        <v>2462</v>
      </c>
      <c r="M374" t="s">
        <v>2567</v>
      </c>
      <c r="N374" s="6">
        <v>46006</v>
      </c>
      <c r="O374" t="s">
        <v>2455</v>
      </c>
      <c r="P374" t="s">
        <v>2445</v>
      </c>
      <c r="Q374" s="23">
        <v>0.28487268518518516</v>
      </c>
      <c r="R374" s="23">
        <v>0.50054398148148149</v>
      </c>
      <c r="S374">
        <v>19.600000000000001</v>
      </c>
      <c r="T374" t="s">
        <v>2443</v>
      </c>
      <c r="U374" t="s">
        <v>2571</v>
      </c>
      <c r="V374">
        <v>5.18</v>
      </c>
      <c r="W374">
        <v>5.18</v>
      </c>
      <c r="X374" t="s">
        <v>2689</v>
      </c>
      <c r="Y374" t="s">
        <v>2689</v>
      </c>
      <c r="Z374" t="s">
        <v>2689</v>
      </c>
      <c r="AA374" t="s">
        <v>2689</v>
      </c>
      <c r="AC374" t="s">
        <v>2689</v>
      </c>
      <c r="AD374" t="s">
        <v>2689</v>
      </c>
      <c r="AE374" t="s">
        <v>2689</v>
      </c>
      <c r="AF374" t="s">
        <v>2689</v>
      </c>
      <c r="AH374">
        <v>101.53</v>
      </c>
      <c r="AI374" t="s">
        <v>2690</v>
      </c>
      <c r="AJ374" t="s">
        <v>2690</v>
      </c>
      <c r="AK374" t="s">
        <v>2690</v>
      </c>
      <c r="AL374" t="s">
        <v>2690</v>
      </c>
      <c r="AP374">
        <v>101.53</v>
      </c>
      <c r="AR374" s="23">
        <v>0.28487268518518516</v>
      </c>
      <c r="AS374" s="23">
        <v>0.50054398148148149</v>
      </c>
      <c r="AT374" s="23">
        <v>0.29166666666666669</v>
      </c>
      <c r="AU374" s="23">
        <v>0.625</v>
      </c>
      <c r="AV374" t="s">
        <v>2565</v>
      </c>
      <c r="AX374">
        <v>100</v>
      </c>
      <c r="BA374" t="s">
        <v>2769</v>
      </c>
      <c r="BD374" t="s">
        <v>2572</v>
      </c>
      <c r="BE374" t="s">
        <v>3017</v>
      </c>
      <c r="BG374">
        <v>0</v>
      </c>
      <c r="BH374">
        <v>0</v>
      </c>
      <c r="BJ374">
        <v>0</v>
      </c>
    </row>
    <row r="375" spans="1:62" x14ac:dyDescent="0.2">
      <c r="A375" t="s">
        <v>2462</v>
      </c>
      <c r="B375" t="s">
        <v>2462</v>
      </c>
      <c r="C375">
        <v>100073271</v>
      </c>
      <c r="D375" t="s">
        <v>2738</v>
      </c>
      <c r="E375" t="s">
        <v>2439</v>
      </c>
      <c r="F375" t="s">
        <v>2452</v>
      </c>
      <c r="G375" t="s">
        <v>2453</v>
      </c>
      <c r="H375" s="23">
        <v>0.33333333333333331</v>
      </c>
      <c r="I375" t="s">
        <v>2688</v>
      </c>
      <c r="J375" t="s">
        <v>2568</v>
      </c>
      <c r="K375" t="s">
        <v>2669</v>
      </c>
      <c r="L375" t="s">
        <v>2462</v>
      </c>
      <c r="M375" t="s">
        <v>2570</v>
      </c>
      <c r="N375" s="6">
        <v>45992</v>
      </c>
      <c r="O375" t="s">
        <v>2455</v>
      </c>
      <c r="P375" t="s">
        <v>2445</v>
      </c>
      <c r="Q375" s="23">
        <v>0.32711805555555556</v>
      </c>
      <c r="R375" s="23">
        <v>0.6620949074074074</v>
      </c>
      <c r="S375">
        <v>19.600000000000001</v>
      </c>
      <c r="T375" t="s">
        <v>2443</v>
      </c>
      <c r="U375" t="s">
        <v>2571</v>
      </c>
      <c r="V375">
        <v>7.54</v>
      </c>
      <c r="W375">
        <v>7.54</v>
      </c>
      <c r="X375" t="s">
        <v>2689</v>
      </c>
      <c r="Y375" t="s">
        <v>2689</v>
      </c>
      <c r="Z375" t="s">
        <v>2689</v>
      </c>
      <c r="AA375" t="s">
        <v>2689</v>
      </c>
      <c r="AC375" t="s">
        <v>2689</v>
      </c>
      <c r="AD375" t="s">
        <v>2689</v>
      </c>
      <c r="AE375" t="s">
        <v>2689</v>
      </c>
      <c r="AF375" t="s">
        <v>2689</v>
      </c>
      <c r="AH375">
        <v>147.78</v>
      </c>
      <c r="AI375" t="s">
        <v>2690</v>
      </c>
      <c r="AJ375" t="s">
        <v>2690</v>
      </c>
      <c r="AK375" t="s">
        <v>2690</v>
      </c>
      <c r="AL375" t="s">
        <v>2690</v>
      </c>
      <c r="AP375">
        <v>147.78</v>
      </c>
      <c r="AR375" s="23">
        <v>0.32711805555555556</v>
      </c>
      <c r="AS375" s="23">
        <v>0.6620949074074074</v>
      </c>
      <c r="AT375" s="23">
        <v>0.33333333333333331</v>
      </c>
      <c r="AU375" s="23">
        <v>0.6875</v>
      </c>
      <c r="AV375" t="s">
        <v>2565</v>
      </c>
      <c r="AX375">
        <v>230</v>
      </c>
      <c r="AY375">
        <v>0.5</v>
      </c>
      <c r="AZ375" t="s">
        <v>3135</v>
      </c>
      <c r="BA375" t="s">
        <v>2692</v>
      </c>
      <c r="BD375" t="s">
        <v>2572</v>
      </c>
      <c r="BE375" t="s">
        <v>3017</v>
      </c>
      <c r="BG375">
        <v>0</v>
      </c>
      <c r="BH375">
        <v>0</v>
      </c>
      <c r="BJ375">
        <v>0</v>
      </c>
    </row>
    <row r="376" spans="1:62" x14ac:dyDescent="0.2">
      <c r="A376" t="s">
        <v>2462</v>
      </c>
      <c r="B376" t="s">
        <v>2462</v>
      </c>
      <c r="C376">
        <v>100073271</v>
      </c>
      <c r="D376" t="s">
        <v>2738</v>
      </c>
      <c r="E376" t="s">
        <v>2439</v>
      </c>
      <c r="F376" t="s">
        <v>2800</v>
      </c>
      <c r="G376" t="s">
        <v>2801</v>
      </c>
      <c r="H376" s="23">
        <v>0.66666666666666663</v>
      </c>
      <c r="I376" t="s">
        <v>2696</v>
      </c>
      <c r="J376" t="s">
        <v>2568</v>
      </c>
      <c r="K376" t="s">
        <v>2669</v>
      </c>
      <c r="L376" t="s">
        <v>2462</v>
      </c>
      <c r="M376" t="s">
        <v>2570</v>
      </c>
      <c r="N376" s="6">
        <v>45993</v>
      </c>
      <c r="O376" t="s">
        <v>2457</v>
      </c>
      <c r="P376" t="s">
        <v>2445</v>
      </c>
      <c r="Q376" s="23">
        <v>0.3269097222222222</v>
      </c>
      <c r="R376" s="23">
        <v>0.64700231481481485</v>
      </c>
      <c r="S376">
        <v>19.600000000000001</v>
      </c>
      <c r="T376" t="s">
        <v>2443</v>
      </c>
      <c r="U376" t="s">
        <v>2571</v>
      </c>
      <c r="V376">
        <v>7.18</v>
      </c>
      <c r="W376">
        <v>7.18</v>
      </c>
      <c r="X376" t="s">
        <v>2689</v>
      </c>
      <c r="Y376" t="s">
        <v>2689</v>
      </c>
      <c r="Z376" t="s">
        <v>2689</v>
      </c>
      <c r="AA376" t="s">
        <v>2689</v>
      </c>
      <c r="AC376" t="s">
        <v>2689</v>
      </c>
      <c r="AD376" t="s">
        <v>2689</v>
      </c>
      <c r="AE376" t="s">
        <v>2689</v>
      </c>
      <c r="AF376" t="s">
        <v>2689</v>
      </c>
      <c r="AH376">
        <v>140.72999999999999</v>
      </c>
      <c r="AI376" t="s">
        <v>2690</v>
      </c>
      <c r="AJ376" t="s">
        <v>2690</v>
      </c>
      <c r="AK376" t="s">
        <v>2690</v>
      </c>
      <c r="AL376" t="s">
        <v>2690</v>
      </c>
      <c r="AP376">
        <v>140.72999999999999</v>
      </c>
      <c r="AR376" s="23">
        <v>0.3269097222222222</v>
      </c>
      <c r="AS376" s="23">
        <v>0.64700231481481485</v>
      </c>
      <c r="AT376" s="23">
        <v>0.33333333333333331</v>
      </c>
      <c r="AU376" s="23">
        <v>0.66666666666666663</v>
      </c>
      <c r="AV376" t="s">
        <v>2565</v>
      </c>
      <c r="AX376">
        <v>230</v>
      </c>
      <c r="AY376">
        <v>0.5</v>
      </c>
      <c r="AZ376" t="s">
        <v>3136</v>
      </c>
      <c r="BA376" t="s">
        <v>2752</v>
      </c>
      <c r="BD376" t="s">
        <v>2572</v>
      </c>
      <c r="BE376" t="s">
        <v>3017</v>
      </c>
      <c r="BG376">
        <v>0</v>
      </c>
      <c r="BH376">
        <v>0</v>
      </c>
      <c r="BJ376">
        <v>0</v>
      </c>
    </row>
    <row r="377" spans="1:62" x14ac:dyDescent="0.2">
      <c r="A377" t="s">
        <v>2462</v>
      </c>
      <c r="B377" t="s">
        <v>2462</v>
      </c>
      <c r="C377">
        <v>100073271</v>
      </c>
      <c r="D377" t="s">
        <v>2738</v>
      </c>
      <c r="E377" t="s">
        <v>2439</v>
      </c>
      <c r="F377" t="s">
        <v>2782</v>
      </c>
      <c r="G377" t="s">
        <v>2783</v>
      </c>
      <c r="H377" s="23">
        <v>0.70833333333333337</v>
      </c>
      <c r="I377" t="s">
        <v>2696</v>
      </c>
      <c r="J377" t="s">
        <v>2568</v>
      </c>
      <c r="K377" t="s">
        <v>2669</v>
      </c>
      <c r="L377" t="s">
        <v>2462</v>
      </c>
      <c r="M377" t="s">
        <v>2570</v>
      </c>
      <c r="N377" s="6">
        <v>45994</v>
      </c>
      <c r="O377" t="s">
        <v>2458</v>
      </c>
      <c r="P377" t="s">
        <v>2445</v>
      </c>
      <c r="Q377" s="23">
        <v>0.51467592592592593</v>
      </c>
      <c r="R377" s="23">
        <v>0.84739583333333335</v>
      </c>
      <c r="S377">
        <v>19.600000000000001</v>
      </c>
      <c r="T377" t="s">
        <v>2443</v>
      </c>
      <c r="U377" t="s">
        <v>2571</v>
      </c>
      <c r="V377">
        <v>7.49</v>
      </c>
      <c r="W377">
        <v>7.49</v>
      </c>
      <c r="X377" t="s">
        <v>2689</v>
      </c>
      <c r="Y377" t="s">
        <v>2689</v>
      </c>
      <c r="Z377" t="s">
        <v>2689</v>
      </c>
      <c r="AA377" t="s">
        <v>2689</v>
      </c>
      <c r="AC377" t="s">
        <v>2689</v>
      </c>
      <c r="AD377" t="s">
        <v>2689</v>
      </c>
      <c r="AE377" t="s">
        <v>2689</v>
      </c>
      <c r="AF377" t="s">
        <v>2689</v>
      </c>
      <c r="AH377">
        <v>146.80000000000001</v>
      </c>
      <c r="AI377" t="s">
        <v>2690</v>
      </c>
      <c r="AJ377" t="s">
        <v>2690</v>
      </c>
      <c r="AK377" t="s">
        <v>2690</v>
      </c>
      <c r="AL377" t="s">
        <v>2690</v>
      </c>
      <c r="AP377">
        <v>146.80000000000001</v>
      </c>
      <c r="AR377" s="23">
        <v>0.51467592592592593</v>
      </c>
      <c r="AS377" s="23">
        <v>0.84739583333333335</v>
      </c>
      <c r="AT377" s="23">
        <v>0.52083333333333337</v>
      </c>
      <c r="AU377" s="23">
        <v>0.85416666666666663</v>
      </c>
      <c r="AV377" t="s">
        <v>2565</v>
      </c>
      <c r="AX377">
        <v>230</v>
      </c>
      <c r="AY377">
        <v>0.5</v>
      </c>
      <c r="AZ377" t="s">
        <v>3137</v>
      </c>
      <c r="BA377" t="s">
        <v>2754</v>
      </c>
      <c r="BD377" t="s">
        <v>2572</v>
      </c>
      <c r="BE377" t="s">
        <v>3017</v>
      </c>
      <c r="BG377">
        <v>0</v>
      </c>
      <c r="BH377">
        <v>0</v>
      </c>
      <c r="BJ377">
        <v>0</v>
      </c>
    </row>
    <row r="378" spans="1:62" x14ac:dyDescent="0.2">
      <c r="A378" t="s">
        <v>2462</v>
      </c>
      <c r="B378" t="s">
        <v>2462</v>
      </c>
      <c r="C378">
        <v>100073271</v>
      </c>
      <c r="D378" t="s">
        <v>2738</v>
      </c>
      <c r="E378" t="s">
        <v>2439</v>
      </c>
      <c r="F378" t="s">
        <v>2804</v>
      </c>
      <c r="G378" t="s">
        <v>2805</v>
      </c>
      <c r="H378" s="23">
        <v>0.70833333333333337</v>
      </c>
      <c r="I378" t="s">
        <v>2696</v>
      </c>
      <c r="J378" t="s">
        <v>2568</v>
      </c>
      <c r="K378" t="s">
        <v>2609</v>
      </c>
      <c r="L378" t="s">
        <v>2462</v>
      </c>
      <c r="M378" t="s">
        <v>2570</v>
      </c>
      <c r="N378" s="6">
        <v>45995</v>
      </c>
      <c r="O378" t="s">
        <v>2459</v>
      </c>
      <c r="P378" t="s">
        <v>2445</v>
      </c>
      <c r="Q378" s="23">
        <v>0.51591435185185186</v>
      </c>
      <c r="R378" s="23">
        <v>0.8132638888888889</v>
      </c>
      <c r="S378">
        <v>19.600000000000001</v>
      </c>
      <c r="T378" t="s">
        <v>2443</v>
      </c>
      <c r="U378" t="s">
        <v>2571</v>
      </c>
      <c r="V378">
        <v>6.64</v>
      </c>
      <c r="W378">
        <v>6.64</v>
      </c>
      <c r="X378" t="s">
        <v>2689</v>
      </c>
      <c r="Y378" t="s">
        <v>2689</v>
      </c>
      <c r="Z378" t="s">
        <v>2689</v>
      </c>
      <c r="AA378" t="s">
        <v>2689</v>
      </c>
      <c r="AC378" t="s">
        <v>2689</v>
      </c>
      <c r="AD378" t="s">
        <v>2689</v>
      </c>
      <c r="AE378" t="s">
        <v>2689</v>
      </c>
      <c r="AF378" t="s">
        <v>2689</v>
      </c>
      <c r="AH378">
        <v>130.13999999999999</v>
      </c>
      <c r="AI378" t="s">
        <v>2690</v>
      </c>
      <c r="AJ378" t="s">
        <v>2690</v>
      </c>
      <c r="AK378" t="s">
        <v>2690</v>
      </c>
      <c r="AL378" t="s">
        <v>2690</v>
      </c>
      <c r="AP378">
        <v>130.13999999999999</v>
      </c>
      <c r="AR378" s="23">
        <v>0.51591435185185186</v>
      </c>
      <c r="AS378" s="23">
        <v>0.8132638888888889</v>
      </c>
      <c r="AT378" s="23">
        <v>0.52083333333333337</v>
      </c>
      <c r="AU378" s="23">
        <v>0.85416666666666663</v>
      </c>
      <c r="AV378" t="s">
        <v>2565</v>
      </c>
      <c r="AX378">
        <v>230</v>
      </c>
      <c r="AY378">
        <v>0.5</v>
      </c>
      <c r="AZ378" t="s">
        <v>3138</v>
      </c>
      <c r="BA378" t="s">
        <v>2754</v>
      </c>
      <c r="BD378" t="s">
        <v>2572</v>
      </c>
      <c r="BE378" t="s">
        <v>3017</v>
      </c>
      <c r="BG378">
        <v>0</v>
      </c>
      <c r="BH378">
        <v>0</v>
      </c>
      <c r="BJ378">
        <v>0</v>
      </c>
    </row>
    <row r="379" spans="1:62" x14ac:dyDescent="0.2">
      <c r="A379" t="s">
        <v>2462</v>
      </c>
      <c r="B379" t="s">
        <v>2462</v>
      </c>
      <c r="C379">
        <v>100073271</v>
      </c>
      <c r="D379" t="s">
        <v>2738</v>
      </c>
      <c r="E379" t="s">
        <v>2439</v>
      </c>
      <c r="F379" t="s">
        <v>2452</v>
      </c>
      <c r="G379" t="s">
        <v>2453</v>
      </c>
      <c r="H379" s="23">
        <v>0.33333333333333331</v>
      </c>
      <c r="I379" t="s">
        <v>2688</v>
      </c>
      <c r="J379" t="s">
        <v>2568</v>
      </c>
      <c r="K379" t="s">
        <v>2611</v>
      </c>
      <c r="L379" t="s">
        <v>2462</v>
      </c>
      <c r="M379" t="s">
        <v>2570</v>
      </c>
      <c r="N379" s="6">
        <v>45996</v>
      </c>
      <c r="O379" t="s">
        <v>2449</v>
      </c>
      <c r="P379" t="s">
        <v>2445</v>
      </c>
      <c r="Q379" s="23">
        <v>0.32771990740740742</v>
      </c>
      <c r="R379" s="23">
        <v>0.53578703703703701</v>
      </c>
      <c r="S379">
        <v>19.600000000000001</v>
      </c>
      <c r="T379" t="s">
        <v>2443</v>
      </c>
      <c r="U379" t="s">
        <v>2571</v>
      </c>
      <c r="V379">
        <v>4.99</v>
      </c>
      <c r="W379">
        <v>4.99</v>
      </c>
      <c r="X379" t="s">
        <v>2689</v>
      </c>
      <c r="Y379" t="s">
        <v>2689</v>
      </c>
      <c r="Z379" t="s">
        <v>2689</v>
      </c>
      <c r="AA379" t="s">
        <v>2689</v>
      </c>
      <c r="AC379" t="s">
        <v>2689</v>
      </c>
      <c r="AD379" t="s">
        <v>2689</v>
      </c>
      <c r="AE379" t="s">
        <v>2689</v>
      </c>
      <c r="AF379" t="s">
        <v>2689</v>
      </c>
      <c r="AH379">
        <v>97.8</v>
      </c>
      <c r="AI379" t="s">
        <v>2690</v>
      </c>
      <c r="AJ379" t="s">
        <v>2690</v>
      </c>
      <c r="AK379" t="s">
        <v>2690</v>
      </c>
      <c r="AL379" t="s">
        <v>2690</v>
      </c>
      <c r="AP379">
        <v>97.8</v>
      </c>
      <c r="AR379" s="23">
        <v>0.32771990740740742</v>
      </c>
      <c r="AS379" s="23">
        <v>0.53578703703703701</v>
      </c>
      <c r="AT379" s="23">
        <v>0.33333333333333331</v>
      </c>
      <c r="AU379" s="23">
        <v>0.66666666666666663</v>
      </c>
      <c r="AV379" t="s">
        <v>2565</v>
      </c>
      <c r="AX379">
        <v>230</v>
      </c>
      <c r="BA379" t="s">
        <v>2754</v>
      </c>
      <c r="BD379" t="s">
        <v>2572</v>
      </c>
      <c r="BE379" t="s">
        <v>3017</v>
      </c>
      <c r="BG379">
        <v>0</v>
      </c>
      <c r="BH379">
        <v>0</v>
      </c>
      <c r="BJ379">
        <v>0</v>
      </c>
    </row>
    <row r="380" spans="1:62" x14ac:dyDescent="0.2">
      <c r="A380" t="s">
        <v>2462</v>
      </c>
      <c r="B380" t="s">
        <v>2462</v>
      </c>
      <c r="C380">
        <v>100073271</v>
      </c>
      <c r="D380" t="s">
        <v>2738</v>
      </c>
      <c r="E380" t="s">
        <v>2439</v>
      </c>
      <c r="F380" t="s">
        <v>2452</v>
      </c>
      <c r="G380" t="s">
        <v>2453</v>
      </c>
      <c r="H380" s="23">
        <v>0.33333333333333331</v>
      </c>
      <c r="I380" t="s">
        <v>2688</v>
      </c>
      <c r="J380" t="s">
        <v>2568</v>
      </c>
      <c r="K380" t="s">
        <v>2610</v>
      </c>
      <c r="L380" t="s">
        <v>2462</v>
      </c>
      <c r="M380" t="s">
        <v>2570</v>
      </c>
      <c r="N380" s="6">
        <v>45998</v>
      </c>
      <c r="O380" t="s">
        <v>2461</v>
      </c>
      <c r="P380" t="s">
        <v>2442</v>
      </c>
      <c r="Q380" s="23">
        <v>0.32668981481481479</v>
      </c>
      <c r="R380" s="23">
        <v>0.66733796296296299</v>
      </c>
      <c r="S380">
        <v>19.600000000000001</v>
      </c>
      <c r="T380" t="s">
        <v>2443</v>
      </c>
      <c r="U380" t="s">
        <v>2571</v>
      </c>
      <c r="V380">
        <v>7.68</v>
      </c>
      <c r="W380">
        <v>7.68</v>
      </c>
      <c r="X380" t="s">
        <v>2689</v>
      </c>
      <c r="Y380" t="s">
        <v>2689</v>
      </c>
      <c r="Z380" t="s">
        <v>2689</v>
      </c>
      <c r="AA380" t="s">
        <v>2689</v>
      </c>
      <c r="AC380" t="s">
        <v>2689</v>
      </c>
      <c r="AD380" t="s">
        <v>2689</v>
      </c>
      <c r="AE380" t="s">
        <v>2689</v>
      </c>
      <c r="AF380" t="s">
        <v>2689</v>
      </c>
      <c r="AH380">
        <v>150.53</v>
      </c>
      <c r="AI380" t="s">
        <v>2690</v>
      </c>
      <c r="AJ380" t="s">
        <v>2690</v>
      </c>
      <c r="AK380" t="s">
        <v>2690</v>
      </c>
      <c r="AL380" t="s">
        <v>2690</v>
      </c>
      <c r="AP380">
        <v>150.53</v>
      </c>
      <c r="AR380" s="23">
        <v>0.32668981481481479</v>
      </c>
      <c r="AS380" s="23">
        <v>0.66733796296296299</v>
      </c>
      <c r="AT380" s="23">
        <v>0.33333333333333331</v>
      </c>
      <c r="AU380" s="23">
        <v>0.66666666666666663</v>
      </c>
      <c r="AV380" t="s">
        <v>2565</v>
      </c>
      <c r="AX380">
        <v>230</v>
      </c>
      <c r="AY380">
        <v>0.5</v>
      </c>
      <c r="AZ380" t="s">
        <v>3139</v>
      </c>
      <c r="BA380" t="s">
        <v>2754</v>
      </c>
      <c r="BD380" t="s">
        <v>2572</v>
      </c>
      <c r="BE380" t="s">
        <v>3017</v>
      </c>
      <c r="BG380">
        <v>0</v>
      </c>
      <c r="BH380">
        <v>0</v>
      </c>
      <c r="BJ380">
        <v>0</v>
      </c>
    </row>
    <row r="381" spans="1:62" x14ac:dyDescent="0.2">
      <c r="A381" t="s">
        <v>2462</v>
      </c>
      <c r="B381" t="s">
        <v>2462</v>
      </c>
      <c r="C381">
        <v>100073271</v>
      </c>
      <c r="D381" t="s">
        <v>2738</v>
      </c>
      <c r="E381" t="s">
        <v>2439</v>
      </c>
      <c r="F381" t="s">
        <v>2789</v>
      </c>
      <c r="G381" t="s">
        <v>2790</v>
      </c>
      <c r="H381" s="23">
        <v>0.375</v>
      </c>
      <c r="I381" t="s">
        <v>2696</v>
      </c>
      <c r="J381" t="s">
        <v>2568</v>
      </c>
      <c r="K381" t="s">
        <v>2611</v>
      </c>
      <c r="L381" t="s">
        <v>2462</v>
      </c>
      <c r="M381" t="s">
        <v>2570</v>
      </c>
      <c r="N381" s="6">
        <v>46000</v>
      </c>
      <c r="O381" t="s">
        <v>2457</v>
      </c>
      <c r="P381" t="s">
        <v>2445</v>
      </c>
      <c r="Q381" s="23">
        <v>0.24342592592592593</v>
      </c>
      <c r="R381" s="23">
        <v>0.58597222222222223</v>
      </c>
      <c r="S381">
        <v>19.600000000000001</v>
      </c>
      <c r="T381" t="s">
        <v>2443</v>
      </c>
      <c r="U381" t="s">
        <v>2571</v>
      </c>
      <c r="V381">
        <v>7.72</v>
      </c>
      <c r="W381">
        <v>7.72</v>
      </c>
      <c r="X381" t="s">
        <v>2689</v>
      </c>
      <c r="Y381" t="s">
        <v>2689</v>
      </c>
      <c r="Z381" t="s">
        <v>2689</v>
      </c>
      <c r="AA381" t="s">
        <v>2689</v>
      </c>
      <c r="AC381" t="s">
        <v>2689</v>
      </c>
      <c r="AD381" t="s">
        <v>2689</v>
      </c>
      <c r="AE381" t="s">
        <v>2689</v>
      </c>
      <c r="AF381" t="s">
        <v>2689</v>
      </c>
      <c r="AH381">
        <v>151.31</v>
      </c>
      <c r="AI381" t="s">
        <v>2690</v>
      </c>
      <c r="AJ381" t="s">
        <v>2690</v>
      </c>
      <c r="AK381" t="s">
        <v>2690</v>
      </c>
      <c r="AL381" t="s">
        <v>2690</v>
      </c>
      <c r="AP381">
        <v>151.31</v>
      </c>
      <c r="AR381" s="23">
        <v>0.24342592592592593</v>
      </c>
      <c r="AS381" s="23">
        <v>0.58597222222222223</v>
      </c>
      <c r="AT381" s="23">
        <v>0.25</v>
      </c>
      <c r="AU381" s="23">
        <v>0.58333333333333337</v>
      </c>
      <c r="AV381" t="s">
        <v>2565</v>
      </c>
      <c r="AX381">
        <v>230</v>
      </c>
      <c r="AY381">
        <v>0.5</v>
      </c>
      <c r="AZ381" t="s">
        <v>3140</v>
      </c>
      <c r="BA381" t="s">
        <v>2757</v>
      </c>
      <c r="BD381" t="s">
        <v>2572</v>
      </c>
      <c r="BE381" t="s">
        <v>3017</v>
      </c>
      <c r="BG381">
        <v>0</v>
      </c>
      <c r="BH381">
        <v>0</v>
      </c>
      <c r="BJ381">
        <v>0</v>
      </c>
    </row>
    <row r="382" spans="1:62" x14ac:dyDescent="0.2">
      <c r="A382" t="s">
        <v>2462</v>
      </c>
      <c r="B382" t="s">
        <v>2462</v>
      </c>
      <c r="C382">
        <v>100073271</v>
      </c>
      <c r="D382" t="s">
        <v>2738</v>
      </c>
      <c r="E382" t="s">
        <v>2439</v>
      </c>
      <c r="F382" t="s">
        <v>2452</v>
      </c>
      <c r="G382" t="s">
        <v>2453</v>
      </c>
      <c r="H382" s="23">
        <v>0.33333333333333331</v>
      </c>
      <c r="I382" t="s">
        <v>2688</v>
      </c>
      <c r="J382" t="s">
        <v>2568</v>
      </c>
      <c r="K382" t="s">
        <v>2668</v>
      </c>
      <c r="L382" t="s">
        <v>2462</v>
      </c>
      <c r="M382" t="s">
        <v>2570</v>
      </c>
      <c r="N382" s="6">
        <v>46001</v>
      </c>
      <c r="O382" t="s">
        <v>2458</v>
      </c>
      <c r="P382" t="s">
        <v>2445</v>
      </c>
      <c r="Q382" s="23">
        <v>0.33019675925925923</v>
      </c>
      <c r="R382" s="23">
        <v>0.66971064814814818</v>
      </c>
      <c r="S382">
        <v>19.600000000000001</v>
      </c>
      <c r="T382" t="s">
        <v>2443</v>
      </c>
      <c r="U382" t="s">
        <v>2571</v>
      </c>
      <c r="V382">
        <v>7.65</v>
      </c>
      <c r="W382">
        <v>7.65</v>
      </c>
      <c r="X382" t="s">
        <v>2689</v>
      </c>
      <c r="Y382" t="s">
        <v>2689</v>
      </c>
      <c r="Z382" t="s">
        <v>2689</v>
      </c>
      <c r="AA382" t="s">
        <v>2689</v>
      </c>
      <c r="AC382" t="s">
        <v>2689</v>
      </c>
      <c r="AD382" t="s">
        <v>2689</v>
      </c>
      <c r="AE382" t="s">
        <v>2689</v>
      </c>
      <c r="AF382" t="s">
        <v>2689</v>
      </c>
      <c r="AH382">
        <v>149.94</v>
      </c>
      <c r="AI382" t="s">
        <v>2690</v>
      </c>
      <c r="AJ382" t="s">
        <v>2690</v>
      </c>
      <c r="AK382" t="s">
        <v>2690</v>
      </c>
      <c r="AL382" t="s">
        <v>2690</v>
      </c>
      <c r="AP382">
        <v>149.94</v>
      </c>
      <c r="AR382" s="23">
        <v>0.33019675925925923</v>
      </c>
      <c r="AS382" s="23">
        <v>0.66971064814814818</v>
      </c>
      <c r="AT382" s="23">
        <v>0.33333333333333331</v>
      </c>
      <c r="AU382" s="23">
        <v>0.66666666666666663</v>
      </c>
      <c r="AV382" t="s">
        <v>2565</v>
      </c>
      <c r="AX382">
        <v>230</v>
      </c>
      <c r="AY382">
        <v>0.5</v>
      </c>
      <c r="AZ382" t="s">
        <v>3141</v>
      </c>
      <c r="BA382" t="s">
        <v>2759</v>
      </c>
      <c r="BD382" t="s">
        <v>2572</v>
      </c>
      <c r="BE382" t="s">
        <v>3017</v>
      </c>
      <c r="BG382">
        <v>0</v>
      </c>
      <c r="BH382">
        <v>0</v>
      </c>
      <c r="BJ382">
        <v>0</v>
      </c>
    </row>
    <row r="383" spans="1:62" x14ac:dyDescent="0.2">
      <c r="A383" t="s">
        <v>2462</v>
      </c>
      <c r="B383" t="s">
        <v>2462</v>
      </c>
      <c r="C383">
        <v>100073271</v>
      </c>
      <c r="D383" t="s">
        <v>2738</v>
      </c>
      <c r="E383" t="s">
        <v>2439</v>
      </c>
      <c r="F383" t="s">
        <v>2791</v>
      </c>
      <c r="G383" t="s">
        <v>2792</v>
      </c>
      <c r="H383" s="23">
        <v>0.79166666666666663</v>
      </c>
      <c r="I383" t="s">
        <v>2696</v>
      </c>
      <c r="J383" t="s">
        <v>2568</v>
      </c>
      <c r="K383" t="s">
        <v>2573</v>
      </c>
      <c r="L383" t="s">
        <v>2462</v>
      </c>
      <c r="M383" t="s">
        <v>2570</v>
      </c>
      <c r="N383" s="6">
        <v>46002</v>
      </c>
      <c r="O383" t="s">
        <v>2459</v>
      </c>
      <c r="P383" t="s">
        <v>2445</v>
      </c>
      <c r="Q383" s="23">
        <v>0.5766782407407407</v>
      </c>
      <c r="R383" s="23">
        <v>0.99554398148148149</v>
      </c>
      <c r="S383">
        <v>19.600000000000001</v>
      </c>
      <c r="T383" t="s">
        <v>2443</v>
      </c>
      <c r="U383" t="s">
        <v>2571</v>
      </c>
      <c r="V383">
        <v>9.5500000000000007</v>
      </c>
      <c r="W383">
        <v>8</v>
      </c>
      <c r="X383">
        <v>1.55</v>
      </c>
      <c r="Y383" t="s">
        <v>2689</v>
      </c>
      <c r="Z383" t="s">
        <v>2689</v>
      </c>
      <c r="AA383" t="s">
        <v>2689</v>
      </c>
      <c r="AC383" t="s">
        <v>2689</v>
      </c>
      <c r="AD383" t="s">
        <v>2689</v>
      </c>
      <c r="AE383" t="s">
        <v>2689</v>
      </c>
      <c r="AF383" t="s">
        <v>2689</v>
      </c>
      <c r="AH383">
        <v>156.80000000000001</v>
      </c>
      <c r="AI383">
        <v>45.57</v>
      </c>
      <c r="AJ383" t="s">
        <v>2690</v>
      </c>
      <c r="AK383" t="s">
        <v>2690</v>
      </c>
      <c r="AL383" t="s">
        <v>2690</v>
      </c>
      <c r="AP383">
        <v>202.37</v>
      </c>
      <c r="AR383" s="23">
        <v>0.5766782407407407</v>
      </c>
      <c r="AS383" s="23">
        <v>0.99554398148148149</v>
      </c>
      <c r="AT383" s="23">
        <v>0.58333333333333337</v>
      </c>
      <c r="AU383" s="23">
        <v>0.91666666666666663</v>
      </c>
      <c r="AV383" t="s">
        <v>2565</v>
      </c>
      <c r="AX383">
        <v>230</v>
      </c>
      <c r="AY383">
        <v>0.5</v>
      </c>
      <c r="AZ383" t="s">
        <v>3142</v>
      </c>
      <c r="BA383" t="s">
        <v>2759</v>
      </c>
      <c r="BD383" t="s">
        <v>2572</v>
      </c>
      <c r="BE383" t="s">
        <v>3017</v>
      </c>
      <c r="BG383">
        <v>0</v>
      </c>
      <c r="BH383">
        <v>0</v>
      </c>
      <c r="BJ383">
        <v>0</v>
      </c>
    </row>
    <row r="384" spans="1:62" x14ac:dyDescent="0.2">
      <c r="A384" t="s">
        <v>2462</v>
      </c>
      <c r="B384" t="s">
        <v>2462</v>
      </c>
      <c r="C384">
        <v>100073271</v>
      </c>
      <c r="D384" t="s">
        <v>2738</v>
      </c>
      <c r="E384" t="s">
        <v>2439</v>
      </c>
      <c r="F384" t="s">
        <v>2794</v>
      </c>
      <c r="G384" t="s">
        <v>2795</v>
      </c>
      <c r="H384" s="23">
        <v>0.79166666666666663</v>
      </c>
      <c r="I384" t="s">
        <v>2696</v>
      </c>
      <c r="J384" t="s">
        <v>2568</v>
      </c>
      <c r="K384" t="s">
        <v>2611</v>
      </c>
      <c r="L384" t="s">
        <v>2462</v>
      </c>
      <c r="M384" t="s">
        <v>2570</v>
      </c>
      <c r="N384" s="6">
        <v>46003</v>
      </c>
      <c r="O384" t="s">
        <v>2449</v>
      </c>
      <c r="P384" t="s">
        <v>2445</v>
      </c>
      <c r="Q384" s="23">
        <v>0.57660879629629624</v>
      </c>
      <c r="R384" s="23">
        <v>0.95893518518518517</v>
      </c>
      <c r="S384">
        <v>19.600000000000001</v>
      </c>
      <c r="T384" t="s">
        <v>2443</v>
      </c>
      <c r="U384" t="s">
        <v>2571</v>
      </c>
      <c r="V384">
        <v>8.68</v>
      </c>
      <c r="W384">
        <v>8</v>
      </c>
      <c r="X384">
        <v>0.68</v>
      </c>
      <c r="Y384" t="s">
        <v>2689</v>
      </c>
      <c r="Z384" t="s">
        <v>2689</v>
      </c>
      <c r="AA384" t="s">
        <v>2689</v>
      </c>
      <c r="AC384" t="s">
        <v>2689</v>
      </c>
      <c r="AD384" t="s">
        <v>2689</v>
      </c>
      <c r="AE384" t="s">
        <v>2689</v>
      </c>
      <c r="AF384" t="s">
        <v>2689</v>
      </c>
      <c r="AH384">
        <v>156.80000000000001</v>
      </c>
      <c r="AI384">
        <v>19.989999999999998</v>
      </c>
      <c r="AJ384" t="s">
        <v>2690</v>
      </c>
      <c r="AK384" t="s">
        <v>2690</v>
      </c>
      <c r="AL384" t="s">
        <v>2690</v>
      </c>
      <c r="AP384">
        <v>176.79</v>
      </c>
      <c r="AR384" s="23">
        <v>0.57660879629629624</v>
      </c>
      <c r="AS384" s="23">
        <v>0.95893518518518517</v>
      </c>
      <c r="AT384" s="23">
        <v>0.58333333333333337</v>
      </c>
      <c r="AU384" s="23">
        <v>0.91666666666666663</v>
      </c>
      <c r="AV384" t="s">
        <v>2565</v>
      </c>
      <c r="AX384">
        <v>230</v>
      </c>
      <c r="AY384">
        <v>0.5</v>
      </c>
      <c r="AZ384" t="s">
        <v>3143</v>
      </c>
      <c r="BA384" t="s">
        <v>2798</v>
      </c>
      <c r="BD384" t="s">
        <v>2572</v>
      </c>
      <c r="BE384" t="s">
        <v>3017</v>
      </c>
      <c r="BG384">
        <v>0</v>
      </c>
      <c r="BH384">
        <v>0</v>
      </c>
      <c r="BJ384">
        <v>0</v>
      </c>
    </row>
    <row r="385" spans="1:62" x14ac:dyDescent="0.2">
      <c r="A385" t="s">
        <v>2462</v>
      </c>
      <c r="B385" t="s">
        <v>2462</v>
      </c>
      <c r="C385">
        <v>100073271</v>
      </c>
      <c r="D385" t="s">
        <v>2738</v>
      </c>
      <c r="E385" t="s">
        <v>2439</v>
      </c>
      <c r="F385" t="s">
        <v>2811</v>
      </c>
      <c r="G385" t="s">
        <v>2812</v>
      </c>
      <c r="H385" s="23">
        <v>0.6875</v>
      </c>
      <c r="I385" t="s">
        <v>2696</v>
      </c>
      <c r="J385" t="s">
        <v>2568</v>
      </c>
      <c r="K385" t="s">
        <v>2668</v>
      </c>
      <c r="L385" t="s">
        <v>2462</v>
      </c>
      <c r="M385" t="s">
        <v>2570</v>
      </c>
      <c r="N385" s="6">
        <v>46005</v>
      </c>
      <c r="O385" t="s">
        <v>2461</v>
      </c>
      <c r="P385" t="s">
        <v>2442</v>
      </c>
      <c r="Q385" s="23">
        <v>0.5350462962962963</v>
      </c>
      <c r="R385" s="23">
        <v>0.84809027777777779</v>
      </c>
      <c r="S385">
        <v>19.600000000000001</v>
      </c>
      <c r="T385" t="s">
        <v>2443</v>
      </c>
      <c r="U385" t="s">
        <v>2571</v>
      </c>
      <c r="V385">
        <v>7.01</v>
      </c>
      <c r="W385">
        <v>7.01</v>
      </c>
      <c r="X385" t="s">
        <v>2689</v>
      </c>
      <c r="Y385" t="s">
        <v>2689</v>
      </c>
      <c r="Z385" t="s">
        <v>2689</v>
      </c>
      <c r="AA385" t="s">
        <v>2689</v>
      </c>
      <c r="AC385" t="s">
        <v>2689</v>
      </c>
      <c r="AD385" t="s">
        <v>2689</v>
      </c>
      <c r="AE385" t="s">
        <v>2689</v>
      </c>
      <c r="AF385" t="s">
        <v>2689</v>
      </c>
      <c r="AH385">
        <v>137.4</v>
      </c>
      <c r="AI385" t="s">
        <v>2690</v>
      </c>
      <c r="AJ385" t="s">
        <v>2690</v>
      </c>
      <c r="AK385" t="s">
        <v>2690</v>
      </c>
      <c r="AL385" t="s">
        <v>2690</v>
      </c>
      <c r="AP385">
        <v>137.4</v>
      </c>
      <c r="AR385" s="23">
        <v>0.5350462962962963</v>
      </c>
      <c r="AS385" s="23">
        <v>0.84809027777777779</v>
      </c>
      <c r="AT385" s="23">
        <v>0.54166666666666663</v>
      </c>
      <c r="AU385" s="23">
        <v>0.875</v>
      </c>
      <c r="AV385" t="s">
        <v>2565</v>
      </c>
      <c r="AX385">
        <v>230</v>
      </c>
      <c r="AY385">
        <v>0.5</v>
      </c>
      <c r="AZ385" t="s">
        <v>3144</v>
      </c>
      <c r="BA385" t="s">
        <v>2798</v>
      </c>
      <c r="BD385" t="s">
        <v>2572</v>
      </c>
      <c r="BE385" t="s">
        <v>3017</v>
      </c>
      <c r="BG385">
        <v>0</v>
      </c>
      <c r="BH385">
        <v>0</v>
      </c>
      <c r="BJ385">
        <v>0</v>
      </c>
    </row>
    <row r="386" spans="1:62" x14ac:dyDescent="0.2">
      <c r="A386" t="s">
        <v>2462</v>
      </c>
      <c r="B386" t="s">
        <v>2462</v>
      </c>
      <c r="C386">
        <v>100073271</v>
      </c>
      <c r="D386" t="s">
        <v>2738</v>
      </c>
      <c r="E386" t="s">
        <v>2439</v>
      </c>
      <c r="F386" t="s">
        <v>2814</v>
      </c>
      <c r="G386" t="s">
        <v>2815</v>
      </c>
      <c r="H386" s="23">
        <v>0.47916666666666669</v>
      </c>
      <c r="I386" t="s">
        <v>2696</v>
      </c>
      <c r="J386" t="s">
        <v>2583</v>
      </c>
      <c r="K386" t="s">
        <v>2604</v>
      </c>
      <c r="L386" t="s">
        <v>2462</v>
      </c>
      <c r="M386" t="s">
        <v>2567</v>
      </c>
      <c r="N386" s="6">
        <v>46006</v>
      </c>
      <c r="O386" t="s">
        <v>2455</v>
      </c>
      <c r="P386" t="s">
        <v>2445</v>
      </c>
      <c r="Q386" s="23">
        <v>0.29292824074074075</v>
      </c>
      <c r="R386" s="23">
        <v>0.49459490740740741</v>
      </c>
      <c r="S386">
        <v>19.600000000000001</v>
      </c>
      <c r="T386" t="s">
        <v>2443</v>
      </c>
      <c r="U386" t="s">
        <v>2571</v>
      </c>
      <c r="V386">
        <v>4.84</v>
      </c>
      <c r="W386">
        <v>4.84</v>
      </c>
      <c r="X386" t="s">
        <v>2689</v>
      </c>
      <c r="Y386" t="s">
        <v>2689</v>
      </c>
      <c r="Z386" t="s">
        <v>2689</v>
      </c>
      <c r="AA386" t="s">
        <v>2689</v>
      </c>
      <c r="AC386" t="s">
        <v>2689</v>
      </c>
      <c r="AD386" t="s">
        <v>2689</v>
      </c>
      <c r="AE386" t="s">
        <v>2689</v>
      </c>
      <c r="AF386" t="s">
        <v>2689</v>
      </c>
      <c r="AH386">
        <v>94.86</v>
      </c>
      <c r="AI386" t="s">
        <v>2690</v>
      </c>
      <c r="AJ386" t="s">
        <v>2690</v>
      </c>
      <c r="AK386" t="s">
        <v>2690</v>
      </c>
      <c r="AL386" t="s">
        <v>2690</v>
      </c>
      <c r="AP386">
        <v>94.86</v>
      </c>
      <c r="AR386" s="23">
        <v>0.29292824074074075</v>
      </c>
      <c r="AS386" s="23">
        <v>0.49459490740740741</v>
      </c>
      <c r="AT386" s="23">
        <v>0.29166666666666669</v>
      </c>
      <c r="AU386" s="23">
        <v>0.625</v>
      </c>
      <c r="AV386" t="s">
        <v>2565</v>
      </c>
      <c r="AX386">
        <v>100</v>
      </c>
      <c r="BA386" t="s">
        <v>2769</v>
      </c>
      <c r="BD386" t="s">
        <v>2572</v>
      </c>
      <c r="BE386" t="s">
        <v>3017</v>
      </c>
      <c r="BG386">
        <v>0</v>
      </c>
      <c r="BH386">
        <v>0</v>
      </c>
      <c r="BJ386">
        <v>0</v>
      </c>
    </row>
    <row r="387" spans="1:62" x14ac:dyDescent="0.2">
      <c r="A387" t="s">
        <v>2462</v>
      </c>
      <c r="B387" t="s">
        <v>2462</v>
      </c>
      <c r="C387">
        <v>100073320</v>
      </c>
      <c r="D387" t="s">
        <v>2739</v>
      </c>
      <c r="E387" t="s">
        <v>2439</v>
      </c>
      <c r="F387" t="s">
        <v>2452</v>
      </c>
      <c r="G387" t="s">
        <v>2453</v>
      </c>
      <c r="H387" s="23">
        <v>0.33333333333333331</v>
      </c>
      <c r="I387" t="s">
        <v>2688</v>
      </c>
      <c r="J387" t="s">
        <v>2528</v>
      </c>
      <c r="K387" t="s">
        <v>3023</v>
      </c>
      <c r="L387" t="s">
        <v>2462</v>
      </c>
      <c r="M387" t="s">
        <v>2570</v>
      </c>
      <c r="N387" s="6">
        <v>46001</v>
      </c>
      <c r="O387" t="s">
        <v>2458</v>
      </c>
      <c r="P387" t="s">
        <v>2445</v>
      </c>
      <c r="Q387" s="23">
        <v>0.33349537037037036</v>
      </c>
      <c r="R387" s="23">
        <v>0.66011574074074075</v>
      </c>
      <c r="S387">
        <v>25</v>
      </c>
      <c r="T387" t="s">
        <v>2443</v>
      </c>
      <c r="U387" t="s">
        <v>2577</v>
      </c>
      <c r="V387">
        <v>7.34</v>
      </c>
      <c r="W387">
        <v>7.34</v>
      </c>
      <c r="X387" t="s">
        <v>2689</v>
      </c>
      <c r="Y387" t="s">
        <v>2689</v>
      </c>
      <c r="Z387" t="s">
        <v>2689</v>
      </c>
      <c r="AA387" t="s">
        <v>2689</v>
      </c>
      <c r="AC387" t="s">
        <v>2689</v>
      </c>
      <c r="AD387" t="s">
        <v>2689</v>
      </c>
      <c r="AE387" t="s">
        <v>2689</v>
      </c>
      <c r="AF387" t="s">
        <v>2689</v>
      </c>
      <c r="AH387">
        <v>183.5</v>
      </c>
      <c r="AI387" t="s">
        <v>2690</v>
      </c>
      <c r="AJ387" t="s">
        <v>2690</v>
      </c>
      <c r="AK387" t="s">
        <v>2690</v>
      </c>
      <c r="AL387" t="s">
        <v>2690</v>
      </c>
      <c r="AP387">
        <v>183.5</v>
      </c>
      <c r="AR387" s="23">
        <v>0.33349537037037036</v>
      </c>
      <c r="AS387" s="23">
        <v>0.66011574074074075</v>
      </c>
      <c r="AT387" s="23">
        <v>0.33333333333333331</v>
      </c>
      <c r="AU387" s="23">
        <v>0.66666666666666663</v>
      </c>
      <c r="AV387" t="s">
        <v>2565</v>
      </c>
      <c r="AX387">
        <v>230</v>
      </c>
      <c r="AY387">
        <v>0.5</v>
      </c>
      <c r="AZ387" t="s">
        <v>3145</v>
      </c>
      <c r="BA387" t="s">
        <v>2759</v>
      </c>
      <c r="BD387" t="s">
        <v>2578</v>
      </c>
      <c r="BE387" t="s">
        <v>2988</v>
      </c>
      <c r="BG387">
        <v>0</v>
      </c>
      <c r="BH387">
        <v>0</v>
      </c>
      <c r="BJ387">
        <v>0</v>
      </c>
    </row>
    <row r="388" spans="1:62" x14ac:dyDescent="0.2">
      <c r="A388" t="s">
        <v>2462</v>
      </c>
      <c r="B388" t="s">
        <v>2462</v>
      </c>
      <c r="C388">
        <v>100073320</v>
      </c>
      <c r="D388" t="s">
        <v>2739</v>
      </c>
      <c r="E388" t="s">
        <v>2439</v>
      </c>
      <c r="F388" t="s">
        <v>2791</v>
      </c>
      <c r="G388" t="s">
        <v>2792</v>
      </c>
      <c r="H388" s="23">
        <v>0.79166666666666663</v>
      </c>
      <c r="I388" t="s">
        <v>2696</v>
      </c>
      <c r="J388" t="s">
        <v>2528</v>
      </c>
      <c r="K388" t="s">
        <v>3021</v>
      </c>
      <c r="L388" t="s">
        <v>2462</v>
      </c>
      <c r="M388" t="s">
        <v>2570</v>
      </c>
      <c r="N388" s="6">
        <v>46002</v>
      </c>
      <c r="O388" t="s">
        <v>2459</v>
      </c>
      <c r="P388" t="s">
        <v>2445</v>
      </c>
      <c r="Q388" s="23">
        <v>0.57648148148148148</v>
      </c>
      <c r="R388" s="23">
        <v>2.0833333333333333E-3</v>
      </c>
      <c r="S388">
        <v>25</v>
      </c>
      <c r="T388" t="s">
        <v>2443</v>
      </c>
      <c r="U388" t="s">
        <v>2577</v>
      </c>
      <c r="V388">
        <v>9.7100000000000009</v>
      </c>
      <c r="W388">
        <v>8</v>
      </c>
      <c r="X388">
        <v>1.71</v>
      </c>
      <c r="Y388" t="s">
        <v>2689</v>
      </c>
      <c r="Z388" t="s">
        <v>2689</v>
      </c>
      <c r="AA388" t="s">
        <v>2689</v>
      </c>
      <c r="AC388" t="s">
        <v>2689</v>
      </c>
      <c r="AD388" t="s">
        <v>2689</v>
      </c>
      <c r="AE388" t="s">
        <v>2689</v>
      </c>
      <c r="AF388" t="s">
        <v>2689</v>
      </c>
      <c r="AH388">
        <v>200</v>
      </c>
      <c r="AI388">
        <v>64.13</v>
      </c>
      <c r="AJ388" t="s">
        <v>2690</v>
      </c>
      <c r="AK388" t="s">
        <v>2690</v>
      </c>
      <c r="AL388" t="s">
        <v>2690</v>
      </c>
      <c r="AP388">
        <v>264.13</v>
      </c>
      <c r="AR388" s="23">
        <v>0.57648148148148148</v>
      </c>
      <c r="AS388" s="23">
        <v>2.0833333333333333E-3</v>
      </c>
      <c r="AT388" s="23">
        <v>0.58333333333333337</v>
      </c>
      <c r="AU388" s="23">
        <v>0.91666666666666663</v>
      </c>
      <c r="AV388" t="s">
        <v>2565</v>
      </c>
      <c r="AX388">
        <v>230</v>
      </c>
      <c r="AY388">
        <v>0.5</v>
      </c>
      <c r="AZ388" t="s">
        <v>3146</v>
      </c>
      <c r="BA388" t="s">
        <v>2759</v>
      </c>
      <c r="BD388" t="s">
        <v>2578</v>
      </c>
      <c r="BE388" t="s">
        <v>2988</v>
      </c>
      <c r="BG388">
        <v>0</v>
      </c>
      <c r="BH388">
        <v>0</v>
      </c>
      <c r="BJ388">
        <v>0</v>
      </c>
    </row>
    <row r="389" spans="1:62" x14ac:dyDescent="0.2">
      <c r="A389" t="s">
        <v>2462</v>
      </c>
      <c r="B389" t="s">
        <v>2462</v>
      </c>
      <c r="C389">
        <v>100073320</v>
      </c>
      <c r="D389" t="s">
        <v>2739</v>
      </c>
      <c r="E389" t="s">
        <v>2439</v>
      </c>
      <c r="F389" t="s">
        <v>2794</v>
      </c>
      <c r="G389" t="s">
        <v>2795</v>
      </c>
      <c r="H389" s="23">
        <v>0.79166666666666663</v>
      </c>
      <c r="I389" t="s">
        <v>2696</v>
      </c>
      <c r="J389" t="s">
        <v>2528</v>
      </c>
      <c r="K389" t="s">
        <v>3023</v>
      </c>
      <c r="L389" t="s">
        <v>2462</v>
      </c>
      <c r="M389" t="s">
        <v>2570</v>
      </c>
      <c r="N389" s="6">
        <v>46003</v>
      </c>
      <c r="O389" t="s">
        <v>2449</v>
      </c>
      <c r="P389" t="s">
        <v>2445</v>
      </c>
      <c r="Q389" s="23">
        <v>0.57651620370370371</v>
      </c>
      <c r="R389" s="23">
        <v>0.91459490740740745</v>
      </c>
      <c r="S389">
        <v>25</v>
      </c>
      <c r="T389" t="s">
        <v>2443</v>
      </c>
      <c r="U389" t="s">
        <v>2577</v>
      </c>
      <c r="V389">
        <v>7.61</v>
      </c>
      <c r="W389">
        <v>7.61</v>
      </c>
      <c r="X389" t="s">
        <v>2689</v>
      </c>
      <c r="Y389" t="s">
        <v>2689</v>
      </c>
      <c r="Z389" t="s">
        <v>2689</v>
      </c>
      <c r="AA389" t="s">
        <v>2689</v>
      </c>
      <c r="AC389" t="s">
        <v>2689</v>
      </c>
      <c r="AD389" t="s">
        <v>2689</v>
      </c>
      <c r="AE389" t="s">
        <v>2689</v>
      </c>
      <c r="AF389" t="s">
        <v>2689</v>
      </c>
      <c r="AH389">
        <v>190.25</v>
      </c>
      <c r="AI389" t="s">
        <v>2690</v>
      </c>
      <c r="AJ389" t="s">
        <v>2690</v>
      </c>
      <c r="AK389" t="s">
        <v>2690</v>
      </c>
      <c r="AL389" t="s">
        <v>2690</v>
      </c>
      <c r="AP389">
        <v>190.25</v>
      </c>
      <c r="AR389" s="23">
        <v>0.57651620370370371</v>
      </c>
      <c r="AS389" s="23">
        <v>0.91459490740740745</v>
      </c>
      <c r="AT389" s="23">
        <v>0.58333333333333337</v>
      </c>
      <c r="AU389" s="23">
        <v>0.91666666666666663</v>
      </c>
      <c r="AV389" t="s">
        <v>2565</v>
      </c>
      <c r="AX389">
        <v>230</v>
      </c>
      <c r="AY389">
        <v>0.5</v>
      </c>
      <c r="AZ389" t="s">
        <v>3147</v>
      </c>
      <c r="BA389" t="s">
        <v>2798</v>
      </c>
      <c r="BD389" t="s">
        <v>2578</v>
      </c>
      <c r="BE389" t="s">
        <v>2988</v>
      </c>
      <c r="BG389">
        <v>0</v>
      </c>
      <c r="BH389">
        <v>0</v>
      </c>
      <c r="BJ389">
        <v>0</v>
      </c>
    </row>
    <row r="390" spans="1:62" x14ac:dyDescent="0.2">
      <c r="A390" t="s">
        <v>2462</v>
      </c>
      <c r="B390" t="s">
        <v>2462</v>
      </c>
      <c r="C390">
        <v>100073320</v>
      </c>
      <c r="D390" t="s">
        <v>2739</v>
      </c>
      <c r="E390" t="s">
        <v>2439</v>
      </c>
      <c r="F390" t="s">
        <v>2452</v>
      </c>
      <c r="G390" t="s">
        <v>2453</v>
      </c>
      <c r="H390" s="23">
        <v>0.33333333333333331</v>
      </c>
      <c r="I390" t="s">
        <v>2688</v>
      </c>
      <c r="J390" t="s">
        <v>2575</v>
      </c>
      <c r="K390" t="s">
        <v>2579</v>
      </c>
      <c r="L390" t="s">
        <v>2462</v>
      </c>
      <c r="M390" t="s">
        <v>2467</v>
      </c>
      <c r="N390" s="6">
        <v>46008</v>
      </c>
      <c r="O390" t="s">
        <v>2458</v>
      </c>
      <c r="P390" t="s">
        <v>2445</v>
      </c>
      <c r="Q390" s="23">
        <v>0.33251157407407406</v>
      </c>
      <c r="R390" s="23">
        <v>0.53901620370370373</v>
      </c>
      <c r="S390">
        <v>25</v>
      </c>
      <c r="T390" t="s">
        <v>2443</v>
      </c>
      <c r="U390" t="s">
        <v>2577</v>
      </c>
      <c r="V390">
        <v>4.96</v>
      </c>
      <c r="W390">
        <v>4.96</v>
      </c>
      <c r="X390" t="s">
        <v>2689</v>
      </c>
      <c r="Y390" t="s">
        <v>2689</v>
      </c>
      <c r="Z390" t="s">
        <v>2689</v>
      </c>
      <c r="AA390" t="s">
        <v>2689</v>
      </c>
      <c r="AC390" t="s">
        <v>2689</v>
      </c>
      <c r="AD390" t="s">
        <v>2689</v>
      </c>
      <c r="AE390" t="s">
        <v>2689</v>
      </c>
      <c r="AF390" t="s">
        <v>2689</v>
      </c>
      <c r="AH390">
        <v>124</v>
      </c>
      <c r="AI390" t="s">
        <v>2690</v>
      </c>
      <c r="AJ390" t="s">
        <v>2690</v>
      </c>
      <c r="AK390" t="s">
        <v>2690</v>
      </c>
      <c r="AL390" t="s">
        <v>2690</v>
      </c>
      <c r="AP390">
        <v>124</v>
      </c>
      <c r="AR390" s="23">
        <v>0.33251157407407406</v>
      </c>
      <c r="AS390" s="23">
        <v>0.53901620370370373</v>
      </c>
      <c r="AT390" s="23">
        <v>0.33333333333333331</v>
      </c>
      <c r="AU390" s="23">
        <v>0.54166666666666663</v>
      </c>
      <c r="AV390" t="s">
        <v>2565</v>
      </c>
      <c r="AX390">
        <v>100</v>
      </c>
      <c r="BA390" t="s">
        <v>2771</v>
      </c>
      <c r="BD390" t="s">
        <v>2578</v>
      </c>
      <c r="BE390" t="s">
        <v>2988</v>
      </c>
      <c r="BG390">
        <v>0</v>
      </c>
      <c r="BH390">
        <v>0</v>
      </c>
      <c r="BJ390">
        <v>0</v>
      </c>
    </row>
    <row r="391" spans="1:62" x14ac:dyDescent="0.2">
      <c r="A391" t="s">
        <v>2462</v>
      </c>
      <c r="B391" t="s">
        <v>2462</v>
      </c>
      <c r="C391">
        <v>100073320</v>
      </c>
      <c r="D391" t="s">
        <v>2739</v>
      </c>
      <c r="E391" t="s">
        <v>2439</v>
      </c>
      <c r="F391" t="s">
        <v>2452</v>
      </c>
      <c r="G391" t="s">
        <v>2453</v>
      </c>
      <c r="H391" s="23">
        <v>0.33333333333333331</v>
      </c>
      <c r="I391" t="s">
        <v>2688</v>
      </c>
      <c r="J391" t="s">
        <v>2575</v>
      </c>
      <c r="K391" t="s">
        <v>3148</v>
      </c>
      <c r="L391" t="s">
        <v>2462</v>
      </c>
      <c r="M391" t="s">
        <v>2467</v>
      </c>
      <c r="N391" s="6">
        <v>46009</v>
      </c>
      <c r="O391" t="s">
        <v>2459</v>
      </c>
      <c r="P391" t="s">
        <v>2445</v>
      </c>
      <c r="Q391" s="23">
        <v>0.33325231481481482</v>
      </c>
      <c r="R391" s="23">
        <v>0.53759259259259262</v>
      </c>
      <c r="S391">
        <v>25</v>
      </c>
      <c r="T391" t="s">
        <v>2443</v>
      </c>
      <c r="U391" t="s">
        <v>2577</v>
      </c>
      <c r="V391">
        <v>4.9000000000000004</v>
      </c>
      <c r="W391">
        <v>4.9000000000000004</v>
      </c>
      <c r="X391" t="s">
        <v>2689</v>
      </c>
      <c r="Y391" t="s">
        <v>2689</v>
      </c>
      <c r="Z391" t="s">
        <v>2689</v>
      </c>
      <c r="AA391" t="s">
        <v>2689</v>
      </c>
      <c r="AC391" t="s">
        <v>2689</v>
      </c>
      <c r="AD391" t="s">
        <v>2689</v>
      </c>
      <c r="AE391" t="s">
        <v>2689</v>
      </c>
      <c r="AF391" t="s">
        <v>2689</v>
      </c>
      <c r="AH391">
        <v>122.5</v>
      </c>
      <c r="AI391" t="s">
        <v>2690</v>
      </c>
      <c r="AJ391" t="s">
        <v>2690</v>
      </c>
      <c r="AK391" t="s">
        <v>2690</v>
      </c>
      <c r="AL391" t="s">
        <v>2690</v>
      </c>
      <c r="AP391">
        <v>122.5</v>
      </c>
      <c r="AR391" s="23">
        <v>0.33325231481481482</v>
      </c>
      <c r="AS391" s="23">
        <v>0.53759259259259262</v>
      </c>
      <c r="AT391" s="23">
        <v>0.33333333333333331</v>
      </c>
      <c r="AU391" s="23">
        <v>0.54166666666666663</v>
      </c>
      <c r="AV391" t="s">
        <v>2565</v>
      </c>
      <c r="AX391">
        <v>100</v>
      </c>
      <c r="BA391" t="s">
        <v>2765</v>
      </c>
      <c r="BD391" t="s">
        <v>2578</v>
      </c>
      <c r="BE391" t="s">
        <v>2988</v>
      </c>
      <c r="BG391">
        <v>0</v>
      </c>
      <c r="BH391">
        <v>0</v>
      </c>
      <c r="BJ391">
        <v>0</v>
      </c>
    </row>
    <row r="392" spans="1:62" x14ac:dyDescent="0.2">
      <c r="A392" t="s">
        <v>2462</v>
      </c>
      <c r="B392" t="s">
        <v>2462</v>
      </c>
      <c r="C392">
        <v>100077505</v>
      </c>
      <c r="D392" t="s">
        <v>2740</v>
      </c>
      <c r="E392" t="s">
        <v>2439</v>
      </c>
      <c r="F392" t="s">
        <v>2452</v>
      </c>
      <c r="G392" t="s">
        <v>2453</v>
      </c>
      <c r="H392" s="23">
        <v>0.33333333333333331</v>
      </c>
      <c r="I392" t="s">
        <v>2688</v>
      </c>
      <c r="J392" t="s">
        <v>2568</v>
      </c>
      <c r="K392" t="s">
        <v>3149</v>
      </c>
      <c r="L392" t="s">
        <v>2462</v>
      </c>
      <c r="M392" t="s">
        <v>2570</v>
      </c>
      <c r="N392" s="6">
        <v>45992</v>
      </c>
      <c r="O392" t="s">
        <v>2455</v>
      </c>
      <c r="P392" t="s">
        <v>2445</v>
      </c>
      <c r="Q392" s="23">
        <v>0.32686342592592593</v>
      </c>
      <c r="R392" s="23">
        <v>0.66696759259259264</v>
      </c>
      <c r="S392">
        <v>19.600000000000001</v>
      </c>
      <c r="T392" t="s">
        <v>2443</v>
      </c>
      <c r="U392" t="s">
        <v>2571</v>
      </c>
      <c r="V392">
        <v>7.66</v>
      </c>
      <c r="W392">
        <v>7.66</v>
      </c>
      <c r="X392" t="s">
        <v>2689</v>
      </c>
      <c r="Y392" t="s">
        <v>2689</v>
      </c>
      <c r="Z392" t="s">
        <v>2689</v>
      </c>
      <c r="AA392" t="s">
        <v>2689</v>
      </c>
      <c r="AC392" t="s">
        <v>2689</v>
      </c>
      <c r="AD392" t="s">
        <v>2689</v>
      </c>
      <c r="AE392" t="s">
        <v>2689</v>
      </c>
      <c r="AF392" t="s">
        <v>2689</v>
      </c>
      <c r="AH392">
        <v>150.13999999999999</v>
      </c>
      <c r="AI392" t="s">
        <v>2690</v>
      </c>
      <c r="AJ392" t="s">
        <v>2690</v>
      </c>
      <c r="AK392" t="s">
        <v>2690</v>
      </c>
      <c r="AL392" t="s">
        <v>2690</v>
      </c>
      <c r="AP392">
        <v>150.13999999999999</v>
      </c>
      <c r="AR392" s="23">
        <v>0.32686342592592593</v>
      </c>
      <c r="AS392" s="23">
        <v>0.66696759259259264</v>
      </c>
      <c r="AT392" s="23">
        <v>0.33333333333333331</v>
      </c>
      <c r="AU392" s="23">
        <v>0.6875</v>
      </c>
      <c r="AV392" t="s">
        <v>2565</v>
      </c>
      <c r="AX392">
        <v>230</v>
      </c>
      <c r="AY392">
        <v>0.5</v>
      </c>
      <c r="AZ392" t="s">
        <v>3150</v>
      </c>
      <c r="BA392" t="s">
        <v>2692</v>
      </c>
      <c r="BD392" t="s">
        <v>2572</v>
      </c>
      <c r="BE392" t="s">
        <v>3017</v>
      </c>
      <c r="BG392">
        <v>0</v>
      </c>
      <c r="BH392">
        <v>0</v>
      </c>
      <c r="BJ392">
        <v>0</v>
      </c>
    </row>
    <row r="393" spans="1:62" x14ac:dyDescent="0.2">
      <c r="A393" t="s">
        <v>2462</v>
      </c>
      <c r="B393" t="s">
        <v>2462</v>
      </c>
      <c r="C393">
        <v>100077505</v>
      </c>
      <c r="D393" t="s">
        <v>2740</v>
      </c>
      <c r="E393" t="s">
        <v>2439</v>
      </c>
      <c r="F393" t="s">
        <v>2800</v>
      </c>
      <c r="G393" t="s">
        <v>2801</v>
      </c>
      <c r="H393" s="23">
        <v>0.66666666666666663</v>
      </c>
      <c r="I393" t="s">
        <v>2696</v>
      </c>
      <c r="J393" t="s">
        <v>2568</v>
      </c>
      <c r="K393" t="s">
        <v>3149</v>
      </c>
      <c r="L393" t="s">
        <v>2462</v>
      </c>
      <c r="M393" t="s">
        <v>2570</v>
      </c>
      <c r="N393" s="6">
        <v>45993</v>
      </c>
      <c r="O393" t="s">
        <v>2457</v>
      </c>
      <c r="P393" t="s">
        <v>2445</v>
      </c>
      <c r="Q393" s="23">
        <v>0.33501157407407406</v>
      </c>
      <c r="R393" s="23">
        <v>0.64962962962962967</v>
      </c>
      <c r="S393">
        <v>19.600000000000001</v>
      </c>
      <c r="T393" t="s">
        <v>2443</v>
      </c>
      <c r="U393" t="s">
        <v>2571</v>
      </c>
      <c r="V393">
        <v>7.05</v>
      </c>
      <c r="W393">
        <v>7.05</v>
      </c>
      <c r="X393" t="s">
        <v>2689</v>
      </c>
      <c r="Y393" t="s">
        <v>2689</v>
      </c>
      <c r="Z393" t="s">
        <v>2689</v>
      </c>
      <c r="AA393" t="s">
        <v>2689</v>
      </c>
      <c r="AC393" t="s">
        <v>2689</v>
      </c>
      <c r="AD393" t="s">
        <v>2689</v>
      </c>
      <c r="AE393" t="s">
        <v>2689</v>
      </c>
      <c r="AF393" t="s">
        <v>2689</v>
      </c>
      <c r="AH393">
        <v>138.18</v>
      </c>
      <c r="AI393" t="s">
        <v>2690</v>
      </c>
      <c r="AJ393" t="s">
        <v>2690</v>
      </c>
      <c r="AK393" t="s">
        <v>2690</v>
      </c>
      <c r="AL393" t="s">
        <v>2690</v>
      </c>
      <c r="AP393">
        <v>138.18</v>
      </c>
      <c r="AR393" s="23">
        <v>0.33501157407407406</v>
      </c>
      <c r="AS393" s="23">
        <v>0.64962962962962967</v>
      </c>
      <c r="AT393" s="23">
        <v>0.33333333333333331</v>
      </c>
      <c r="AU393" s="23">
        <v>0.66666666666666663</v>
      </c>
      <c r="AV393" t="s">
        <v>2565</v>
      </c>
      <c r="AX393">
        <v>230</v>
      </c>
      <c r="AY393">
        <v>0.5</v>
      </c>
      <c r="AZ393" t="s">
        <v>3151</v>
      </c>
      <c r="BA393" t="s">
        <v>2752</v>
      </c>
      <c r="BD393" t="s">
        <v>2572</v>
      </c>
      <c r="BE393" t="s">
        <v>3017</v>
      </c>
      <c r="BG393">
        <v>0</v>
      </c>
      <c r="BH393">
        <v>0</v>
      </c>
      <c r="BJ393">
        <v>0</v>
      </c>
    </row>
    <row r="394" spans="1:62" x14ac:dyDescent="0.2">
      <c r="A394" t="s">
        <v>2462</v>
      </c>
      <c r="B394" t="s">
        <v>2462</v>
      </c>
      <c r="C394">
        <v>100077505</v>
      </c>
      <c r="D394" t="s">
        <v>2740</v>
      </c>
      <c r="E394" t="s">
        <v>2439</v>
      </c>
      <c r="F394" t="s">
        <v>2782</v>
      </c>
      <c r="G394" t="s">
        <v>2783</v>
      </c>
      <c r="H394" s="23">
        <v>0.70833333333333337</v>
      </c>
      <c r="I394" t="s">
        <v>2696</v>
      </c>
      <c r="J394" t="s">
        <v>2568</v>
      </c>
      <c r="K394" t="s">
        <v>3149</v>
      </c>
      <c r="L394" t="s">
        <v>2462</v>
      </c>
      <c r="M394" t="s">
        <v>2570</v>
      </c>
      <c r="N394" s="6">
        <v>45994</v>
      </c>
      <c r="O394" t="s">
        <v>2458</v>
      </c>
      <c r="P394" t="s">
        <v>2445</v>
      </c>
      <c r="Q394" s="23">
        <v>0.51952546296296298</v>
      </c>
      <c r="R394" s="23">
        <v>0.85100694444444447</v>
      </c>
      <c r="S394">
        <v>19.600000000000001</v>
      </c>
      <c r="T394" t="s">
        <v>2443</v>
      </c>
      <c r="U394" t="s">
        <v>2571</v>
      </c>
      <c r="V394">
        <v>7.46</v>
      </c>
      <c r="W394">
        <v>7.46</v>
      </c>
      <c r="X394" t="s">
        <v>2689</v>
      </c>
      <c r="Y394" t="s">
        <v>2689</v>
      </c>
      <c r="Z394" t="s">
        <v>2689</v>
      </c>
      <c r="AA394" t="s">
        <v>2689</v>
      </c>
      <c r="AC394" t="s">
        <v>2689</v>
      </c>
      <c r="AD394" t="s">
        <v>2689</v>
      </c>
      <c r="AE394" t="s">
        <v>2689</v>
      </c>
      <c r="AF394" t="s">
        <v>2689</v>
      </c>
      <c r="AH394">
        <v>146.22</v>
      </c>
      <c r="AI394" t="s">
        <v>2690</v>
      </c>
      <c r="AJ394" t="s">
        <v>2690</v>
      </c>
      <c r="AK394" t="s">
        <v>2690</v>
      </c>
      <c r="AL394" t="s">
        <v>2690</v>
      </c>
      <c r="AP394">
        <v>146.22</v>
      </c>
      <c r="AR394" s="23">
        <v>0.51952546296296298</v>
      </c>
      <c r="AS394" s="23">
        <v>0.85100694444444447</v>
      </c>
      <c r="AT394" s="23">
        <v>0.52083333333333337</v>
      </c>
      <c r="AU394" s="23">
        <v>0.85416666666666663</v>
      </c>
      <c r="AV394" t="s">
        <v>2565</v>
      </c>
      <c r="AX394">
        <v>230</v>
      </c>
      <c r="AY394">
        <v>0.5</v>
      </c>
      <c r="AZ394" t="s">
        <v>3152</v>
      </c>
      <c r="BA394" t="s">
        <v>2754</v>
      </c>
      <c r="BD394" t="s">
        <v>2572</v>
      </c>
      <c r="BE394" t="s">
        <v>3017</v>
      </c>
      <c r="BG394">
        <v>0</v>
      </c>
      <c r="BH394">
        <v>0</v>
      </c>
      <c r="BJ394">
        <v>0</v>
      </c>
    </row>
    <row r="395" spans="1:62" x14ac:dyDescent="0.2">
      <c r="A395" t="s">
        <v>2462</v>
      </c>
      <c r="B395" t="s">
        <v>2462</v>
      </c>
      <c r="C395">
        <v>100077505</v>
      </c>
      <c r="D395" t="s">
        <v>2740</v>
      </c>
      <c r="E395" t="s">
        <v>2439</v>
      </c>
      <c r="F395" t="s">
        <v>2452</v>
      </c>
      <c r="G395" t="s">
        <v>2453</v>
      </c>
      <c r="H395" s="23">
        <v>0.33333333333333331</v>
      </c>
      <c r="I395" t="s">
        <v>2688</v>
      </c>
      <c r="J395" t="s">
        <v>2568</v>
      </c>
      <c r="K395" t="s">
        <v>3149</v>
      </c>
      <c r="L395" t="s">
        <v>2462</v>
      </c>
      <c r="M395" t="s">
        <v>2570</v>
      </c>
      <c r="N395" s="6">
        <v>45996</v>
      </c>
      <c r="O395" t="s">
        <v>2449</v>
      </c>
      <c r="P395" t="s">
        <v>2445</v>
      </c>
      <c r="Q395" s="23">
        <v>0.32848379629629632</v>
      </c>
      <c r="R395" s="23">
        <v>0.54214120370370367</v>
      </c>
      <c r="S395">
        <v>19.600000000000001</v>
      </c>
      <c r="T395" t="s">
        <v>2443</v>
      </c>
      <c r="U395" t="s">
        <v>2571</v>
      </c>
      <c r="V395">
        <v>5.13</v>
      </c>
      <c r="W395">
        <v>5.13</v>
      </c>
      <c r="X395" t="s">
        <v>2689</v>
      </c>
      <c r="Y395" t="s">
        <v>2689</v>
      </c>
      <c r="Z395" t="s">
        <v>2689</v>
      </c>
      <c r="AA395" t="s">
        <v>2689</v>
      </c>
      <c r="AC395" t="s">
        <v>2689</v>
      </c>
      <c r="AD395" t="s">
        <v>2689</v>
      </c>
      <c r="AE395" t="s">
        <v>2689</v>
      </c>
      <c r="AF395" t="s">
        <v>2689</v>
      </c>
      <c r="AH395">
        <v>100.55</v>
      </c>
      <c r="AI395" t="s">
        <v>2690</v>
      </c>
      <c r="AJ395" t="s">
        <v>2690</v>
      </c>
      <c r="AK395" t="s">
        <v>2690</v>
      </c>
      <c r="AL395" t="s">
        <v>2690</v>
      </c>
      <c r="AP395">
        <v>100.55</v>
      </c>
      <c r="AR395" s="23">
        <v>0.32848379629629632</v>
      </c>
      <c r="AS395" s="23">
        <v>0.54214120370370367</v>
      </c>
      <c r="AT395" s="23">
        <v>0.33333333333333331</v>
      </c>
      <c r="AU395" s="23">
        <v>0.66666666666666663</v>
      </c>
      <c r="AV395" t="s">
        <v>2565</v>
      </c>
      <c r="AX395">
        <v>230</v>
      </c>
      <c r="BA395" t="s">
        <v>2754</v>
      </c>
      <c r="BD395" t="s">
        <v>2572</v>
      </c>
      <c r="BE395" t="s">
        <v>3017</v>
      </c>
      <c r="BG395">
        <v>0</v>
      </c>
      <c r="BH395">
        <v>0</v>
      </c>
      <c r="BJ395">
        <v>0</v>
      </c>
    </row>
    <row r="396" spans="1:62" x14ac:dyDescent="0.2">
      <c r="A396" t="s">
        <v>2462</v>
      </c>
      <c r="B396" t="s">
        <v>2462</v>
      </c>
      <c r="C396">
        <v>100077505</v>
      </c>
      <c r="D396" t="s">
        <v>2740</v>
      </c>
      <c r="E396" t="s">
        <v>2439</v>
      </c>
      <c r="F396" t="s">
        <v>2786</v>
      </c>
      <c r="G396" t="s">
        <v>2787</v>
      </c>
      <c r="H396" s="23">
        <v>0.66666666666666663</v>
      </c>
      <c r="I396" t="s">
        <v>2696</v>
      </c>
      <c r="J396" t="s">
        <v>2568</v>
      </c>
      <c r="K396" t="s">
        <v>2666</v>
      </c>
      <c r="L396" t="s">
        <v>2462</v>
      </c>
      <c r="M396" t="s">
        <v>2570</v>
      </c>
      <c r="N396" s="6">
        <v>45999</v>
      </c>
      <c r="O396" t="s">
        <v>2455</v>
      </c>
      <c r="P396" t="s">
        <v>2445</v>
      </c>
      <c r="Q396" s="23">
        <v>0.51468749999999996</v>
      </c>
      <c r="R396" s="23">
        <v>0.85396990740740741</v>
      </c>
      <c r="S396">
        <v>19.600000000000001</v>
      </c>
      <c r="T396" t="s">
        <v>2443</v>
      </c>
      <c r="U396" t="s">
        <v>2571</v>
      </c>
      <c r="V396">
        <v>7.64</v>
      </c>
      <c r="W396">
        <v>7.64</v>
      </c>
      <c r="X396" t="s">
        <v>2689</v>
      </c>
      <c r="Y396" t="s">
        <v>2689</v>
      </c>
      <c r="Z396" t="s">
        <v>2689</v>
      </c>
      <c r="AA396" t="s">
        <v>2689</v>
      </c>
      <c r="AC396" t="s">
        <v>2689</v>
      </c>
      <c r="AD396" t="s">
        <v>2689</v>
      </c>
      <c r="AE396" t="s">
        <v>2689</v>
      </c>
      <c r="AF396" t="s">
        <v>2689</v>
      </c>
      <c r="AH396">
        <v>149.74</v>
      </c>
      <c r="AI396" t="s">
        <v>2690</v>
      </c>
      <c r="AJ396" t="s">
        <v>2690</v>
      </c>
      <c r="AK396" t="s">
        <v>2690</v>
      </c>
      <c r="AL396" t="s">
        <v>2690</v>
      </c>
      <c r="AP396">
        <v>149.74</v>
      </c>
      <c r="AR396" s="23">
        <v>0.51468749999999996</v>
      </c>
      <c r="AS396" s="23">
        <v>0.85396990740740741</v>
      </c>
      <c r="AT396" s="23">
        <v>0.52083333333333337</v>
      </c>
      <c r="AU396" s="23">
        <v>0.85416666666666663</v>
      </c>
      <c r="AV396" t="s">
        <v>2565</v>
      </c>
      <c r="AX396">
        <v>230</v>
      </c>
      <c r="AY396">
        <v>0.5</v>
      </c>
      <c r="AZ396" t="s">
        <v>3153</v>
      </c>
      <c r="BA396" t="s">
        <v>2861</v>
      </c>
      <c r="BD396" t="s">
        <v>2572</v>
      </c>
      <c r="BE396" t="s">
        <v>3017</v>
      </c>
      <c r="BG396">
        <v>0</v>
      </c>
      <c r="BH396">
        <v>0</v>
      </c>
      <c r="BJ396">
        <v>0</v>
      </c>
    </row>
    <row r="397" spans="1:62" x14ac:dyDescent="0.2">
      <c r="A397" t="s">
        <v>2462</v>
      </c>
      <c r="B397" t="s">
        <v>2462</v>
      </c>
      <c r="C397">
        <v>100077505</v>
      </c>
      <c r="D397" t="s">
        <v>2740</v>
      </c>
      <c r="E397" t="s">
        <v>2439</v>
      </c>
      <c r="F397" t="s">
        <v>2452</v>
      </c>
      <c r="G397" t="s">
        <v>2453</v>
      </c>
      <c r="H397" s="23">
        <v>0.33333333333333331</v>
      </c>
      <c r="I397" t="s">
        <v>2688</v>
      </c>
      <c r="J397" t="s">
        <v>2568</v>
      </c>
      <c r="K397" t="s">
        <v>3149</v>
      </c>
      <c r="L397" t="s">
        <v>2462</v>
      </c>
      <c r="M397" t="s">
        <v>2570</v>
      </c>
      <c r="N397" s="6">
        <v>46001</v>
      </c>
      <c r="O397" t="s">
        <v>2458</v>
      </c>
      <c r="P397" t="s">
        <v>2445</v>
      </c>
      <c r="Q397" s="23">
        <v>0.33188657407407407</v>
      </c>
      <c r="R397" s="23">
        <v>0.66563657407407406</v>
      </c>
      <c r="S397">
        <v>19.600000000000001</v>
      </c>
      <c r="T397" t="s">
        <v>2443</v>
      </c>
      <c r="U397" t="s">
        <v>2571</v>
      </c>
      <c r="V397">
        <v>7.51</v>
      </c>
      <c r="W397">
        <v>7.51</v>
      </c>
      <c r="X397" t="s">
        <v>2689</v>
      </c>
      <c r="Y397" t="s">
        <v>2689</v>
      </c>
      <c r="Z397" t="s">
        <v>2689</v>
      </c>
      <c r="AA397" t="s">
        <v>2689</v>
      </c>
      <c r="AC397" t="s">
        <v>2689</v>
      </c>
      <c r="AD397" t="s">
        <v>2689</v>
      </c>
      <c r="AE397" t="s">
        <v>2689</v>
      </c>
      <c r="AF397" t="s">
        <v>2689</v>
      </c>
      <c r="AH397">
        <v>147.19999999999999</v>
      </c>
      <c r="AI397" t="s">
        <v>2690</v>
      </c>
      <c r="AJ397" t="s">
        <v>2690</v>
      </c>
      <c r="AK397" t="s">
        <v>2690</v>
      </c>
      <c r="AL397" t="s">
        <v>2690</v>
      </c>
      <c r="AP397">
        <v>147.19999999999999</v>
      </c>
      <c r="AR397" s="23">
        <v>0.33188657407407407</v>
      </c>
      <c r="AS397" s="23">
        <v>0.66563657407407406</v>
      </c>
      <c r="AT397" s="23">
        <v>0.33333333333333331</v>
      </c>
      <c r="AU397" s="23">
        <v>0.66666666666666663</v>
      </c>
      <c r="AV397" t="s">
        <v>2565</v>
      </c>
      <c r="AX397">
        <v>230</v>
      </c>
      <c r="AY397">
        <v>0.5</v>
      </c>
      <c r="AZ397" t="s">
        <v>3154</v>
      </c>
      <c r="BA397" t="s">
        <v>2759</v>
      </c>
      <c r="BD397" t="s">
        <v>2572</v>
      </c>
      <c r="BE397" t="s">
        <v>3017</v>
      </c>
      <c r="BG397">
        <v>0</v>
      </c>
      <c r="BH397">
        <v>0</v>
      </c>
      <c r="BJ397">
        <v>0</v>
      </c>
    </row>
    <row r="398" spans="1:62" x14ac:dyDescent="0.2">
      <c r="A398" t="s">
        <v>2462</v>
      </c>
      <c r="B398" t="s">
        <v>2462</v>
      </c>
      <c r="C398">
        <v>100077505</v>
      </c>
      <c r="D398" t="s">
        <v>2740</v>
      </c>
      <c r="E398" t="s">
        <v>2439</v>
      </c>
      <c r="F398" t="s">
        <v>2791</v>
      </c>
      <c r="G398" t="s">
        <v>2792</v>
      </c>
      <c r="H398" s="23">
        <v>0.79166666666666663</v>
      </c>
      <c r="I398" t="s">
        <v>2696</v>
      </c>
      <c r="J398" t="s">
        <v>2568</v>
      </c>
      <c r="K398" t="s">
        <v>2666</v>
      </c>
      <c r="L398" t="s">
        <v>2462</v>
      </c>
      <c r="M398" t="s">
        <v>2570</v>
      </c>
      <c r="N398" s="6">
        <v>46002</v>
      </c>
      <c r="O398" t="s">
        <v>2459</v>
      </c>
      <c r="P398" t="s">
        <v>2445</v>
      </c>
      <c r="Q398" s="23">
        <v>0.57731481481481484</v>
      </c>
      <c r="R398" s="23">
        <v>0.9365162037037037</v>
      </c>
      <c r="S398">
        <v>19.600000000000001</v>
      </c>
      <c r="T398" t="s">
        <v>2443</v>
      </c>
      <c r="U398" t="s">
        <v>2571</v>
      </c>
      <c r="V398">
        <v>8.1199999999999992</v>
      </c>
      <c r="W398">
        <v>8</v>
      </c>
      <c r="X398">
        <v>0.12</v>
      </c>
      <c r="Y398" t="s">
        <v>2689</v>
      </c>
      <c r="Z398" t="s">
        <v>2689</v>
      </c>
      <c r="AA398" t="s">
        <v>2689</v>
      </c>
      <c r="AC398" t="s">
        <v>2689</v>
      </c>
      <c r="AD398" t="s">
        <v>2689</v>
      </c>
      <c r="AE398" t="s">
        <v>2689</v>
      </c>
      <c r="AF398" t="s">
        <v>2689</v>
      </c>
      <c r="AH398">
        <v>156.80000000000001</v>
      </c>
      <c r="AI398">
        <v>3.53</v>
      </c>
      <c r="AJ398" t="s">
        <v>2690</v>
      </c>
      <c r="AK398" t="s">
        <v>2690</v>
      </c>
      <c r="AL398" t="s">
        <v>2690</v>
      </c>
      <c r="AP398">
        <v>160.33000000000001</v>
      </c>
      <c r="AR398" s="23">
        <v>0.57731481481481484</v>
      </c>
      <c r="AS398" s="23">
        <v>0.9365162037037037</v>
      </c>
      <c r="AT398" s="23">
        <v>0.58333333333333337</v>
      </c>
      <c r="AU398" s="23">
        <v>0.91666666666666663</v>
      </c>
      <c r="AV398" t="s">
        <v>2565</v>
      </c>
      <c r="AX398">
        <v>230</v>
      </c>
      <c r="AY398">
        <v>0.5</v>
      </c>
      <c r="AZ398" t="s">
        <v>3155</v>
      </c>
      <c r="BA398" t="s">
        <v>2759</v>
      </c>
      <c r="BD398" t="s">
        <v>2572</v>
      </c>
      <c r="BE398" t="s">
        <v>3017</v>
      </c>
      <c r="BG398">
        <v>0</v>
      </c>
      <c r="BH398">
        <v>0</v>
      </c>
      <c r="BJ398">
        <v>0</v>
      </c>
    </row>
    <row r="399" spans="1:62" x14ac:dyDescent="0.2">
      <c r="A399" t="s">
        <v>2462</v>
      </c>
      <c r="B399" t="s">
        <v>2462</v>
      </c>
      <c r="C399">
        <v>100077505</v>
      </c>
      <c r="D399" t="s">
        <v>2740</v>
      </c>
      <c r="E399" t="s">
        <v>2439</v>
      </c>
      <c r="F399" t="s">
        <v>2794</v>
      </c>
      <c r="G399" t="s">
        <v>2795</v>
      </c>
      <c r="H399" s="23">
        <v>0.79166666666666663</v>
      </c>
      <c r="I399" t="s">
        <v>2696</v>
      </c>
      <c r="J399" t="s">
        <v>2568</v>
      </c>
      <c r="K399" t="s">
        <v>2666</v>
      </c>
      <c r="L399" t="s">
        <v>2462</v>
      </c>
      <c r="M399" t="s">
        <v>2570</v>
      </c>
      <c r="N399" s="6">
        <v>46003</v>
      </c>
      <c r="O399" t="s">
        <v>2449</v>
      </c>
      <c r="P399" t="s">
        <v>2445</v>
      </c>
      <c r="Q399" s="23">
        <v>0.57674768518518515</v>
      </c>
      <c r="R399" s="23">
        <v>0.9518981481481481</v>
      </c>
      <c r="S399">
        <v>19.600000000000001</v>
      </c>
      <c r="T399" t="s">
        <v>2443</v>
      </c>
      <c r="U399" t="s">
        <v>2571</v>
      </c>
      <c r="V399">
        <v>8.5</v>
      </c>
      <c r="W399">
        <v>8</v>
      </c>
      <c r="X399">
        <v>0.5</v>
      </c>
      <c r="Y399" t="s">
        <v>2689</v>
      </c>
      <c r="Z399" t="s">
        <v>2689</v>
      </c>
      <c r="AA399" t="s">
        <v>2689</v>
      </c>
      <c r="AC399" t="s">
        <v>2689</v>
      </c>
      <c r="AD399" t="s">
        <v>2689</v>
      </c>
      <c r="AE399" t="s">
        <v>2689</v>
      </c>
      <c r="AF399" t="s">
        <v>2689</v>
      </c>
      <c r="AH399">
        <v>156.80000000000001</v>
      </c>
      <c r="AI399">
        <v>14.7</v>
      </c>
      <c r="AJ399" t="s">
        <v>2690</v>
      </c>
      <c r="AK399" t="s">
        <v>2690</v>
      </c>
      <c r="AL399" t="s">
        <v>2690</v>
      </c>
      <c r="AP399">
        <v>171.5</v>
      </c>
      <c r="AR399" s="23">
        <v>0.57674768518518515</v>
      </c>
      <c r="AS399" s="23">
        <v>0.9518981481481481</v>
      </c>
      <c r="AT399" s="23">
        <v>0.58333333333333337</v>
      </c>
      <c r="AU399" s="23">
        <v>0.91666666666666663</v>
      </c>
      <c r="AV399" t="s">
        <v>2565</v>
      </c>
      <c r="AX399">
        <v>230</v>
      </c>
      <c r="AY399">
        <v>0.5</v>
      </c>
      <c r="AZ399" t="s">
        <v>3156</v>
      </c>
      <c r="BA399" t="s">
        <v>2798</v>
      </c>
      <c r="BD399" t="s">
        <v>2572</v>
      </c>
      <c r="BE399" t="s">
        <v>3017</v>
      </c>
      <c r="BG399">
        <v>0</v>
      </c>
      <c r="BH399">
        <v>0</v>
      </c>
      <c r="BJ399">
        <v>0</v>
      </c>
    </row>
    <row r="400" spans="1:62" x14ac:dyDescent="0.2">
      <c r="A400" t="s">
        <v>2462</v>
      </c>
      <c r="B400" t="s">
        <v>2462</v>
      </c>
      <c r="C400">
        <v>100082231</v>
      </c>
      <c r="D400" t="s">
        <v>2741</v>
      </c>
      <c r="E400" t="s">
        <v>2439</v>
      </c>
      <c r="F400" t="s">
        <v>2452</v>
      </c>
      <c r="G400" t="s">
        <v>2453</v>
      </c>
      <c r="H400" s="23">
        <v>0.33333333333333331</v>
      </c>
      <c r="I400" t="s">
        <v>2688</v>
      </c>
      <c r="J400" t="s">
        <v>2568</v>
      </c>
      <c r="K400" t="s">
        <v>2669</v>
      </c>
      <c r="L400" t="s">
        <v>2462</v>
      </c>
      <c r="M400" t="s">
        <v>2570</v>
      </c>
      <c r="N400" s="6">
        <v>45996</v>
      </c>
      <c r="O400" t="s">
        <v>2449</v>
      </c>
      <c r="P400" t="s">
        <v>2445</v>
      </c>
      <c r="Q400" s="23">
        <v>0.32878472222222221</v>
      </c>
      <c r="R400" s="23">
        <v>0.54108796296296291</v>
      </c>
      <c r="S400">
        <v>19.600000000000001</v>
      </c>
      <c r="T400" t="s">
        <v>2443</v>
      </c>
      <c r="U400" t="s">
        <v>2571</v>
      </c>
      <c r="V400">
        <v>5.0999999999999996</v>
      </c>
      <c r="W400">
        <v>5.0999999999999996</v>
      </c>
      <c r="X400" t="s">
        <v>2689</v>
      </c>
      <c r="Y400" t="s">
        <v>2689</v>
      </c>
      <c r="Z400" t="s">
        <v>2689</v>
      </c>
      <c r="AA400" t="s">
        <v>2689</v>
      </c>
      <c r="AC400" t="s">
        <v>2689</v>
      </c>
      <c r="AD400" t="s">
        <v>2689</v>
      </c>
      <c r="AE400" t="s">
        <v>2689</v>
      </c>
      <c r="AF400" t="s">
        <v>2689</v>
      </c>
      <c r="AH400">
        <v>99.96</v>
      </c>
      <c r="AI400" t="s">
        <v>2690</v>
      </c>
      <c r="AJ400" t="s">
        <v>2690</v>
      </c>
      <c r="AK400" t="s">
        <v>2690</v>
      </c>
      <c r="AL400" t="s">
        <v>2690</v>
      </c>
      <c r="AP400">
        <v>99.96</v>
      </c>
      <c r="AR400" s="23">
        <v>0.32878472222222221</v>
      </c>
      <c r="AS400" s="23">
        <v>0.54108796296296291</v>
      </c>
      <c r="AT400" s="23">
        <v>0.33333333333333331</v>
      </c>
      <c r="AU400" s="23">
        <v>0.66666666666666663</v>
      </c>
      <c r="AV400" t="s">
        <v>2565</v>
      </c>
      <c r="AX400">
        <v>230</v>
      </c>
      <c r="BA400" t="s">
        <v>2754</v>
      </c>
      <c r="BD400" t="s">
        <v>2572</v>
      </c>
      <c r="BE400" t="s">
        <v>3017</v>
      </c>
      <c r="BG400">
        <v>0</v>
      </c>
      <c r="BH400">
        <v>0</v>
      </c>
      <c r="BJ400">
        <v>0</v>
      </c>
    </row>
    <row r="401" spans="1:62" x14ac:dyDescent="0.2">
      <c r="A401" t="s">
        <v>2462</v>
      </c>
      <c r="B401" t="s">
        <v>2462</v>
      </c>
      <c r="C401">
        <v>100082231</v>
      </c>
      <c r="D401" t="s">
        <v>2741</v>
      </c>
      <c r="E401" t="s">
        <v>2439</v>
      </c>
      <c r="F401" t="s">
        <v>2452</v>
      </c>
      <c r="G401" t="s">
        <v>2453</v>
      </c>
      <c r="H401" s="23">
        <v>0.33333333333333331</v>
      </c>
      <c r="I401" t="s">
        <v>2688</v>
      </c>
      <c r="J401" t="s">
        <v>2568</v>
      </c>
      <c r="K401" t="s">
        <v>2669</v>
      </c>
      <c r="L401" t="s">
        <v>2462</v>
      </c>
      <c r="M401" t="s">
        <v>2570</v>
      </c>
      <c r="N401" s="6">
        <v>45998</v>
      </c>
      <c r="O401" t="s">
        <v>2461</v>
      </c>
      <c r="P401" t="s">
        <v>2442</v>
      </c>
      <c r="Q401" s="23">
        <v>0.32674768518518521</v>
      </c>
      <c r="R401" s="23">
        <v>0.66752314814814817</v>
      </c>
      <c r="S401">
        <v>19.600000000000001</v>
      </c>
      <c r="T401" t="s">
        <v>2443</v>
      </c>
      <c r="U401" t="s">
        <v>2571</v>
      </c>
      <c r="V401">
        <v>7.68</v>
      </c>
      <c r="W401">
        <v>7.68</v>
      </c>
      <c r="X401" t="s">
        <v>2689</v>
      </c>
      <c r="Y401" t="s">
        <v>2689</v>
      </c>
      <c r="Z401" t="s">
        <v>2689</v>
      </c>
      <c r="AA401" t="s">
        <v>2689</v>
      </c>
      <c r="AC401" t="s">
        <v>2689</v>
      </c>
      <c r="AD401" t="s">
        <v>2689</v>
      </c>
      <c r="AE401" t="s">
        <v>2689</v>
      </c>
      <c r="AF401" t="s">
        <v>2689</v>
      </c>
      <c r="AH401">
        <v>150.53</v>
      </c>
      <c r="AI401" t="s">
        <v>2690</v>
      </c>
      <c r="AJ401" t="s">
        <v>2690</v>
      </c>
      <c r="AK401" t="s">
        <v>2690</v>
      </c>
      <c r="AL401" t="s">
        <v>2690</v>
      </c>
      <c r="AP401">
        <v>150.53</v>
      </c>
      <c r="AR401" s="23">
        <v>0.32674768518518521</v>
      </c>
      <c r="AS401" s="23">
        <v>0.66752314814814817</v>
      </c>
      <c r="AT401" s="23">
        <v>0.33333333333333331</v>
      </c>
      <c r="AU401" s="23">
        <v>0.66666666666666663</v>
      </c>
      <c r="AV401" t="s">
        <v>2565</v>
      </c>
      <c r="AX401">
        <v>230</v>
      </c>
      <c r="AY401">
        <v>0.5</v>
      </c>
      <c r="AZ401" t="s">
        <v>3157</v>
      </c>
      <c r="BA401" t="s">
        <v>2754</v>
      </c>
      <c r="BD401" t="s">
        <v>2572</v>
      </c>
      <c r="BE401" t="s">
        <v>3017</v>
      </c>
      <c r="BG401">
        <v>0</v>
      </c>
      <c r="BH401">
        <v>0</v>
      </c>
      <c r="BJ401">
        <v>0</v>
      </c>
    </row>
    <row r="402" spans="1:62" x14ac:dyDescent="0.2">
      <c r="A402" t="s">
        <v>2462</v>
      </c>
      <c r="B402" t="s">
        <v>2462</v>
      </c>
      <c r="C402">
        <v>100082231</v>
      </c>
      <c r="D402" t="s">
        <v>2741</v>
      </c>
      <c r="E402" t="s">
        <v>2439</v>
      </c>
      <c r="F402" t="s">
        <v>2786</v>
      </c>
      <c r="G402" t="s">
        <v>2787</v>
      </c>
      <c r="H402" s="23">
        <v>0.66666666666666663</v>
      </c>
      <c r="I402" t="s">
        <v>2696</v>
      </c>
      <c r="J402" t="s">
        <v>2568</v>
      </c>
      <c r="K402" t="s">
        <v>2669</v>
      </c>
      <c r="L402" t="s">
        <v>2462</v>
      </c>
      <c r="M402" t="s">
        <v>2570</v>
      </c>
      <c r="N402" s="6">
        <v>45999</v>
      </c>
      <c r="O402" t="s">
        <v>2455</v>
      </c>
      <c r="P402" t="s">
        <v>2445</v>
      </c>
      <c r="Q402" s="23">
        <v>0.51741898148148147</v>
      </c>
      <c r="R402" s="23">
        <v>0.85663194444444446</v>
      </c>
      <c r="S402">
        <v>19.600000000000001</v>
      </c>
      <c r="T402" t="s">
        <v>2443</v>
      </c>
      <c r="U402" t="s">
        <v>2571</v>
      </c>
      <c r="V402">
        <v>7.64</v>
      </c>
      <c r="W402">
        <v>7.64</v>
      </c>
      <c r="X402" t="s">
        <v>2689</v>
      </c>
      <c r="Y402" t="s">
        <v>2689</v>
      </c>
      <c r="Z402" t="s">
        <v>2689</v>
      </c>
      <c r="AA402" t="s">
        <v>2689</v>
      </c>
      <c r="AC402" t="s">
        <v>2689</v>
      </c>
      <c r="AD402" t="s">
        <v>2689</v>
      </c>
      <c r="AE402" t="s">
        <v>2689</v>
      </c>
      <c r="AF402" t="s">
        <v>2689</v>
      </c>
      <c r="AH402">
        <v>149.74</v>
      </c>
      <c r="AI402" t="s">
        <v>2690</v>
      </c>
      <c r="AJ402" t="s">
        <v>2690</v>
      </c>
      <c r="AK402" t="s">
        <v>2690</v>
      </c>
      <c r="AL402" t="s">
        <v>2690</v>
      </c>
      <c r="AP402">
        <v>149.74</v>
      </c>
      <c r="AR402" s="23">
        <v>0.51741898148148147</v>
      </c>
      <c r="AS402" s="23">
        <v>0.85663194444444446</v>
      </c>
      <c r="AT402" s="23">
        <v>0.52083333333333337</v>
      </c>
      <c r="AU402" s="23">
        <v>0.85416666666666663</v>
      </c>
      <c r="AV402" t="s">
        <v>2565</v>
      </c>
      <c r="AX402">
        <v>230</v>
      </c>
      <c r="AY402">
        <v>0.5</v>
      </c>
      <c r="AZ402" t="s">
        <v>3158</v>
      </c>
      <c r="BA402" t="s">
        <v>2861</v>
      </c>
      <c r="BD402" t="s">
        <v>2572</v>
      </c>
      <c r="BE402" t="s">
        <v>3017</v>
      </c>
      <c r="BG402">
        <v>0</v>
      </c>
      <c r="BH402">
        <v>0</v>
      </c>
      <c r="BJ402">
        <v>0</v>
      </c>
    </row>
    <row r="403" spans="1:62" x14ac:dyDescent="0.2">
      <c r="A403" t="s">
        <v>2462</v>
      </c>
      <c r="B403" t="s">
        <v>2462</v>
      </c>
      <c r="C403">
        <v>100082231</v>
      </c>
      <c r="D403" t="s">
        <v>2741</v>
      </c>
      <c r="E403" t="s">
        <v>2439</v>
      </c>
      <c r="F403" t="s">
        <v>2452</v>
      </c>
      <c r="G403" t="s">
        <v>2453</v>
      </c>
      <c r="H403" s="23">
        <v>0.33333333333333331</v>
      </c>
      <c r="I403" t="s">
        <v>2688</v>
      </c>
      <c r="J403" t="s">
        <v>2568</v>
      </c>
      <c r="K403" t="s">
        <v>2666</v>
      </c>
      <c r="L403" t="s">
        <v>2462</v>
      </c>
      <c r="M403" t="s">
        <v>2570</v>
      </c>
      <c r="N403" s="6">
        <v>46001</v>
      </c>
      <c r="O403" t="s">
        <v>2458</v>
      </c>
      <c r="P403" t="s">
        <v>2445</v>
      </c>
      <c r="Q403" s="23">
        <v>0.32793981481481482</v>
      </c>
      <c r="R403" s="23">
        <v>0.66954861111111108</v>
      </c>
      <c r="S403">
        <v>19.600000000000001</v>
      </c>
      <c r="T403" t="s">
        <v>2443</v>
      </c>
      <c r="U403" t="s">
        <v>2571</v>
      </c>
      <c r="V403">
        <v>7.49</v>
      </c>
      <c r="W403">
        <v>7.49</v>
      </c>
      <c r="X403" t="s">
        <v>2689</v>
      </c>
      <c r="Y403" t="s">
        <v>2689</v>
      </c>
      <c r="Z403" t="s">
        <v>2689</v>
      </c>
      <c r="AA403" t="s">
        <v>2689</v>
      </c>
      <c r="AC403" t="s">
        <v>2689</v>
      </c>
      <c r="AD403" t="s">
        <v>2689</v>
      </c>
      <c r="AE403" t="s">
        <v>2689</v>
      </c>
      <c r="AF403" t="s">
        <v>2689</v>
      </c>
      <c r="AH403">
        <v>146.80000000000001</v>
      </c>
      <c r="AI403" t="s">
        <v>2690</v>
      </c>
      <c r="AJ403" t="s">
        <v>2690</v>
      </c>
      <c r="AK403" t="s">
        <v>2690</v>
      </c>
      <c r="AL403" t="s">
        <v>2690</v>
      </c>
      <c r="AP403">
        <v>146.80000000000001</v>
      </c>
      <c r="AR403" s="23">
        <v>0.32793981481481482</v>
      </c>
      <c r="AS403" s="23">
        <v>0.66954861111111108</v>
      </c>
      <c r="AT403" s="23">
        <v>0.33333333333333331</v>
      </c>
      <c r="AU403" s="23">
        <v>0.66666666666666663</v>
      </c>
      <c r="AV403" t="s">
        <v>2565</v>
      </c>
      <c r="AX403">
        <v>230</v>
      </c>
      <c r="AY403">
        <v>0.71</v>
      </c>
      <c r="AZ403" t="s">
        <v>3159</v>
      </c>
      <c r="BA403" t="s">
        <v>2759</v>
      </c>
      <c r="BD403" t="s">
        <v>2572</v>
      </c>
      <c r="BE403" t="s">
        <v>3017</v>
      </c>
      <c r="BG403">
        <v>0</v>
      </c>
      <c r="BH403">
        <v>0</v>
      </c>
      <c r="BJ403">
        <v>0</v>
      </c>
    </row>
    <row r="404" spans="1:62" x14ac:dyDescent="0.2">
      <c r="A404" t="s">
        <v>2462</v>
      </c>
      <c r="B404" t="s">
        <v>2462</v>
      </c>
      <c r="C404">
        <v>100082231</v>
      </c>
      <c r="D404" t="s">
        <v>2741</v>
      </c>
      <c r="E404" t="s">
        <v>2439</v>
      </c>
      <c r="F404" t="s">
        <v>2791</v>
      </c>
      <c r="G404" t="s">
        <v>2792</v>
      </c>
      <c r="H404" s="23">
        <v>0.79166666666666663</v>
      </c>
      <c r="I404" t="s">
        <v>2696</v>
      </c>
      <c r="J404" t="s">
        <v>2568</v>
      </c>
      <c r="K404" t="s">
        <v>2669</v>
      </c>
      <c r="L404" t="s">
        <v>2462</v>
      </c>
      <c r="M404" t="s">
        <v>2570</v>
      </c>
      <c r="N404" s="6">
        <v>46002</v>
      </c>
      <c r="O404" t="s">
        <v>2459</v>
      </c>
      <c r="P404" t="s">
        <v>2445</v>
      </c>
      <c r="Q404" s="23">
        <v>0.57688657407407407</v>
      </c>
      <c r="R404" s="23">
        <v>0.9932523148148148</v>
      </c>
      <c r="S404">
        <v>19.600000000000001</v>
      </c>
      <c r="T404" t="s">
        <v>2443</v>
      </c>
      <c r="U404" t="s">
        <v>2571</v>
      </c>
      <c r="V404">
        <v>9.49</v>
      </c>
      <c r="W404">
        <v>8</v>
      </c>
      <c r="X404">
        <v>1.49</v>
      </c>
      <c r="Y404" t="s">
        <v>2689</v>
      </c>
      <c r="Z404" t="s">
        <v>2689</v>
      </c>
      <c r="AA404" t="s">
        <v>2689</v>
      </c>
      <c r="AC404" t="s">
        <v>2689</v>
      </c>
      <c r="AD404" t="s">
        <v>2689</v>
      </c>
      <c r="AE404" t="s">
        <v>2689</v>
      </c>
      <c r="AF404" t="s">
        <v>2689</v>
      </c>
      <c r="AH404">
        <v>156.80000000000001</v>
      </c>
      <c r="AI404">
        <v>43.81</v>
      </c>
      <c r="AJ404" t="s">
        <v>2690</v>
      </c>
      <c r="AK404" t="s">
        <v>2690</v>
      </c>
      <c r="AL404" t="s">
        <v>2690</v>
      </c>
      <c r="AP404">
        <v>200.61</v>
      </c>
      <c r="AR404" s="23">
        <v>0.57688657407407407</v>
      </c>
      <c r="AS404" s="23">
        <v>0.9932523148148148</v>
      </c>
      <c r="AT404" s="23">
        <v>0.58333333333333337</v>
      </c>
      <c r="AU404" s="23">
        <v>0.91666666666666663</v>
      </c>
      <c r="AV404" t="s">
        <v>2565</v>
      </c>
      <c r="AX404">
        <v>230</v>
      </c>
      <c r="AY404">
        <v>0.5</v>
      </c>
      <c r="AZ404" t="s">
        <v>3160</v>
      </c>
      <c r="BA404" t="s">
        <v>2759</v>
      </c>
      <c r="BD404" t="s">
        <v>2572</v>
      </c>
      <c r="BE404" t="s">
        <v>3017</v>
      </c>
      <c r="BG404">
        <v>0</v>
      </c>
      <c r="BH404">
        <v>0</v>
      </c>
      <c r="BJ404">
        <v>0</v>
      </c>
    </row>
    <row r="405" spans="1:62" x14ac:dyDescent="0.2">
      <c r="A405" t="s">
        <v>2462</v>
      </c>
      <c r="B405" t="s">
        <v>2462</v>
      </c>
      <c r="C405">
        <v>100082231</v>
      </c>
      <c r="D405" t="s">
        <v>2741</v>
      </c>
      <c r="E405" t="s">
        <v>2439</v>
      </c>
      <c r="F405" t="s">
        <v>2794</v>
      </c>
      <c r="G405" t="s">
        <v>2795</v>
      </c>
      <c r="H405" s="23">
        <v>0.79166666666666663</v>
      </c>
      <c r="I405" t="s">
        <v>2696</v>
      </c>
      <c r="J405" t="s">
        <v>2568</v>
      </c>
      <c r="K405" t="s">
        <v>2669</v>
      </c>
      <c r="L405" t="s">
        <v>2462</v>
      </c>
      <c r="M405" t="s">
        <v>2570</v>
      </c>
      <c r="N405" s="6">
        <v>46003</v>
      </c>
      <c r="O405" t="s">
        <v>2449</v>
      </c>
      <c r="P405" t="s">
        <v>2445</v>
      </c>
      <c r="Q405" s="23">
        <v>0.57674768518518515</v>
      </c>
      <c r="R405" s="23">
        <v>0.9587268518518518</v>
      </c>
      <c r="S405">
        <v>19.600000000000001</v>
      </c>
      <c r="T405" t="s">
        <v>2443</v>
      </c>
      <c r="U405" t="s">
        <v>2571</v>
      </c>
      <c r="V405">
        <v>8.67</v>
      </c>
      <c r="W405">
        <v>8</v>
      </c>
      <c r="X405">
        <v>0.67</v>
      </c>
      <c r="Y405" t="s">
        <v>2689</v>
      </c>
      <c r="Z405" t="s">
        <v>2689</v>
      </c>
      <c r="AA405" t="s">
        <v>2689</v>
      </c>
      <c r="AC405" t="s">
        <v>2689</v>
      </c>
      <c r="AD405" t="s">
        <v>2689</v>
      </c>
      <c r="AE405" t="s">
        <v>2689</v>
      </c>
      <c r="AF405" t="s">
        <v>2689</v>
      </c>
      <c r="AH405">
        <v>156.80000000000001</v>
      </c>
      <c r="AI405">
        <v>19.7</v>
      </c>
      <c r="AJ405" t="s">
        <v>2690</v>
      </c>
      <c r="AK405" t="s">
        <v>2690</v>
      </c>
      <c r="AL405" t="s">
        <v>2690</v>
      </c>
      <c r="AP405">
        <v>176.5</v>
      </c>
      <c r="AR405" s="23">
        <v>0.57674768518518515</v>
      </c>
      <c r="AS405" s="23">
        <v>0.9587268518518518</v>
      </c>
      <c r="AT405" s="23">
        <v>0.58333333333333337</v>
      </c>
      <c r="AU405" s="23">
        <v>0.91666666666666663</v>
      </c>
      <c r="AV405" t="s">
        <v>2565</v>
      </c>
      <c r="AX405">
        <v>230</v>
      </c>
      <c r="AY405">
        <v>0.5</v>
      </c>
      <c r="AZ405" t="s">
        <v>3161</v>
      </c>
      <c r="BA405" t="s">
        <v>2798</v>
      </c>
      <c r="BD405" t="s">
        <v>2572</v>
      </c>
      <c r="BE405" t="s">
        <v>3017</v>
      </c>
      <c r="BG405">
        <v>0</v>
      </c>
      <c r="BH405">
        <v>0</v>
      </c>
      <c r="BJ405">
        <v>0</v>
      </c>
    </row>
    <row r="406" spans="1:62" x14ac:dyDescent="0.2">
      <c r="A406" t="s">
        <v>2462</v>
      </c>
      <c r="B406" t="s">
        <v>2462</v>
      </c>
      <c r="C406">
        <v>100087271</v>
      </c>
      <c r="D406" t="s">
        <v>2742</v>
      </c>
      <c r="E406" t="s">
        <v>2439</v>
      </c>
      <c r="F406" t="s">
        <v>2452</v>
      </c>
      <c r="G406" t="s">
        <v>2453</v>
      </c>
      <c r="H406" s="23">
        <v>0.33333333333333331</v>
      </c>
      <c r="I406" t="s">
        <v>2688</v>
      </c>
      <c r="J406" t="s">
        <v>2575</v>
      </c>
      <c r="K406" t="s">
        <v>2580</v>
      </c>
      <c r="L406" t="s">
        <v>2462</v>
      </c>
      <c r="M406" t="s">
        <v>2467</v>
      </c>
      <c r="N406" s="6">
        <v>45992</v>
      </c>
      <c r="O406" t="s">
        <v>2455</v>
      </c>
      <c r="P406" t="s">
        <v>2445</v>
      </c>
      <c r="Q406" s="23">
        <v>0.33104166666666668</v>
      </c>
      <c r="R406" s="23">
        <v>0.66576388888888893</v>
      </c>
      <c r="S406">
        <v>25</v>
      </c>
      <c r="T406" t="s">
        <v>2443</v>
      </c>
      <c r="U406" t="s">
        <v>2577</v>
      </c>
      <c r="V406">
        <v>7.53</v>
      </c>
      <c r="W406">
        <v>7.53</v>
      </c>
      <c r="X406" t="s">
        <v>2689</v>
      </c>
      <c r="Y406" t="s">
        <v>2689</v>
      </c>
      <c r="Z406" t="s">
        <v>2689</v>
      </c>
      <c r="AA406" t="s">
        <v>2689</v>
      </c>
      <c r="AC406" t="s">
        <v>2689</v>
      </c>
      <c r="AD406" t="s">
        <v>2689</v>
      </c>
      <c r="AE406" t="s">
        <v>2689</v>
      </c>
      <c r="AF406" t="s">
        <v>2689</v>
      </c>
      <c r="AH406">
        <v>188.25</v>
      </c>
      <c r="AI406" t="s">
        <v>2690</v>
      </c>
      <c r="AJ406" t="s">
        <v>2690</v>
      </c>
      <c r="AK406" t="s">
        <v>2690</v>
      </c>
      <c r="AL406" t="s">
        <v>2690</v>
      </c>
      <c r="AP406">
        <v>188.25</v>
      </c>
      <c r="AR406" s="23">
        <v>0.33104166666666668</v>
      </c>
      <c r="AS406" s="23">
        <v>0.66576388888888893</v>
      </c>
      <c r="AT406" s="23">
        <v>0.33333333333333331</v>
      </c>
      <c r="AU406" s="23">
        <v>0.6875</v>
      </c>
      <c r="AV406" t="s">
        <v>2565</v>
      </c>
      <c r="AX406">
        <v>100</v>
      </c>
      <c r="AY406">
        <v>0.5</v>
      </c>
      <c r="AZ406" t="s">
        <v>3162</v>
      </c>
      <c r="BA406" t="s">
        <v>2692</v>
      </c>
      <c r="BD406" t="s">
        <v>2578</v>
      </c>
      <c r="BE406" t="s">
        <v>2988</v>
      </c>
      <c r="BG406">
        <v>0</v>
      </c>
      <c r="BH406">
        <v>0</v>
      </c>
      <c r="BJ406">
        <v>0</v>
      </c>
    </row>
    <row r="407" spans="1:62" x14ac:dyDescent="0.2">
      <c r="A407" t="s">
        <v>2462</v>
      </c>
      <c r="B407" t="s">
        <v>2462</v>
      </c>
      <c r="C407">
        <v>100087271</v>
      </c>
      <c r="D407" t="s">
        <v>2742</v>
      </c>
      <c r="E407" t="s">
        <v>2439</v>
      </c>
      <c r="F407" t="s">
        <v>2800</v>
      </c>
      <c r="G407" t="s">
        <v>2801</v>
      </c>
      <c r="H407" s="23">
        <v>0.66666666666666663</v>
      </c>
      <c r="I407" t="s">
        <v>2696</v>
      </c>
      <c r="J407" t="s">
        <v>2575</v>
      </c>
      <c r="K407" t="s">
        <v>2580</v>
      </c>
      <c r="L407" t="s">
        <v>2462</v>
      </c>
      <c r="M407" t="s">
        <v>2467</v>
      </c>
      <c r="N407" s="6">
        <v>45993</v>
      </c>
      <c r="O407" t="s">
        <v>2457</v>
      </c>
      <c r="P407" t="s">
        <v>2445</v>
      </c>
      <c r="Q407" s="23">
        <v>0.33699074074074076</v>
      </c>
      <c r="R407" s="23">
        <v>0.65376157407407409</v>
      </c>
      <c r="S407">
        <v>25</v>
      </c>
      <c r="T407" t="s">
        <v>2443</v>
      </c>
      <c r="U407" t="s">
        <v>2577</v>
      </c>
      <c r="V407">
        <v>6.97</v>
      </c>
      <c r="W407">
        <v>6.97</v>
      </c>
      <c r="X407" t="s">
        <v>2689</v>
      </c>
      <c r="Y407" t="s">
        <v>2689</v>
      </c>
      <c r="Z407" t="s">
        <v>2689</v>
      </c>
      <c r="AA407" t="s">
        <v>2689</v>
      </c>
      <c r="AC407" t="s">
        <v>2689</v>
      </c>
      <c r="AD407" t="s">
        <v>2689</v>
      </c>
      <c r="AE407" t="s">
        <v>2689</v>
      </c>
      <c r="AF407" t="s">
        <v>2689</v>
      </c>
      <c r="AH407">
        <v>174.25</v>
      </c>
      <c r="AI407" t="s">
        <v>2690</v>
      </c>
      <c r="AJ407" t="s">
        <v>2690</v>
      </c>
      <c r="AK407" t="s">
        <v>2690</v>
      </c>
      <c r="AL407" t="s">
        <v>2690</v>
      </c>
      <c r="AP407">
        <v>174.25</v>
      </c>
      <c r="AR407" s="23">
        <v>0.33699074074074076</v>
      </c>
      <c r="AS407" s="23">
        <v>0.65376157407407409</v>
      </c>
      <c r="AT407" s="23">
        <v>0.33333333333333331</v>
      </c>
      <c r="AU407" s="23">
        <v>0.66666666666666663</v>
      </c>
      <c r="AV407" t="s">
        <v>2565</v>
      </c>
      <c r="AX407">
        <v>100</v>
      </c>
      <c r="AY407">
        <v>0.63</v>
      </c>
      <c r="AZ407" t="s">
        <v>3163</v>
      </c>
      <c r="BA407" t="s">
        <v>2752</v>
      </c>
      <c r="BD407" t="s">
        <v>2578</v>
      </c>
      <c r="BE407" t="s">
        <v>2988</v>
      </c>
      <c r="BG407">
        <v>0</v>
      </c>
      <c r="BH407">
        <v>0</v>
      </c>
      <c r="BJ407">
        <v>0</v>
      </c>
    </row>
    <row r="408" spans="1:62" x14ac:dyDescent="0.2">
      <c r="A408" t="s">
        <v>2462</v>
      </c>
      <c r="B408" t="s">
        <v>2462</v>
      </c>
      <c r="C408">
        <v>100087271</v>
      </c>
      <c r="D408" t="s">
        <v>2742</v>
      </c>
      <c r="E408" t="s">
        <v>2439</v>
      </c>
      <c r="F408" t="s">
        <v>2786</v>
      </c>
      <c r="G408" t="s">
        <v>2787</v>
      </c>
      <c r="H408" s="23">
        <v>0.66666666666666663</v>
      </c>
      <c r="I408" t="s">
        <v>2696</v>
      </c>
      <c r="J408" t="s">
        <v>2528</v>
      </c>
      <c r="K408" t="s">
        <v>3028</v>
      </c>
      <c r="L408" t="s">
        <v>2462</v>
      </c>
      <c r="M408" t="s">
        <v>2570</v>
      </c>
      <c r="N408" s="6">
        <v>45999</v>
      </c>
      <c r="O408" t="s">
        <v>2455</v>
      </c>
      <c r="P408" t="s">
        <v>2445</v>
      </c>
      <c r="Q408" s="23">
        <v>0.51450231481481479</v>
      </c>
      <c r="R408" s="23">
        <v>0.85297453703703707</v>
      </c>
      <c r="S408">
        <v>25</v>
      </c>
      <c r="T408" t="s">
        <v>2443</v>
      </c>
      <c r="U408" t="s">
        <v>2577</v>
      </c>
      <c r="V408">
        <v>7.62</v>
      </c>
      <c r="W408">
        <v>7.62</v>
      </c>
      <c r="X408" t="s">
        <v>2689</v>
      </c>
      <c r="Y408" t="s">
        <v>2689</v>
      </c>
      <c r="Z408" t="s">
        <v>2689</v>
      </c>
      <c r="AA408" t="s">
        <v>2689</v>
      </c>
      <c r="AC408" t="s">
        <v>2689</v>
      </c>
      <c r="AD408" t="s">
        <v>2689</v>
      </c>
      <c r="AE408" t="s">
        <v>2689</v>
      </c>
      <c r="AF408" t="s">
        <v>2689</v>
      </c>
      <c r="AH408">
        <v>190.5</v>
      </c>
      <c r="AI408" t="s">
        <v>2690</v>
      </c>
      <c r="AJ408" t="s">
        <v>2690</v>
      </c>
      <c r="AK408" t="s">
        <v>2690</v>
      </c>
      <c r="AL408" t="s">
        <v>2690</v>
      </c>
      <c r="AP408">
        <v>190.5</v>
      </c>
      <c r="AR408" s="23">
        <v>0.51450231481481479</v>
      </c>
      <c r="AS408" s="23">
        <v>0.85297453703703707</v>
      </c>
      <c r="AT408" s="23">
        <v>0.52083333333333337</v>
      </c>
      <c r="AU408" s="23">
        <v>0.85416666666666663</v>
      </c>
      <c r="AV408" t="s">
        <v>2565</v>
      </c>
      <c r="AX408">
        <v>230</v>
      </c>
      <c r="AY408">
        <v>0.5</v>
      </c>
      <c r="AZ408" t="s">
        <v>3164</v>
      </c>
      <c r="BA408" t="s">
        <v>2861</v>
      </c>
      <c r="BD408" t="s">
        <v>2578</v>
      </c>
      <c r="BE408" t="s">
        <v>2988</v>
      </c>
      <c r="BG408">
        <v>0</v>
      </c>
      <c r="BH408">
        <v>0</v>
      </c>
      <c r="BJ408">
        <v>0</v>
      </c>
    </row>
    <row r="409" spans="1:62" x14ac:dyDescent="0.2">
      <c r="A409" t="s">
        <v>2462</v>
      </c>
      <c r="B409" t="s">
        <v>2462</v>
      </c>
      <c r="C409">
        <v>100087271</v>
      </c>
      <c r="D409" t="s">
        <v>2742</v>
      </c>
      <c r="E409" t="s">
        <v>2439</v>
      </c>
      <c r="F409" t="s">
        <v>2789</v>
      </c>
      <c r="G409" t="s">
        <v>2790</v>
      </c>
      <c r="H409" s="23">
        <v>0.375</v>
      </c>
      <c r="I409" t="s">
        <v>2696</v>
      </c>
      <c r="J409" t="s">
        <v>2528</v>
      </c>
      <c r="K409" t="s">
        <v>2613</v>
      </c>
      <c r="L409" t="s">
        <v>2462</v>
      </c>
      <c r="M409" t="s">
        <v>2570</v>
      </c>
      <c r="N409" s="6">
        <v>46000</v>
      </c>
      <c r="O409" t="s">
        <v>2457</v>
      </c>
      <c r="P409" t="s">
        <v>2445</v>
      </c>
      <c r="Q409" s="23">
        <v>0.24840277777777778</v>
      </c>
      <c r="R409" s="23">
        <v>0.58151620370370372</v>
      </c>
      <c r="S409">
        <v>25</v>
      </c>
      <c r="T409" t="s">
        <v>2443</v>
      </c>
      <c r="U409" t="s">
        <v>2577</v>
      </c>
      <c r="V409">
        <v>7.41</v>
      </c>
      <c r="W409">
        <v>7.41</v>
      </c>
      <c r="X409" t="s">
        <v>2689</v>
      </c>
      <c r="Y409" t="s">
        <v>2689</v>
      </c>
      <c r="Z409" t="s">
        <v>2689</v>
      </c>
      <c r="AA409" t="s">
        <v>2689</v>
      </c>
      <c r="AC409" t="s">
        <v>2689</v>
      </c>
      <c r="AD409" t="s">
        <v>2689</v>
      </c>
      <c r="AE409" t="s">
        <v>2689</v>
      </c>
      <c r="AF409" t="s">
        <v>2689</v>
      </c>
      <c r="AH409">
        <v>185.25</v>
      </c>
      <c r="AI409" t="s">
        <v>2690</v>
      </c>
      <c r="AJ409" t="s">
        <v>2690</v>
      </c>
      <c r="AK409" t="s">
        <v>2690</v>
      </c>
      <c r="AL409" t="s">
        <v>2690</v>
      </c>
      <c r="AP409">
        <v>185.25</v>
      </c>
      <c r="AR409" s="23">
        <v>0.24840277777777778</v>
      </c>
      <c r="AS409" s="23">
        <v>0.58151620370370372</v>
      </c>
      <c r="AT409" s="23">
        <v>0.25</v>
      </c>
      <c r="AU409" s="23">
        <v>0.58333333333333337</v>
      </c>
      <c r="AV409" t="s">
        <v>2565</v>
      </c>
      <c r="AX409">
        <v>230</v>
      </c>
      <c r="AY409">
        <v>0.57999999999999996</v>
      </c>
      <c r="AZ409" t="s">
        <v>3165</v>
      </c>
      <c r="BA409" t="s">
        <v>2757</v>
      </c>
      <c r="BD409" t="s">
        <v>2578</v>
      </c>
      <c r="BE409" t="s">
        <v>2988</v>
      </c>
      <c r="BG409">
        <v>0</v>
      </c>
      <c r="BH409">
        <v>0</v>
      </c>
      <c r="BJ409">
        <v>0</v>
      </c>
    </row>
    <row r="410" spans="1:62" x14ac:dyDescent="0.2">
      <c r="A410" t="s">
        <v>2462</v>
      </c>
      <c r="B410" t="s">
        <v>2462</v>
      </c>
      <c r="C410">
        <v>100089137</v>
      </c>
      <c r="D410" t="s">
        <v>3166</v>
      </c>
      <c r="E410" t="s">
        <v>2439</v>
      </c>
      <c r="F410" t="s">
        <v>2791</v>
      </c>
      <c r="G410" t="s">
        <v>2792</v>
      </c>
      <c r="H410" s="23">
        <v>0.79166666666666663</v>
      </c>
      <c r="I410" t="s">
        <v>2696</v>
      </c>
      <c r="J410" t="s">
        <v>2732</v>
      </c>
      <c r="K410" t="s">
        <v>3167</v>
      </c>
      <c r="L410" t="s">
        <v>2462</v>
      </c>
      <c r="M410" t="s">
        <v>2570</v>
      </c>
      <c r="N410" s="6">
        <v>46002</v>
      </c>
      <c r="O410" t="s">
        <v>2459</v>
      </c>
      <c r="P410" t="s">
        <v>2445</v>
      </c>
      <c r="Q410" s="23">
        <v>0.58518518518518514</v>
      </c>
      <c r="R410" s="23">
        <v>2.8935185185185184E-4</v>
      </c>
      <c r="S410">
        <v>18.600000000000001</v>
      </c>
      <c r="T410" t="s">
        <v>2443</v>
      </c>
      <c r="U410" t="s">
        <v>2589</v>
      </c>
      <c r="V410">
        <v>9.4600000000000009</v>
      </c>
      <c r="W410">
        <v>8</v>
      </c>
      <c r="X410">
        <v>1.46</v>
      </c>
      <c r="Y410" t="s">
        <v>2689</v>
      </c>
      <c r="Z410" t="s">
        <v>2689</v>
      </c>
      <c r="AA410" t="s">
        <v>2689</v>
      </c>
      <c r="AC410" t="s">
        <v>2689</v>
      </c>
      <c r="AD410" t="s">
        <v>2689</v>
      </c>
      <c r="AE410" t="s">
        <v>2689</v>
      </c>
      <c r="AF410" t="s">
        <v>2689</v>
      </c>
      <c r="AH410">
        <v>148.80000000000001</v>
      </c>
      <c r="AI410">
        <v>40.729999999999997</v>
      </c>
      <c r="AJ410" t="s">
        <v>2690</v>
      </c>
      <c r="AK410" t="s">
        <v>2690</v>
      </c>
      <c r="AL410" t="s">
        <v>2690</v>
      </c>
      <c r="AP410">
        <v>189.53</v>
      </c>
      <c r="AR410" s="23">
        <v>0.58518518518518514</v>
      </c>
      <c r="AS410" s="23">
        <v>2.8935185185185184E-4</v>
      </c>
      <c r="AT410" s="23">
        <v>0.58333333333333337</v>
      </c>
      <c r="AU410" s="23">
        <v>0.91666666666666663</v>
      </c>
      <c r="AV410" t="s">
        <v>2565</v>
      </c>
      <c r="AX410">
        <v>230</v>
      </c>
      <c r="AY410">
        <v>0.5</v>
      </c>
      <c r="AZ410" t="s">
        <v>3168</v>
      </c>
      <c r="BA410" t="s">
        <v>2759</v>
      </c>
      <c r="BD410" t="s">
        <v>2590</v>
      </c>
      <c r="BE410" t="s">
        <v>3169</v>
      </c>
      <c r="BG410">
        <v>0</v>
      </c>
      <c r="BH410">
        <v>0</v>
      </c>
      <c r="BJ410">
        <v>0</v>
      </c>
    </row>
    <row r="411" spans="1:62" x14ac:dyDescent="0.2">
      <c r="A411" t="s">
        <v>2462</v>
      </c>
      <c r="B411" t="s">
        <v>2462</v>
      </c>
      <c r="C411">
        <v>100090855</v>
      </c>
      <c r="D411" t="s">
        <v>2612</v>
      </c>
      <c r="E411" t="s">
        <v>2439</v>
      </c>
      <c r="F411" t="s">
        <v>2791</v>
      </c>
      <c r="G411" t="s">
        <v>2792</v>
      </c>
      <c r="H411" s="23">
        <v>0.79166666666666663</v>
      </c>
      <c r="I411" t="s">
        <v>2696</v>
      </c>
      <c r="J411" t="s">
        <v>2575</v>
      </c>
      <c r="K411" t="s">
        <v>2591</v>
      </c>
      <c r="L411" t="s">
        <v>2462</v>
      </c>
      <c r="M411" t="s">
        <v>2467</v>
      </c>
      <c r="N411" s="6">
        <v>46002</v>
      </c>
      <c r="O411" t="s">
        <v>2459</v>
      </c>
      <c r="P411" t="s">
        <v>2445</v>
      </c>
      <c r="Q411" s="23">
        <v>0.625</v>
      </c>
      <c r="R411" s="23">
        <v>0.79166666666666663</v>
      </c>
      <c r="S411">
        <v>25</v>
      </c>
      <c r="T411" t="s">
        <v>2443</v>
      </c>
      <c r="U411" t="s">
        <v>2577</v>
      </c>
      <c r="V411">
        <v>4</v>
      </c>
      <c r="W411">
        <v>4</v>
      </c>
      <c r="X411" t="s">
        <v>2689</v>
      </c>
      <c r="Y411" t="s">
        <v>2689</v>
      </c>
      <c r="Z411" t="s">
        <v>2689</v>
      </c>
      <c r="AA411" t="s">
        <v>2689</v>
      </c>
      <c r="AC411" t="s">
        <v>2689</v>
      </c>
      <c r="AD411" t="s">
        <v>2689</v>
      </c>
      <c r="AE411" t="s">
        <v>2689</v>
      </c>
      <c r="AF411" t="s">
        <v>2689</v>
      </c>
      <c r="AH411">
        <v>100</v>
      </c>
      <c r="AI411" t="s">
        <v>2690</v>
      </c>
      <c r="AJ411" t="s">
        <v>2690</v>
      </c>
      <c r="AK411" t="s">
        <v>2690</v>
      </c>
      <c r="AL411" t="s">
        <v>2690</v>
      </c>
      <c r="AP411">
        <v>100</v>
      </c>
      <c r="AU411" t="s">
        <v>2689</v>
      </c>
      <c r="AV411" t="s">
        <v>2565</v>
      </c>
      <c r="AX411">
        <v>100</v>
      </c>
      <c r="BA411" t="s">
        <v>2759</v>
      </c>
      <c r="BD411" t="s">
        <v>2578</v>
      </c>
      <c r="BE411" t="s">
        <v>2988</v>
      </c>
      <c r="BF411" t="s">
        <v>3170</v>
      </c>
      <c r="BG411">
        <v>0</v>
      </c>
      <c r="BH411">
        <v>0</v>
      </c>
      <c r="BJ411">
        <v>0</v>
      </c>
    </row>
    <row r="412" spans="1:62" x14ac:dyDescent="0.2">
      <c r="A412" t="s">
        <v>2462</v>
      </c>
      <c r="B412" t="s">
        <v>2462</v>
      </c>
      <c r="C412">
        <v>100090855</v>
      </c>
      <c r="D412" t="s">
        <v>2612</v>
      </c>
      <c r="E412" t="s">
        <v>2439</v>
      </c>
      <c r="F412" t="s">
        <v>2794</v>
      </c>
      <c r="G412" t="s">
        <v>2795</v>
      </c>
      <c r="H412" s="23">
        <v>0.79166666666666663</v>
      </c>
      <c r="I412" t="s">
        <v>2696</v>
      </c>
      <c r="J412" t="s">
        <v>2528</v>
      </c>
      <c r="K412" t="s">
        <v>3021</v>
      </c>
      <c r="L412" t="s">
        <v>2462</v>
      </c>
      <c r="M412" t="s">
        <v>2570</v>
      </c>
      <c r="N412" s="6">
        <v>46003</v>
      </c>
      <c r="O412" t="s">
        <v>2449</v>
      </c>
      <c r="P412" t="s">
        <v>2445</v>
      </c>
      <c r="Q412" s="23">
        <v>0.58315972222222223</v>
      </c>
      <c r="R412" s="23">
        <v>0.91666666666666663</v>
      </c>
      <c r="S412">
        <v>25</v>
      </c>
      <c r="T412" t="s">
        <v>2443</v>
      </c>
      <c r="U412" t="s">
        <v>2577</v>
      </c>
      <c r="V412">
        <v>7.5</v>
      </c>
      <c r="W412">
        <v>7.5</v>
      </c>
      <c r="X412" t="s">
        <v>2689</v>
      </c>
      <c r="Y412" t="s">
        <v>2689</v>
      </c>
      <c r="Z412" t="s">
        <v>2689</v>
      </c>
      <c r="AA412" t="s">
        <v>2689</v>
      </c>
      <c r="AC412" t="s">
        <v>2689</v>
      </c>
      <c r="AD412" t="s">
        <v>2689</v>
      </c>
      <c r="AE412" t="s">
        <v>2689</v>
      </c>
      <c r="AF412" t="s">
        <v>2689</v>
      </c>
      <c r="AH412">
        <v>187.5</v>
      </c>
      <c r="AI412" t="s">
        <v>2690</v>
      </c>
      <c r="AJ412" t="s">
        <v>2690</v>
      </c>
      <c r="AK412" t="s">
        <v>2690</v>
      </c>
      <c r="AL412" t="s">
        <v>2690</v>
      </c>
      <c r="AP412">
        <v>187.5</v>
      </c>
      <c r="AR412" s="23">
        <v>0.58315972222222223</v>
      </c>
      <c r="AT412" s="23">
        <v>0.58333333333333337</v>
      </c>
      <c r="AU412" s="23">
        <v>0.91666666666666663</v>
      </c>
      <c r="AV412" t="s">
        <v>2565</v>
      </c>
      <c r="AX412">
        <v>230</v>
      </c>
      <c r="AY412">
        <v>0.5</v>
      </c>
      <c r="AZ412" t="s">
        <v>3171</v>
      </c>
      <c r="BA412" t="s">
        <v>2798</v>
      </c>
      <c r="BD412" t="s">
        <v>2578</v>
      </c>
      <c r="BE412" t="s">
        <v>2988</v>
      </c>
      <c r="BF412" t="s">
        <v>2456</v>
      </c>
      <c r="BG412">
        <v>0</v>
      </c>
      <c r="BH412">
        <v>0</v>
      </c>
      <c r="BJ412">
        <v>0</v>
      </c>
    </row>
    <row r="413" spans="1:62" x14ac:dyDescent="0.2">
      <c r="A413" t="s">
        <v>2462</v>
      </c>
      <c r="B413" t="s">
        <v>2462</v>
      </c>
      <c r="C413">
        <v>100090855</v>
      </c>
      <c r="D413" t="s">
        <v>2612</v>
      </c>
      <c r="E413" t="s">
        <v>2439</v>
      </c>
      <c r="F413" t="s">
        <v>2814</v>
      </c>
      <c r="G413" t="s">
        <v>2815</v>
      </c>
      <c r="H413" s="23">
        <v>0.47916666666666669</v>
      </c>
      <c r="I413" t="s">
        <v>2696</v>
      </c>
      <c r="J413" t="s">
        <v>2528</v>
      </c>
      <c r="K413" t="s">
        <v>3026</v>
      </c>
      <c r="L413" t="s">
        <v>2462</v>
      </c>
      <c r="M413" t="s">
        <v>2570</v>
      </c>
      <c r="N413" s="6">
        <v>46006</v>
      </c>
      <c r="O413" t="s">
        <v>2455</v>
      </c>
      <c r="P413" t="s">
        <v>2445</v>
      </c>
      <c r="Q413" s="23">
        <v>0.28902777777777777</v>
      </c>
      <c r="R413" s="23">
        <v>0.50186342592592592</v>
      </c>
      <c r="S413">
        <v>25</v>
      </c>
      <c r="T413" t="s">
        <v>2443</v>
      </c>
      <c r="U413" t="s">
        <v>2577</v>
      </c>
      <c r="V413">
        <v>5.1100000000000003</v>
      </c>
      <c r="W413">
        <v>5.1100000000000003</v>
      </c>
      <c r="X413" t="s">
        <v>2689</v>
      </c>
      <c r="Y413" t="s">
        <v>2689</v>
      </c>
      <c r="Z413" t="s">
        <v>2689</v>
      </c>
      <c r="AA413" t="s">
        <v>2689</v>
      </c>
      <c r="AC413" t="s">
        <v>2689</v>
      </c>
      <c r="AD413" t="s">
        <v>2689</v>
      </c>
      <c r="AE413" t="s">
        <v>2689</v>
      </c>
      <c r="AF413" t="s">
        <v>2689</v>
      </c>
      <c r="AH413">
        <v>127.75</v>
      </c>
      <c r="AI413" t="s">
        <v>2690</v>
      </c>
      <c r="AJ413" t="s">
        <v>2690</v>
      </c>
      <c r="AK413" t="s">
        <v>2690</v>
      </c>
      <c r="AL413" t="s">
        <v>2690</v>
      </c>
      <c r="AP413">
        <v>127.75</v>
      </c>
      <c r="AR413" s="23">
        <v>0.28902777777777777</v>
      </c>
      <c r="AS413" s="23">
        <v>0.50186342592592592</v>
      </c>
      <c r="AT413" s="23">
        <v>0.29166666666666669</v>
      </c>
      <c r="AU413" s="23">
        <v>0.625</v>
      </c>
      <c r="AV413" t="s">
        <v>2565</v>
      </c>
      <c r="AX413">
        <v>230</v>
      </c>
      <c r="BA413" t="s">
        <v>2769</v>
      </c>
      <c r="BD413" t="s">
        <v>2578</v>
      </c>
      <c r="BE413" t="s">
        <v>2988</v>
      </c>
      <c r="BG413">
        <v>0</v>
      </c>
      <c r="BH413">
        <v>0</v>
      </c>
      <c r="BJ413">
        <v>0</v>
      </c>
    </row>
    <row r="414" spans="1:62" x14ac:dyDescent="0.2">
      <c r="A414" t="s">
        <v>2462</v>
      </c>
      <c r="B414" t="s">
        <v>2462</v>
      </c>
      <c r="C414">
        <v>100090856</v>
      </c>
      <c r="D414" t="s">
        <v>3172</v>
      </c>
      <c r="E414" t="s">
        <v>2439</v>
      </c>
      <c r="F414" t="s">
        <v>2452</v>
      </c>
      <c r="G414" t="s">
        <v>2453</v>
      </c>
      <c r="H414" s="23">
        <v>0.33333333333333331</v>
      </c>
      <c r="I414" t="s">
        <v>2688</v>
      </c>
      <c r="J414" t="s">
        <v>2594</v>
      </c>
      <c r="K414" t="s">
        <v>2599</v>
      </c>
      <c r="L414" t="s">
        <v>2462</v>
      </c>
      <c r="M414" t="s">
        <v>2596</v>
      </c>
      <c r="N414" s="6">
        <v>45996</v>
      </c>
      <c r="O414" t="s">
        <v>2449</v>
      </c>
      <c r="P414" t="s">
        <v>2445</v>
      </c>
      <c r="Q414" s="23">
        <v>0.32650462962962962</v>
      </c>
      <c r="R414" s="23">
        <v>0.54192129629629626</v>
      </c>
      <c r="S414">
        <v>18.600000000000001</v>
      </c>
      <c r="T414" t="s">
        <v>2443</v>
      </c>
      <c r="U414" t="s">
        <v>2597</v>
      </c>
      <c r="V414">
        <v>5.17</v>
      </c>
      <c r="W414">
        <v>5.17</v>
      </c>
      <c r="X414" t="s">
        <v>2689</v>
      </c>
      <c r="Y414" t="s">
        <v>2689</v>
      </c>
      <c r="Z414" t="s">
        <v>2689</v>
      </c>
      <c r="AA414" t="s">
        <v>2689</v>
      </c>
      <c r="AC414" t="s">
        <v>2689</v>
      </c>
      <c r="AD414" t="s">
        <v>2689</v>
      </c>
      <c r="AE414" t="s">
        <v>2689</v>
      </c>
      <c r="AF414" t="s">
        <v>2689</v>
      </c>
      <c r="AH414">
        <v>96.16</v>
      </c>
      <c r="AI414" t="s">
        <v>2690</v>
      </c>
      <c r="AJ414" t="s">
        <v>2690</v>
      </c>
      <c r="AK414" t="s">
        <v>2690</v>
      </c>
      <c r="AL414" t="s">
        <v>2690</v>
      </c>
      <c r="AP414">
        <v>96.16</v>
      </c>
      <c r="AR414" s="23">
        <v>0.32650462962962962</v>
      </c>
      <c r="AS414" s="23">
        <v>0.54192129629629626</v>
      </c>
      <c r="AT414" s="23">
        <v>0.33333333333333331</v>
      </c>
      <c r="AU414" s="23">
        <v>0.66666666666666663</v>
      </c>
      <c r="AV414" t="s">
        <v>2565</v>
      </c>
      <c r="AX414">
        <v>220</v>
      </c>
      <c r="BA414" t="s">
        <v>2754</v>
      </c>
      <c r="BD414" t="s">
        <v>2598</v>
      </c>
      <c r="BE414" t="s">
        <v>3079</v>
      </c>
      <c r="BG414">
        <v>0</v>
      </c>
      <c r="BH414">
        <v>0</v>
      </c>
      <c r="BJ414">
        <v>0</v>
      </c>
    </row>
    <row r="415" spans="1:62" x14ac:dyDescent="0.2">
      <c r="A415" t="s">
        <v>2462</v>
      </c>
      <c r="B415" t="s">
        <v>2462</v>
      </c>
      <c r="C415">
        <v>100090856</v>
      </c>
      <c r="D415" t="s">
        <v>3172</v>
      </c>
      <c r="E415" t="s">
        <v>2439</v>
      </c>
      <c r="F415" t="s">
        <v>2452</v>
      </c>
      <c r="G415" t="s">
        <v>2453</v>
      </c>
      <c r="H415" s="23">
        <v>0.33333333333333331</v>
      </c>
      <c r="I415" t="s">
        <v>2688</v>
      </c>
      <c r="J415" t="s">
        <v>2594</v>
      </c>
      <c r="K415" t="s">
        <v>2605</v>
      </c>
      <c r="L415" t="s">
        <v>2462</v>
      </c>
      <c r="M415" t="s">
        <v>2596</v>
      </c>
      <c r="N415" s="6">
        <v>45998</v>
      </c>
      <c r="O415" t="s">
        <v>2461</v>
      </c>
      <c r="P415" t="s">
        <v>2442</v>
      </c>
      <c r="Q415" s="23">
        <v>0.33325231481481482</v>
      </c>
      <c r="R415" s="23">
        <v>0.64614583333333331</v>
      </c>
      <c r="S415">
        <v>18.600000000000001</v>
      </c>
      <c r="T415" t="s">
        <v>2443</v>
      </c>
      <c r="U415" t="s">
        <v>2597</v>
      </c>
      <c r="V415">
        <v>7.01</v>
      </c>
      <c r="W415">
        <v>7.01</v>
      </c>
      <c r="X415" t="s">
        <v>2689</v>
      </c>
      <c r="Y415" t="s">
        <v>2689</v>
      </c>
      <c r="Z415" t="s">
        <v>2689</v>
      </c>
      <c r="AA415" t="s">
        <v>2689</v>
      </c>
      <c r="AC415" t="s">
        <v>2689</v>
      </c>
      <c r="AD415" t="s">
        <v>2689</v>
      </c>
      <c r="AE415" t="s">
        <v>2689</v>
      </c>
      <c r="AF415" t="s">
        <v>2689</v>
      </c>
      <c r="AH415">
        <v>130.38999999999999</v>
      </c>
      <c r="AI415" t="s">
        <v>2690</v>
      </c>
      <c r="AJ415" t="s">
        <v>2690</v>
      </c>
      <c r="AK415" t="s">
        <v>2690</v>
      </c>
      <c r="AL415" t="s">
        <v>2690</v>
      </c>
      <c r="AP415">
        <v>130.38999999999999</v>
      </c>
      <c r="AR415" s="23">
        <v>0.33325231481481482</v>
      </c>
      <c r="AS415" s="23">
        <v>0.64614583333333331</v>
      </c>
      <c r="AT415" s="23">
        <v>0.33333333333333331</v>
      </c>
      <c r="AU415" s="23">
        <v>0.66666666666666663</v>
      </c>
      <c r="AV415" t="s">
        <v>2565</v>
      </c>
      <c r="AX415">
        <v>220</v>
      </c>
      <c r="AY415">
        <v>0.5</v>
      </c>
      <c r="AZ415" t="s">
        <v>3173</v>
      </c>
      <c r="BA415" t="s">
        <v>2754</v>
      </c>
      <c r="BD415" t="s">
        <v>2598</v>
      </c>
      <c r="BE415" t="s">
        <v>3079</v>
      </c>
      <c r="BG415">
        <v>0</v>
      </c>
      <c r="BH415">
        <v>0</v>
      </c>
      <c r="BJ415">
        <v>0</v>
      </c>
    </row>
    <row r="416" spans="1:62" x14ac:dyDescent="0.2">
      <c r="A416" t="s">
        <v>2462</v>
      </c>
      <c r="B416" t="s">
        <v>2462</v>
      </c>
      <c r="C416">
        <v>100090856</v>
      </c>
      <c r="D416" t="s">
        <v>3172</v>
      </c>
      <c r="E416" t="s">
        <v>2439</v>
      </c>
      <c r="F416" t="s">
        <v>2794</v>
      </c>
      <c r="G416" t="s">
        <v>2795</v>
      </c>
      <c r="H416" s="23">
        <v>0.79166666666666663</v>
      </c>
      <c r="I416" t="s">
        <v>2696</v>
      </c>
      <c r="J416" t="s">
        <v>2594</v>
      </c>
      <c r="K416" t="s">
        <v>2595</v>
      </c>
      <c r="L416" t="s">
        <v>2462</v>
      </c>
      <c r="M416" t="s">
        <v>2596</v>
      </c>
      <c r="N416" s="6">
        <v>46003</v>
      </c>
      <c r="O416" t="s">
        <v>2449</v>
      </c>
      <c r="P416" t="s">
        <v>2445</v>
      </c>
      <c r="Q416" s="23">
        <v>0.57681712962962961</v>
      </c>
      <c r="R416" s="23">
        <v>0.82914351851851853</v>
      </c>
      <c r="S416">
        <v>18.600000000000001</v>
      </c>
      <c r="T416" t="s">
        <v>2443</v>
      </c>
      <c r="U416" t="s">
        <v>2597</v>
      </c>
      <c r="V416">
        <v>5.56</v>
      </c>
      <c r="W416">
        <v>5.56</v>
      </c>
      <c r="X416" t="s">
        <v>2689</v>
      </c>
      <c r="Y416" t="s">
        <v>2689</v>
      </c>
      <c r="Z416" t="s">
        <v>2689</v>
      </c>
      <c r="AA416" t="s">
        <v>2689</v>
      </c>
      <c r="AC416" t="s">
        <v>2689</v>
      </c>
      <c r="AD416" t="s">
        <v>2689</v>
      </c>
      <c r="AE416" t="s">
        <v>2689</v>
      </c>
      <c r="AF416" t="s">
        <v>2689</v>
      </c>
      <c r="AH416">
        <v>103.42</v>
      </c>
      <c r="AI416" t="s">
        <v>2690</v>
      </c>
      <c r="AJ416" t="s">
        <v>2690</v>
      </c>
      <c r="AK416" t="s">
        <v>2690</v>
      </c>
      <c r="AL416" t="s">
        <v>2690</v>
      </c>
      <c r="AP416">
        <v>103.42</v>
      </c>
      <c r="AR416" s="23">
        <v>0.57681712962962961</v>
      </c>
      <c r="AS416" s="23">
        <v>0.82914351851851853</v>
      </c>
      <c r="AT416" s="23">
        <v>0.58333333333333337</v>
      </c>
      <c r="AU416" s="23">
        <v>0.91666666666666663</v>
      </c>
      <c r="AV416" t="s">
        <v>2565</v>
      </c>
      <c r="AX416">
        <v>220</v>
      </c>
      <c r="AY416">
        <v>0.5</v>
      </c>
      <c r="AZ416" t="s">
        <v>3174</v>
      </c>
      <c r="BA416" t="s">
        <v>2798</v>
      </c>
      <c r="BD416" t="s">
        <v>2598</v>
      </c>
      <c r="BE416" t="s">
        <v>3079</v>
      </c>
      <c r="BG416">
        <v>0</v>
      </c>
      <c r="BH416">
        <v>0</v>
      </c>
      <c r="BJ416">
        <v>0</v>
      </c>
    </row>
    <row r="417" spans="1:62" x14ac:dyDescent="0.2">
      <c r="A417" t="s">
        <v>2462</v>
      </c>
      <c r="B417" t="s">
        <v>2462</v>
      </c>
      <c r="C417">
        <v>100093387</v>
      </c>
      <c r="D417" t="s">
        <v>3175</v>
      </c>
      <c r="E417" t="s">
        <v>2439</v>
      </c>
      <c r="I417" t="s">
        <v>3176</v>
      </c>
      <c r="L417" t="s">
        <v>2462</v>
      </c>
      <c r="N417" s="6">
        <v>46026</v>
      </c>
      <c r="O417" t="s">
        <v>2461</v>
      </c>
      <c r="P417" t="s">
        <v>2445</v>
      </c>
      <c r="Q417" s="23">
        <v>0.39196759259259262</v>
      </c>
      <c r="R417" s="23">
        <v>0.72965277777777782</v>
      </c>
      <c r="S417">
        <v>18.350000000000001</v>
      </c>
      <c r="T417">
        <v>1</v>
      </c>
      <c r="U417" t="s">
        <v>2564</v>
      </c>
      <c r="V417">
        <v>8.1</v>
      </c>
      <c r="W417" t="s">
        <v>2691</v>
      </c>
      <c r="X417">
        <v>4</v>
      </c>
      <c r="Y417">
        <v>4.0999999999999996</v>
      </c>
      <c r="Z417" t="s">
        <v>2691</v>
      </c>
      <c r="AA417" t="s">
        <v>2691</v>
      </c>
      <c r="AC417" t="s">
        <v>2691</v>
      </c>
      <c r="AD417" t="s">
        <v>2691</v>
      </c>
      <c r="AE417" t="s">
        <v>2691</v>
      </c>
      <c r="AF417" t="s">
        <v>2691</v>
      </c>
      <c r="AH417" t="s">
        <v>2689</v>
      </c>
      <c r="AI417">
        <v>119.59</v>
      </c>
      <c r="AJ417">
        <v>169.93</v>
      </c>
      <c r="AK417" t="s">
        <v>2690</v>
      </c>
      <c r="AL417" t="s">
        <v>2690</v>
      </c>
      <c r="AP417">
        <v>289.52</v>
      </c>
      <c r="AR417" s="23">
        <v>0.39196759259259262</v>
      </c>
      <c r="AS417" s="23">
        <v>0.72965277777777782</v>
      </c>
      <c r="AT417" s="23">
        <v>0.39196759259259262</v>
      </c>
      <c r="AU417" t="s">
        <v>2689</v>
      </c>
      <c r="AV417" t="s">
        <v>2565</v>
      </c>
      <c r="BA417" t="s">
        <v>2983</v>
      </c>
      <c r="BD417" t="s">
        <v>2564</v>
      </c>
      <c r="BE417" t="s">
        <v>2566</v>
      </c>
      <c r="BG417">
        <v>0</v>
      </c>
      <c r="BH417">
        <v>0</v>
      </c>
      <c r="BJ417">
        <v>0</v>
      </c>
    </row>
    <row r="418" spans="1:62" x14ac:dyDescent="0.2">
      <c r="A418" t="s">
        <v>2614</v>
      </c>
      <c r="B418" t="s">
        <v>2614</v>
      </c>
      <c r="C418">
        <v>100029581</v>
      </c>
      <c r="D418" t="s">
        <v>2615</v>
      </c>
      <c r="E418" t="s">
        <v>2439</v>
      </c>
      <c r="F418" t="s">
        <v>2452</v>
      </c>
      <c r="G418" t="s">
        <v>2453</v>
      </c>
      <c r="H418" s="23">
        <v>0.33333333333333331</v>
      </c>
      <c r="I418" t="s">
        <v>2688</v>
      </c>
      <c r="J418" t="s">
        <v>2616</v>
      </c>
      <c r="K418" t="s">
        <v>2680</v>
      </c>
      <c r="L418" t="s">
        <v>2614</v>
      </c>
      <c r="M418" t="s">
        <v>2617</v>
      </c>
      <c r="N418" s="6">
        <v>45992</v>
      </c>
      <c r="O418" t="s">
        <v>2455</v>
      </c>
      <c r="P418" t="s">
        <v>2445</v>
      </c>
      <c r="Q418" s="23">
        <v>0.32656249999999998</v>
      </c>
      <c r="R418" s="23">
        <v>0.68409722222222225</v>
      </c>
      <c r="S418">
        <v>17.87</v>
      </c>
      <c r="T418" t="s">
        <v>2443</v>
      </c>
      <c r="U418" t="s">
        <v>2618</v>
      </c>
      <c r="V418">
        <v>8.08</v>
      </c>
      <c r="W418">
        <v>8</v>
      </c>
      <c r="X418">
        <v>0.08</v>
      </c>
      <c r="Y418" t="s">
        <v>2689</v>
      </c>
      <c r="Z418" t="s">
        <v>2689</v>
      </c>
      <c r="AA418" t="s">
        <v>2689</v>
      </c>
      <c r="AC418" t="s">
        <v>2689</v>
      </c>
      <c r="AD418" t="s">
        <v>2689</v>
      </c>
      <c r="AE418" t="s">
        <v>2689</v>
      </c>
      <c r="AF418" t="s">
        <v>2689</v>
      </c>
      <c r="AH418">
        <v>142.96</v>
      </c>
      <c r="AI418">
        <v>2.14</v>
      </c>
      <c r="AJ418" t="s">
        <v>2690</v>
      </c>
      <c r="AK418" t="s">
        <v>2690</v>
      </c>
      <c r="AL418" t="s">
        <v>2690</v>
      </c>
      <c r="AP418">
        <v>145.1</v>
      </c>
      <c r="AR418" s="23">
        <v>0.32656249999999998</v>
      </c>
      <c r="AS418" s="23">
        <v>0.68409722222222225</v>
      </c>
      <c r="AT418" s="23">
        <v>0.33333333333333331</v>
      </c>
      <c r="AU418" s="23">
        <v>0.6875</v>
      </c>
      <c r="AV418" t="s">
        <v>2619</v>
      </c>
      <c r="AY418">
        <v>0.5</v>
      </c>
      <c r="AZ418" t="s">
        <v>3177</v>
      </c>
      <c r="BA418" t="s">
        <v>2692</v>
      </c>
      <c r="BD418" t="s">
        <v>2620</v>
      </c>
      <c r="BE418" t="s">
        <v>2621</v>
      </c>
      <c r="BG418">
        <v>0</v>
      </c>
      <c r="BH418">
        <v>0</v>
      </c>
      <c r="BJ418">
        <v>0</v>
      </c>
    </row>
    <row r="419" spans="1:62" x14ac:dyDescent="0.2">
      <c r="A419" t="s">
        <v>2614</v>
      </c>
      <c r="B419" t="s">
        <v>2614</v>
      </c>
      <c r="C419">
        <v>100029581</v>
      </c>
      <c r="D419" t="s">
        <v>2615</v>
      </c>
      <c r="E419" t="s">
        <v>2439</v>
      </c>
      <c r="F419" t="s">
        <v>2800</v>
      </c>
      <c r="G419" t="s">
        <v>2801</v>
      </c>
      <c r="H419" s="23">
        <v>0.66666666666666663</v>
      </c>
      <c r="I419" t="s">
        <v>2696</v>
      </c>
      <c r="J419" t="s">
        <v>2616</v>
      </c>
      <c r="K419" t="s">
        <v>2680</v>
      </c>
      <c r="L419" t="s">
        <v>2614</v>
      </c>
      <c r="M419" t="s">
        <v>2617</v>
      </c>
      <c r="N419" s="6">
        <v>45993</v>
      </c>
      <c r="O419" t="s">
        <v>2457</v>
      </c>
      <c r="P419" t="s">
        <v>2445</v>
      </c>
      <c r="Q419" s="23">
        <v>0.36827546296296299</v>
      </c>
      <c r="R419" s="23">
        <v>0.66675925925925927</v>
      </c>
      <c r="S419">
        <v>17.87</v>
      </c>
      <c r="T419" t="s">
        <v>2443</v>
      </c>
      <c r="U419" t="s">
        <v>2618</v>
      </c>
      <c r="V419">
        <v>6.66</v>
      </c>
      <c r="W419">
        <v>6.66</v>
      </c>
      <c r="X419" t="s">
        <v>2689</v>
      </c>
      <c r="Y419" t="s">
        <v>2689</v>
      </c>
      <c r="Z419" t="s">
        <v>2689</v>
      </c>
      <c r="AA419" t="s">
        <v>2689</v>
      </c>
      <c r="AC419" t="s">
        <v>2689</v>
      </c>
      <c r="AD419" t="s">
        <v>2689</v>
      </c>
      <c r="AE419" t="s">
        <v>2689</v>
      </c>
      <c r="AF419" t="s">
        <v>2689</v>
      </c>
      <c r="AH419">
        <v>119.01</v>
      </c>
      <c r="AI419" t="s">
        <v>2690</v>
      </c>
      <c r="AJ419" t="s">
        <v>2690</v>
      </c>
      <c r="AK419" t="s">
        <v>2690</v>
      </c>
      <c r="AL419" t="s">
        <v>2690</v>
      </c>
      <c r="AP419">
        <v>119.01</v>
      </c>
      <c r="AR419" s="23">
        <v>0.36827546296296299</v>
      </c>
      <c r="AS419" s="23">
        <v>0.66675925925925927</v>
      </c>
      <c r="AT419" s="23">
        <v>0.375</v>
      </c>
      <c r="AU419" s="23">
        <v>0.70833333333333337</v>
      </c>
      <c r="AV419" t="s">
        <v>2619</v>
      </c>
      <c r="AY419">
        <v>0.5</v>
      </c>
      <c r="AZ419" t="s">
        <v>3178</v>
      </c>
      <c r="BA419" t="s">
        <v>2752</v>
      </c>
      <c r="BD419" t="s">
        <v>2620</v>
      </c>
      <c r="BE419" t="s">
        <v>2621</v>
      </c>
      <c r="BG419">
        <v>0</v>
      </c>
      <c r="BH419">
        <v>0</v>
      </c>
      <c r="BJ419">
        <v>0</v>
      </c>
    </row>
    <row r="420" spans="1:62" x14ac:dyDescent="0.2">
      <c r="A420" t="s">
        <v>2614</v>
      </c>
      <c r="B420" t="s">
        <v>2614</v>
      </c>
      <c r="C420">
        <v>100029581</v>
      </c>
      <c r="D420" t="s">
        <v>2615</v>
      </c>
      <c r="E420" t="s">
        <v>2439</v>
      </c>
      <c r="F420" t="s">
        <v>2782</v>
      </c>
      <c r="G420" t="s">
        <v>2783</v>
      </c>
      <c r="H420" s="23">
        <v>0.70833333333333337</v>
      </c>
      <c r="I420" t="s">
        <v>2696</v>
      </c>
      <c r="J420" t="s">
        <v>2616</v>
      </c>
      <c r="K420" t="s">
        <v>2680</v>
      </c>
      <c r="L420" t="s">
        <v>2614</v>
      </c>
      <c r="M420" t="s">
        <v>2617</v>
      </c>
      <c r="N420" s="6">
        <v>45994</v>
      </c>
      <c r="O420" t="s">
        <v>2458</v>
      </c>
      <c r="P420" t="s">
        <v>2445</v>
      </c>
      <c r="Q420" s="23">
        <v>0.55576388888888884</v>
      </c>
      <c r="R420" s="23">
        <v>0.88885416666666661</v>
      </c>
      <c r="S420">
        <v>17.87</v>
      </c>
      <c r="T420" t="s">
        <v>2443</v>
      </c>
      <c r="U420" t="s">
        <v>2618</v>
      </c>
      <c r="V420">
        <v>7.49</v>
      </c>
      <c r="W420">
        <v>7.49</v>
      </c>
      <c r="X420" t="s">
        <v>2689</v>
      </c>
      <c r="Y420" t="s">
        <v>2689</v>
      </c>
      <c r="Z420" t="s">
        <v>2689</v>
      </c>
      <c r="AA420" t="s">
        <v>2689</v>
      </c>
      <c r="AC420" t="s">
        <v>2689</v>
      </c>
      <c r="AD420" t="s">
        <v>2689</v>
      </c>
      <c r="AE420" t="s">
        <v>2689</v>
      </c>
      <c r="AF420" t="s">
        <v>2689</v>
      </c>
      <c r="AH420">
        <v>133.85</v>
      </c>
      <c r="AI420" t="s">
        <v>2690</v>
      </c>
      <c r="AJ420" t="s">
        <v>2690</v>
      </c>
      <c r="AK420" t="s">
        <v>2690</v>
      </c>
      <c r="AL420" t="s">
        <v>2690</v>
      </c>
      <c r="AP420">
        <v>133.85</v>
      </c>
      <c r="AR420" s="23">
        <v>0.55576388888888884</v>
      </c>
      <c r="AS420" s="23">
        <v>0.88885416666666661</v>
      </c>
      <c r="AT420" s="23">
        <v>0.5625</v>
      </c>
      <c r="AU420" s="23">
        <v>0.875</v>
      </c>
      <c r="AV420" t="s">
        <v>2619</v>
      </c>
      <c r="AY420">
        <v>0.5</v>
      </c>
      <c r="AZ420" t="s">
        <v>3179</v>
      </c>
      <c r="BA420" t="s">
        <v>2754</v>
      </c>
      <c r="BD420" t="s">
        <v>2620</v>
      </c>
      <c r="BE420" t="s">
        <v>2621</v>
      </c>
      <c r="BG420">
        <v>0</v>
      </c>
      <c r="BH420">
        <v>0</v>
      </c>
      <c r="BJ420">
        <v>0</v>
      </c>
    </row>
    <row r="421" spans="1:62" x14ac:dyDescent="0.2">
      <c r="A421" t="s">
        <v>2614</v>
      </c>
      <c r="B421" t="s">
        <v>2614</v>
      </c>
      <c r="C421">
        <v>100029581</v>
      </c>
      <c r="D421" t="s">
        <v>2615</v>
      </c>
      <c r="E421" t="s">
        <v>2439</v>
      </c>
      <c r="F421" t="s">
        <v>2804</v>
      </c>
      <c r="G421" t="s">
        <v>2805</v>
      </c>
      <c r="H421" s="23">
        <v>0.70833333333333337</v>
      </c>
      <c r="I421" t="s">
        <v>2696</v>
      </c>
      <c r="J421" t="s">
        <v>2616</v>
      </c>
      <c r="K421" t="s">
        <v>2622</v>
      </c>
      <c r="L421" t="s">
        <v>2614</v>
      </c>
      <c r="M421" t="s">
        <v>2617</v>
      </c>
      <c r="N421" s="6">
        <v>45995</v>
      </c>
      <c r="O421" t="s">
        <v>2459</v>
      </c>
      <c r="P421" t="s">
        <v>2445</v>
      </c>
      <c r="Q421" s="23">
        <v>0.55924768518518519</v>
      </c>
      <c r="R421" s="23">
        <v>0.83990740740740744</v>
      </c>
      <c r="S421">
        <v>17.87</v>
      </c>
      <c r="T421" t="s">
        <v>2443</v>
      </c>
      <c r="U421" t="s">
        <v>2618</v>
      </c>
      <c r="V421">
        <v>6.24</v>
      </c>
      <c r="W421">
        <v>6.24</v>
      </c>
      <c r="X421" t="s">
        <v>2689</v>
      </c>
      <c r="Y421" t="s">
        <v>2689</v>
      </c>
      <c r="Z421" t="s">
        <v>2689</v>
      </c>
      <c r="AA421" t="s">
        <v>2689</v>
      </c>
      <c r="AC421" t="s">
        <v>2689</v>
      </c>
      <c r="AD421" t="s">
        <v>2689</v>
      </c>
      <c r="AE421" t="s">
        <v>2689</v>
      </c>
      <c r="AF421" t="s">
        <v>2689</v>
      </c>
      <c r="AH421">
        <v>111.51</v>
      </c>
      <c r="AI421" t="s">
        <v>2690</v>
      </c>
      <c r="AJ421" t="s">
        <v>2690</v>
      </c>
      <c r="AK421" t="s">
        <v>2690</v>
      </c>
      <c r="AL421" t="s">
        <v>2690</v>
      </c>
      <c r="AP421">
        <v>111.51</v>
      </c>
      <c r="AR421" s="23">
        <v>0.55924768518518519</v>
      </c>
      <c r="AS421" s="23">
        <v>0.83990740740740744</v>
      </c>
      <c r="AT421" s="23">
        <v>0.5625</v>
      </c>
      <c r="AU421" s="23">
        <v>0.89583333333333337</v>
      </c>
      <c r="AV421" t="s">
        <v>2619</v>
      </c>
      <c r="AY421">
        <v>0.5</v>
      </c>
      <c r="AZ421" t="s">
        <v>3180</v>
      </c>
      <c r="BA421" t="s">
        <v>2754</v>
      </c>
      <c r="BD421" t="s">
        <v>2620</v>
      </c>
      <c r="BE421" t="s">
        <v>2621</v>
      </c>
      <c r="BG421">
        <v>0</v>
      </c>
      <c r="BH421">
        <v>0</v>
      </c>
      <c r="BJ421">
        <v>0</v>
      </c>
    </row>
    <row r="422" spans="1:62" x14ac:dyDescent="0.2">
      <c r="A422" t="s">
        <v>2614</v>
      </c>
      <c r="B422" t="s">
        <v>2614</v>
      </c>
      <c r="C422">
        <v>100029581</v>
      </c>
      <c r="D422" t="s">
        <v>2615</v>
      </c>
      <c r="E422" t="s">
        <v>2439</v>
      </c>
      <c r="F422" t="s">
        <v>2452</v>
      </c>
      <c r="G422" t="s">
        <v>2453</v>
      </c>
      <c r="H422" s="23">
        <v>0.33333333333333331</v>
      </c>
      <c r="I422" t="s">
        <v>2688</v>
      </c>
      <c r="J422" t="s">
        <v>2616</v>
      </c>
      <c r="K422" t="s">
        <v>2622</v>
      </c>
      <c r="L422" t="s">
        <v>2614</v>
      </c>
      <c r="M422" t="s">
        <v>2617</v>
      </c>
      <c r="N422" s="6">
        <v>45996</v>
      </c>
      <c r="O422" t="s">
        <v>2449</v>
      </c>
      <c r="P422" t="s">
        <v>2445</v>
      </c>
      <c r="Q422" s="23">
        <v>0.34737268518518516</v>
      </c>
      <c r="R422" s="23">
        <v>0.56101851851851847</v>
      </c>
      <c r="S422">
        <v>17.87</v>
      </c>
      <c r="T422" t="s">
        <v>2443</v>
      </c>
      <c r="U422" t="s">
        <v>2618</v>
      </c>
      <c r="V422">
        <v>5.13</v>
      </c>
      <c r="W422">
        <v>5.13</v>
      </c>
      <c r="X422" t="s">
        <v>2689</v>
      </c>
      <c r="Y422" t="s">
        <v>2689</v>
      </c>
      <c r="Z422" t="s">
        <v>2689</v>
      </c>
      <c r="AA422" t="s">
        <v>2689</v>
      </c>
      <c r="AC422" t="s">
        <v>2689</v>
      </c>
      <c r="AD422" t="s">
        <v>2689</v>
      </c>
      <c r="AE422" t="s">
        <v>2689</v>
      </c>
      <c r="AF422" t="s">
        <v>2689</v>
      </c>
      <c r="AH422">
        <v>91.67</v>
      </c>
      <c r="AI422" t="s">
        <v>2690</v>
      </c>
      <c r="AJ422" t="s">
        <v>2690</v>
      </c>
      <c r="AK422" t="s">
        <v>2690</v>
      </c>
      <c r="AL422" t="s">
        <v>2690</v>
      </c>
      <c r="AP422">
        <v>91.67</v>
      </c>
      <c r="AR422" s="23">
        <v>0.34737268518518516</v>
      </c>
      <c r="AS422" s="23">
        <v>0.56101851851851847</v>
      </c>
      <c r="AT422" s="23">
        <v>0.35416666666666669</v>
      </c>
      <c r="AU422" s="23">
        <v>0.6875</v>
      </c>
      <c r="AV422" t="s">
        <v>2619</v>
      </c>
      <c r="BA422" t="s">
        <v>2754</v>
      </c>
      <c r="BD422" t="s">
        <v>2620</v>
      </c>
      <c r="BE422" t="s">
        <v>2621</v>
      </c>
      <c r="BG422">
        <v>0</v>
      </c>
      <c r="BH422">
        <v>0</v>
      </c>
      <c r="BJ422">
        <v>0</v>
      </c>
    </row>
    <row r="423" spans="1:62" x14ac:dyDescent="0.2">
      <c r="A423" t="s">
        <v>2614</v>
      </c>
      <c r="B423" t="s">
        <v>2614</v>
      </c>
      <c r="C423">
        <v>100029581</v>
      </c>
      <c r="D423" t="s">
        <v>2615</v>
      </c>
      <c r="E423" t="s">
        <v>2439</v>
      </c>
      <c r="F423" t="s">
        <v>2786</v>
      </c>
      <c r="G423" t="s">
        <v>2787</v>
      </c>
      <c r="H423" s="23">
        <v>0.66666666666666663</v>
      </c>
      <c r="I423" t="s">
        <v>2696</v>
      </c>
      <c r="J423" t="s">
        <v>2616</v>
      </c>
      <c r="K423" t="s">
        <v>2680</v>
      </c>
      <c r="L423" t="s">
        <v>2614</v>
      </c>
      <c r="M423" t="s">
        <v>2617</v>
      </c>
      <c r="N423" s="6">
        <v>45999</v>
      </c>
      <c r="O423" t="s">
        <v>2455</v>
      </c>
      <c r="P423" t="s">
        <v>2445</v>
      </c>
      <c r="Q423" s="23">
        <v>0.53552083333333333</v>
      </c>
      <c r="R423" s="23">
        <v>0.88252314814814814</v>
      </c>
      <c r="S423">
        <v>17.87</v>
      </c>
      <c r="T423" t="s">
        <v>2443</v>
      </c>
      <c r="U423" t="s">
        <v>2618</v>
      </c>
      <c r="V423">
        <v>7.83</v>
      </c>
      <c r="W423">
        <v>7.83</v>
      </c>
      <c r="X423" t="s">
        <v>2689</v>
      </c>
      <c r="Y423" t="s">
        <v>2689</v>
      </c>
      <c r="Z423" t="s">
        <v>2689</v>
      </c>
      <c r="AA423" t="s">
        <v>2689</v>
      </c>
      <c r="AC423" t="s">
        <v>2689</v>
      </c>
      <c r="AD423" t="s">
        <v>2689</v>
      </c>
      <c r="AE423" t="s">
        <v>2689</v>
      </c>
      <c r="AF423" t="s">
        <v>2689</v>
      </c>
      <c r="AH423">
        <v>139.91999999999999</v>
      </c>
      <c r="AI423" t="s">
        <v>2690</v>
      </c>
      <c r="AJ423" t="s">
        <v>2690</v>
      </c>
      <c r="AK423" t="s">
        <v>2690</v>
      </c>
      <c r="AL423" t="s">
        <v>2690</v>
      </c>
      <c r="AP423">
        <v>139.91999999999999</v>
      </c>
      <c r="AR423" s="23">
        <v>0.53552083333333333</v>
      </c>
      <c r="AS423" s="23">
        <v>0.88252314814814814</v>
      </c>
      <c r="AT423" s="23">
        <v>0.54166666666666663</v>
      </c>
      <c r="AU423" s="23">
        <v>0.875</v>
      </c>
      <c r="AV423" t="s">
        <v>2619</v>
      </c>
      <c r="AY423">
        <v>0.5</v>
      </c>
      <c r="AZ423" t="s">
        <v>3181</v>
      </c>
      <c r="BA423" t="s">
        <v>2757</v>
      </c>
      <c r="BD423" t="s">
        <v>2620</v>
      </c>
      <c r="BE423" t="s">
        <v>2621</v>
      </c>
      <c r="BG423">
        <v>0</v>
      </c>
      <c r="BH423">
        <v>0</v>
      </c>
      <c r="BJ423">
        <v>0</v>
      </c>
    </row>
    <row r="424" spans="1:62" x14ac:dyDescent="0.2">
      <c r="A424" t="s">
        <v>2614</v>
      </c>
      <c r="B424" t="s">
        <v>2614</v>
      </c>
      <c r="C424">
        <v>100029581</v>
      </c>
      <c r="D424" t="s">
        <v>2615</v>
      </c>
      <c r="E424" t="s">
        <v>2439</v>
      </c>
      <c r="F424" t="s">
        <v>2789</v>
      </c>
      <c r="G424" t="s">
        <v>2790</v>
      </c>
      <c r="H424" s="23">
        <v>0.375</v>
      </c>
      <c r="I424" t="s">
        <v>2696</v>
      </c>
      <c r="J424" t="s">
        <v>2616</v>
      </c>
      <c r="K424" t="s">
        <v>2626</v>
      </c>
      <c r="L424" t="s">
        <v>2614</v>
      </c>
      <c r="M424" t="s">
        <v>2617</v>
      </c>
      <c r="N424" s="6">
        <v>46000</v>
      </c>
      <c r="O424" t="s">
        <v>2457</v>
      </c>
      <c r="P424" t="s">
        <v>2445</v>
      </c>
      <c r="Q424" s="23">
        <v>0.29172453703703705</v>
      </c>
      <c r="R424" s="23">
        <v>0.63569444444444445</v>
      </c>
      <c r="S424">
        <v>17.87</v>
      </c>
      <c r="T424" t="s">
        <v>2443</v>
      </c>
      <c r="U424" t="s">
        <v>2618</v>
      </c>
      <c r="V424">
        <v>7.76</v>
      </c>
      <c r="W424">
        <v>7.76</v>
      </c>
      <c r="X424" t="s">
        <v>2689</v>
      </c>
      <c r="Y424" t="s">
        <v>2689</v>
      </c>
      <c r="Z424" t="s">
        <v>2689</v>
      </c>
      <c r="AA424" t="s">
        <v>2689</v>
      </c>
      <c r="AC424" t="s">
        <v>2689</v>
      </c>
      <c r="AD424" t="s">
        <v>2689</v>
      </c>
      <c r="AE424" t="s">
        <v>2689</v>
      </c>
      <c r="AF424" t="s">
        <v>2689</v>
      </c>
      <c r="AH424">
        <v>138.66999999999999</v>
      </c>
      <c r="AI424" t="s">
        <v>2690</v>
      </c>
      <c r="AJ424" t="s">
        <v>2690</v>
      </c>
      <c r="AK424" t="s">
        <v>2690</v>
      </c>
      <c r="AL424" t="s">
        <v>2690</v>
      </c>
      <c r="AP424">
        <v>138.66999999999999</v>
      </c>
      <c r="AR424" s="23">
        <v>0.29172453703703705</v>
      </c>
      <c r="AS424" s="23">
        <v>0.63569444444444445</v>
      </c>
      <c r="AT424" s="23">
        <v>0.29166666666666669</v>
      </c>
      <c r="AU424" s="23">
        <v>0.625</v>
      </c>
      <c r="AV424" t="s">
        <v>2619</v>
      </c>
      <c r="AY424">
        <v>0.5</v>
      </c>
      <c r="AZ424" t="s">
        <v>3182</v>
      </c>
      <c r="BA424" t="s">
        <v>2757</v>
      </c>
      <c r="BD424" t="s">
        <v>2620</v>
      </c>
      <c r="BE424" t="s">
        <v>2621</v>
      </c>
      <c r="BG424">
        <v>0</v>
      </c>
      <c r="BH424">
        <v>0</v>
      </c>
      <c r="BJ424">
        <v>0</v>
      </c>
    </row>
    <row r="425" spans="1:62" x14ac:dyDescent="0.2">
      <c r="A425" t="s">
        <v>2614</v>
      </c>
      <c r="B425" t="s">
        <v>2614</v>
      </c>
      <c r="C425">
        <v>100029581</v>
      </c>
      <c r="D425" t="s">
        <v>2615</v>
      </c>
      <c r="E425" t="s">
        <v>2439</v>
      </c>
      <c r="F425" t="s">
        <v>2452</v>
      </c>
      <c r="G425" t="s">
        <v>2453</v>
      </c>
      <c r="H425" s="23">
        <v>0.33333333333333331</v>
      </c>
      <c r="I425" t="s">
        <v>2688</v>
      </c>
      <c r="J425" t="s">
        <v>2616</v>
      </c>
      <c r="K425" t="s">
        <v>2622</v>
      </c>
      <c r="L425" t="s">
        <v>2614</v>
      </c>
      <c r="M425" t="s">
        <v>2617</v>
      </c>
      <c r="N425" s="6">
        <v>46001</v>
      </c>
      <c r="O425" t="s">
        <v>2458</v>
      </c>
      <c r="P425" t="s">
        <v>2445</v>
      </c>
      <c r="Q425" s="23">
        <v>0.3682523148148148</v>
      </c>
      <c r="R425" s="23">
        <v>0.70466435185185183</v>
      </c>
      <c r="S425">
        <v>17.87</v>
      </c>
      <c r="T425" t="s">
        <v>2443</v>
      </c>
      <c r="U425" t="s">
        <v>2618</v>
      </c>
      <c r="V425">
        <v>7.57</v>
      </c>
      <c r="W425">
        <v>7.57</v>
      </c>
      <c r="X425" t="s">
        <v>2689</v>
      </c>
      <c r="Y425" t="s">
        <v>2689</v>
      </c>
      <c r="Z425" t="s">
        <v>2689</v>
      </c>
      <c r="AA425" t="s">
        <v>2689</v>
      </c>
      <c r="AC425" t="s">
        <v>2689</v>
      </c>
      <c r="AD425" t="s">
        <v>2689</v>
      </c>
      <c r="AE425" t="s">
        <v>2689</v>
      </c>
      <c r="AF425" t="s">
        <v>2689</v>
      </c>
      <c r="AH425">
        <v>135.28</v>
      </c>
      <c r="AI425" t="s">
        <v>2690</v>
      </c>
      <c r="AJ425" t="s">
        <v>2690</v>
      </c>
      <c r="AK425" t="s">
        <v>2690</v>
      </c>
      <c r="AL425" t="s">
        <v>2690</v>
      </c>
      <c r="AP425">
        <v>135.28</v>
      </c>
      <c r="AR425" s="23">
        <v>0.3682523148148148</v>
      </c>
      <c r="AS425" s="23">
        <v>0.70466435185185183</v>
      </c>
      <c r="AT425" s="23">
        <v>0.375</v>
      </c>
      <c r="AU425" s="23">
        <v>0.70833333333333337</v>
      </c>
      <c r="AV425" t="s">
        <v>2619</v>
      </c>
      <c r="AY425">
        <v>0.5</v>
      </c>
      <c r="AZ425" t="s">
        <v>3183</v>
      </c>
      <c r="BA425" t="s">
        <v>2759</v>
      </c>
      <c r="BD425" t="s">
        <v>2620</v>
      </c>
      <c r="BE425" t="s">
        <v>2621</v>
      </c>
      <c r="BG425">
        <v>0</v>
      </c>
      <c r="BH425">
        <v>0</v>
      </c>
      <c r="BJ425">
        <v>0</v>
      </c>
    </row>
    <row r="426" spans="1:62" x14ac:dyDescent="0.2">
      <c r="A426" t="s">
        <v>2614</v>
      </c>
      <c r="B426" t="s">
        <v>2614</v>
      </c>
      <c r="C426">
        <v>100029581</v>
      </c>
      <c r="D426" t="s">
        <v>2615</v>
      </c>
      <c r="E426" t="s">
        <v>2439</v>
      </c>
      <c r="F426" t="s">
        <v>2791</v>
      </c>
      <c r="G426" t="s">
        <v>2792</v>
      </c>
      <c r="H426" s="23">
        <v>0.79166666666666663</v>
      </c>
      <c r="I426" t="s">
        <v>2696</v>
      </c>
      <c r="J426" t="s">
        <v>2616</v>
      </c>
      <c r="K426" t="s">
        <v>2622</v>
      </c>
      <c r="L426" t="s">
        <v>2614</v>
      </c>
      <c r="M426" t="s">
        <v>2617</v>
      </c>
      <c r="N426" s="6">
        <v>46002</v>
      </c>
      <c r="O426" t="s">
        <v>2459</v>
      </c>
      <c r="P426" t="s">
        <v>2445</v>
      </c>
      <c r="Q426" s="23">
        <v>0.66732638888888884</v>
      </c>
      <c r="R426" s="23">
        <v>2.2511574074074073E-2</v>
      </c>
      <c r="S426">
        <v>17.87</v>
      </c>
      <c r="T426" t="s">
        <v>2443</v>
      </c>
      <c r="U426" t="s">
        <v>2618</v>
      </c>
      <c r="V426">
        <v>8.02</v>
      </c>
      <c r="W426">
        <v>8</v>
      </c>
      <c r="X426">
        <v>0.02</v>
      </c>
      <c r="Y426" t="s">
        <v>2689</v>
      </c>
      <c r="Z426" t="s">
        <v>2689</v>
      </c>
      <c r="AA426" t="s">
        <v>2689</v>
      </c>
      <c r="AC426" t="s">
        <v>2689</v>
      </c>
      <c r="AD426" t="s">
        <v>2689</v>
      </c>
      <c r="AE426" t="s">
        <v>2689</v>
      </c>
      <c r="AF426" t="s">
        <v>2689</v>
      </c>
      <c r="AH426">
        <v>142.96</v>
      </c>
      <c r="AI426">
        <v>0.54</v>
      </c>
      <c r="AJ426" t="s">
        <v>2690</v>
      </c>
      <c r="AK426" t="s">
        <v>2690</v>
      </c>
      <c r="AL426" t="s">
        <v>2690</v>
      </c>
      <c r="AP426">
        <v>143.5</v>
      </c>
      <c r="AR426" s="23">
        <v>0.66732638888888884</v>
      </c>
      <c r="AS426" s="23">
        <v>2.2511574074074073E-2</v>
      </c>
      <c r="AT426" s="23">
        <v>0.66666666666666663</v>
      </c>
      <c r="AU426" s="24">
        <v>1</v>
      </c>
      <c r="AV426" t="s">
        <v>2619</v>
      </c>
      <c r="AY426">
        <v>0.5</v>
      </c>
      <c r="AZ426" t="s">
        <v>3184</v>
      </c>
      <c r="BA426" t="s">
        <v>2759</v>
      </c>
      <c r="BD426" t="s">
        <v>2620</v>
      </c>
      <c r="BE426" t="s">
        <v>2621</v>
      </c>
      <c r="BG426">
        <v>0</v>
      </c>
      <c r="BH426">
        <v>0</v>
      </c>
      <c r="BJ426">
        <v>0</v>
      </c>
    </row>
    <row r="427" spans="1:62" x14ac:dyDescent="0.2">
      <c r="A427" t="s">
        <v>2614</v>
      </c>
      <c r="B427" t="s">
        <v>2614</v>
      </c>
      <c r="C427">
        <v>100029581</v>
      </c>
      <c r="D427" t="s">
        <v>2615</v>
      </c>
      <c r="E427" t="s">
        <v>2439</v>
      </c>
      <c r="F427" t="s">
        <v>2794</v>
      </c>
      <c r="G427" t="s">
        <v>2795</v>
      </c>
      <c r="H427" s="23">
        <v>0.79166666666666663</v>
      </c>
      <c r="I427" t="s">
        <v>2696</v>
      </c>
      <c r="J427" t="s">
        <v>2616</v>
      </c>
      <c r="K427" t="s">
        <v>2622</v>
      </c>
      <c r="L427" t="s">
        <v>2614</v>
      </c>
      <c r="M427" t="s">
        <v>2617</v>
      </c>
      <c r="N427" s="6">
        <v>46003</v>
      </c>
      <c r="O427" t="s">
        <v>2449</v>
      </c>
      <c r="P427" t="s">
        <v>2445</v>
      </c>
      <c r="Q427" s="23">
        <v>0.65981481481481485</v>
      </c>
      <c r="R427" s="23">
        <v>2.488425925925926E-3</v>
      </c>
      <c r="S427">
        <v>17.87</v>
      </c>
      <c r="T427" t="s">
        <v>2443</v>
      </c>
      <c r="U427" t="s">
        <v>2618</v>
      </c>
      <c r="V427">
        <v>7.72</v>
      </c>
      <c r="W427">
        <v>7.72</v>
      </c>
      <c r="X427" t="s">
        <v>2689</v>
      </c>
      <c r="Y427" t="s">
        <v>2689</v>
      </c>
      <c r="Z427" t="s">
        <v>2689</v>
      </c>
      <c r="AA427" t="s">
        <v>2689</v>
      </c>
      <c r="AC427" t="s">
        <v>2689</v>
      </c>
      <c r="AD427" t="s">
        <v>2689</v>
      </c>
      <c r="AE427" t="s">
        <v>2689</v>
      </c>
      <c r="AF427" t="s">
        <v>2689</v>
      </c>
      <c r="AH427">
        <v>137.96</v>
      </c>
      <c r="AI427" t="s">
        <v>2690</v>
      </c>
      <c r="AJ427" t="s">
        <v>2690</v>
      </c>
      <c r="AK427" t="s">
        <v>2690</v>
      </c>
      <c r="AL427" t="s">
        <v>2690</v>
      </c>
      <c r="AP427">
        <v>137.96</v>
      </c>
      <c r="AR427" s="23">
        <v>0.65981481481481485</v>
      </c>
      <c r="AS427" s="23">
        <v>2.488425925925926E-3</v>
      </c>
      <c r="AT427" s="23">
        <v>0.66666666666666663</v>
      </c>
      <c r="AU427" s="24">
        <v>1</v>
      </c>
      <c r="AV427" t="s">
        <v>2619</v>
      </c>
      <c r="AY427">
        <v>0.5</v>
      </c>
      <c r="AZ427" t="s">
        <v>3185</v>
      </c>
      <c r="BA427" t="s">
        <v>2798</v>
      </c>
      <c r="BD427" t="s">
        <v>2620</v>
      </c>
      <c r="BE427" t="s">
        <v>2621</v>
      </c>
      <c r="BG427">
        <v>0</v>
      </c>
      <c r="BH427">
        <v>0</v>
      </c>
      <c r="BJ427">
        <v>0</v>
      </c>
    </row>
    <row r="428" spans="1:62" x14ac:dyDescent="0.2">
      <c r="A428" t="s">
        <v>2614</v>
      </c>
      <c r="B428" t="s">
        <v>2614</v>
      </c>
      <c r="C428">
        <v>100029581</v>
      </c>
      <c r="D428" t="s">
        <v>2615</v>
      </c>
      <c r="E428" t="s">
        <v>2439</v>
      </c>
      <c r="F428" t="s">
        <v>2811</v>
      </c>
      <c r="G428" t="s">
        <v>2812</v>
      </c>
      <c r="H428" s="23">
        <v>0.6875</v>
      </c>
      <c r="I428" t="s">
        <v>2696</v>
      </c>
      <c r="J428" t="s">
        <v>2616</v>
      </c>
      <c r="K428" t="s">
        <v>2622</v>
      </c>
      <c r="L428" t="s">
        <v>2614</v>
      </c>
      <c r="M428" t="s">
        <v>2617</v>
      </c>
      <c r="N428" s="6">
        <v>46005</v>
      </c>
      <c r="O428" t="s">
        <v>2461</v>
      </c>
      <c r="P428" t="s">
        <v>2442</v>
      </c>
      <c r="Q428" s="23">
        <v>0.57648148148148148</v>
      </c>
      <c r="R428" s="23">
        <v>0.89722222222222225</v>
      </c>
      <c r="S428">
        <v>17.87</v>
      </c>
      <c r="T428" t="s">
        <v>2443</v>
      </c>
      <c r="U428" t="s">
        <v>2618</v>
      </c>
      <c r="V428">
        <v>7.2</v>
      </c>
      <c r="W428">
        <v>7.2</v>
      </c>
      <c r="X428" t="s">
        <v>2689</v>
      </c>
      <c r="Y428" t="s">
        <v>2689</v>
      </c>
      <c r="Z428" t="s">
        <v>2689</v>
      </c>
      <c r="AA428" t="s">
        <v>2689</v>
      </c>
      <c r="AC428" t="s">
        <v>2689</v>
      </c>
      <c r="AD428" t="s">
        <v>2689</v>
      </c>
      <c r="AE428" t="s">
        <v>2689</v>
      </c>
      <c r="AF428" t="s">
        <v>2689</v>
      </c>
      <c r="AH428">
        <v>128.66</v>
      </c>
      <c r="AI428" t="s">
        <v>2690</v>
      </c>
      <c r="AJ428" t="s">
        <v>2690</v>
      </c>
      <c r="AK428" t="s">
        <v>2690</v>
      </c>
      <c r="AL428" t="s">
        <v>2690</v>
      </c>
      <c r="AP428">
        <v>128.66</v>
      </c>
      <c r="AR428" s="23">
        <v>0.57648148148148148</v>
      </c>
      <c r="AS428" s="23">
        <v>0.89722222222222225</v>
      </c>
      <c r="AT428" s="23">
        <v>0.58333333333333337</v>
      </c>
      <c r="AU428" s="23">
        <v>0.91666666666666663</v>
      </c>
      <c r="AV428" t="s">
        <v>2619</v>
      </c>
      <c r="AY428">
        <v>0.5</v>
      </c>
      <c r="AZ428" t="s">
        <v>3186</v>
      </c>
      <c r="BA428" t="s">
        <v>2798</v>
      </c>
      <c r="BD428" t="s">
        <v>2620</v>
      </c>
      <c r="BE428" t="s">
        <v>2621</v>
      </c>
      <c r="BG428">
        <v>0</v>
      </c>
      <c r="BH428">
        <v>0</v>
      </c>
      <c r="BJ428">
        <v>0</v>
      </c>
    </row>
    <row r="429" spans="1:62" x14ac:dyDescent="0.2">
      <c r="A429" t="s">
        <v>2614</v>
      </c>
      <c r="B429" t="s">
        <v>2614</v>
      </c>
      <c r="C429">
        <v>100029581</v>
      </c>
      <c r="D429" t="s">
        <v>2615</v>
      </c>
      <c r="E429" t="s">
        <v>2439</v>
      </c>
      <c r="F429" t="s">
        <v>2814</v>
      </c>
      <c r="G429" t="s">
        <v>2815</v>
      </c>
      <c r="H429" s="23">
        <v>0.47916666666666669</v>
      </c>
      <c r="I429" t="s">
        <v>2696</v>
      </c>
      <c r="J429" t="s">
        <v>2616</v>
      </c>
      <c r="K429" t="s">
        <v>2623</v>
      </c>
      <c r="L429" t="s">
        <v>2614</v>
      </c>
      <c r="M429" t="s">
        <v>2617</v>
      </c>
      <c r="N429" s="6">
        <v>46006</v>
      </c>
      <c r="O429" t="s">
        <v>2455</v>
      </c>
      <c r="P429" t="s">
        <v>2445</v>
      </c>
      <c r="Q429" s="23">
        <v>0.32679398148148148</v>
      </c>
      <c r="R429" s="23">
        <v>0.63208333333333333</v>
      </c>
      <c r="S429">
        <v>17.87</v>
      </c>
      <c r="T429" t="s">
        <v>2443</v>
      </c>
      <c r="U429" t="s">
        <v>2618</v>
      </c>
      <c r="V429">
        <v>6.83</v>
      </c>
      <c r="W429">
        <v>6.83</v>
      </c>
      <c r="X429" t="s">
        <v>2689</v>
      </c>
      <c r="Y429" t="s">
        <v>2689</v>
      </c>
      <c r="Z429" t="s">
        <v>2689</v>
      </c>
      <c r="AA429" t="s">
        <v>2689</v>
      </c>
      <c r="AC429" t="s">
        <v>2689</v>
      </c>
      <c r="AD429" t="s">
        <v>2689</v>
      </c>
      <c r="AE429" t="s">
        <v>2689</v>
      </c>
      <c r="AF429" t="s">
        <v>2689</v>
      </c>
      <c r="AH429">
        <v>122.05</v>
      </c>
      <c r="AI429" t="s">
        <v>2690</v>
      </c>
      <c r="AJ429" t="s">
        <v>2690</v>
      </c>
      <c r="AK429" t="s">
        <v>2690</v>
      </c>
      <c r="AL429" t="s">
        <v>2690</v>
      </c>
      <c r="AP429">
        <v>122.05</v>
      </c>
      <c r="AR429" s="23">
        <v>0.32679398148148148</v>
      </c>
      <c r="AS429" s="23">
        <v>0.63208333333333333</v>
      </c>
      <c r="AT429" s="23">
        <v>0.33333333333333331</v>
      </c>
      <c r="AU429" s="23">
        <v>0.66666666666666663</v>
      </c>
      <c r="AV429" t="s">
        <v>2619</v>
      </c>
      <c r="AY429">
        <v>0.5</v>
      </c>
      <c r="AZ429" t="s">
        <v>3187</v>
      </c>
      <c r="BA429" t="s">
        <v>2769</v>
      </c>
      <c r="BD429" t="s">
        <v>2620</v>
      </c>
      <c r="BE429" t="s">
        <v>2621</v>
      </c>
      <c r="BG429">
        <v>0</v>
      </c>
      <c r="BH429">
        <v>0</v>
      </c>
      <c r="BJ429">
        <v>0</v>
      </c>
    </row>
    <row r="430" spans="1:62" x14ac:dyDescent="0.2">
      <c r="A430" t="s">
        <v>2614</v>
      </c>
      <c r="B430" t="s">
        <v>2614</v>
      </c>
      <c r="C430">
        <v>100029581</v>
      </c>
      <c r="D430" t="s">
        <v>2615</v>
      </c>
      <c r="E430" t="s">
        <v>2439</v>
      </c>
      <c r="F430" t="s">
        <v>2452</v>
      </c>
      <c r="G430" t="s">
        <v>2453</v>
      </c>
      <c r="H430" s="23">
        <v>0.33333333333333331</v>
      </c>
      <c r="I430" t="s">
        <v>2688</v>
      </c>
      <c r="J430" t="s">
        <v>2616</v>
      </c>
      <c r="K430" t="s">
        <v>2632</v>
      </c>
      <c r="L430" t="s">
        <v>2614</v>
      </c>
      <c r="M430" t="s">
        <v>2617</v>
      </c>
      <c r="N430" s="6">
        <v>46008</v>
      </c>
      <c r="O430" t="s">
        <v>2458</v>
      </c>
      <c r="P430" t="s">
        <v>2445</v>
      </c>
      <c r="Q430" s="23">
        <v>0.32689814814814816</v>
      </c>
      <c r="R430" s="23">
        <v>0.5408680555555555</v>
      </c>
      <c r="S430">
        <v>17.87</v>
      </c>
      <c r="T430" t="s">
        <v>2443</v>
      </c>
      <c r="U430" t="s">
        <v>2618</v>
      </c>
      <c r="V430">
        <v>5.14</v>
      </c>
      <c r="W430">
        <v>5.14</v>
      </c>
      <c r="X430" t="s">
        <v>2689</v>
      </c>
      <c r="Y430" t="s">
        <v>2689</v>
      </c>
      <c r="Z430" t="s">
        <v>2689</v>
      </c>
      <c r="AA430" t="s">
        <v>2689</v>
      </c>
      <c r="AC430" t="s">
        <v>2689</v>
      </c>
      <c r="AD430" t="s">
        <v>2689</v>
      </c>
      <c r="AE430" t="s">
        <v>2689</v>
      </c>
      <c r="AF430" t="s">
        <v>2689</v>
      </c>
      <c r="AH430">
        <v>91.85</v>
      </c>
      <c r="AI430" t="s">
        <v>2690</v>
      </c>
      <c r="AJ430" t="s">
        <v>2690</v>
      </c>
      <c r="AK430" t="s">
        <v>2690</v>
      </c>
      <c r="AL430" t="s">
        <v>2690</v>
      </c>
      <c r="AP430">
        <v>91.85</v>
      </c>
      <c r="AR430" s="23">
        <v>0.32689814814814816</v>
      </c>
      <c r="AS430" s="23">
        <v>0.5408680555555555</v>
      </c>
      <c r="AT430" s="23">
        <v>0.33333333333333331</v>
      </c>
      <c r="AU430" s="23">
        <v>0.54166666666666663</v>
      </c>
      <c r="AV430" t="s">
        <v>2619</v>
      </c>
      <c r="BA430" t="s">
        <v>2771</v>
      </c>
      <c r="BD430" t="s">
        <v>2620</v>
      </c>
      <c r="BE430" t="s">
        <v>2621</v>
      </c>
      <c r="BG430">
        <v>0</v>
      </c>
      <c r="BH430">
        <v>0</v>
      </c>
      <c r="BJ430">
        <v>0</v>
      </c>
    </row>
    <row r="431" spans="1:62" x14ac:dyDescent="0.2">
      <c r="A431" t="s">
        <v>2614</v>
      </c>
      <c r="B431" t="s">
        <v>2614</v>
      </c>
      <c r="C431">
        <v>100029581</v>
      </c>
      <c r="D431" t="s">
        <v>2615</v>
      </c>
      <c r="E431" t="s">
        <v>2439</v>
      </c>
      <c r="F431" t="s">
        <v>2452</v>
      </c>
      <c r="G431" t="s">
        <v>2453</v>
      </c>
      <c r="H431" s="23">
        <v>0.33333333333333331</v>
      </c>
      <c r="I431" t="s">
        <v>2688</v>
      </c>
      <c r="J431" t="s">
        <v>2616</v>
      </c>
      <c r="K431" t="s">
        <v>2623</v>
      </c>
      <c r="L431" t="s">
        <v>2614</v>
      </c>
      <c r="M431" t="s">
        <v>2617</v>
      </c>
      <c r="N431" s="6">
        <v>46009</v>
      </c>
      <c r="O431" t="s">
        <v>2459</v>
      </c>
      <c r="P431" t="s">
        <v>2445</v>
      </c>
      <c r="Q431" s="23">
        <v>0.32648148148148148</v>
      </c>
      <c r="R431" s="23">
        <v>0.54171296296296301</v>
      </c>
      <c r="S431">
        <v>17.87</v>
      </c>
      <c r="T431" t="s">
        <v>2443</v>
      </c>
      <c r="U431" t="s">
        <v>2618</v>
      </c>
      <c r="V431">
        <v>5.17</v>
      </c>
      <c r="W431">
        <v>5.17</v>
      </c>
      <c r="X431" t="s">
        <v>2689</v>
      </c>
      <c r="Y431" t="s">
        <v>2689</v>
      </c>
      <c r="Z431" t="s">
        <v>2689</v>
      </c>
      <c r="AA431" t="s">
        <v>2689</v>
      </c>
      <c r="AC431" t="s">
        <v>2689</v>
      </c>
      <c r="AD431" t="s">
        <v>2689</v>
      </c>
      <c r="AE431" t="s">
        <v>2689</v>
      </c>
      <c r="AF431" t="s">
        <v>2689</v>
      </c>
      <c r="AH431">
        <v>92.39</v>
      </c>
      <c r="AI431" t="s">
        <v>2690</v>
      </c>
      <c r="AJ431" t="s">
        <v>2690</v>
      </c>
      <c r="AK431" t="s">
        <v>2690</v>
      </c>
      <c r="AL431" t="s">
        <v>2690</v>
      </c>
      <c r="AP431">
        <v>92.39</v>
      </c>
      <c r="AR431" s="23">
        <v>0.32648148148148148</v>
      </c>
      <c r="AS431" s="23">
        <v>0.54171296296296301</v>
      </c>
      <c r="AT431" s="23">
        <v>0.33333333333333331</v>
      </c>
      <c r="AU431" s="23">
        <v>0.60416666666666663</v>
      </c>
      <c r="AV431" t="s">
        <v>2619</v>
      </c>
      <c r="BA431" t="s">
        <v>2765</v>
      </c>
      <c r="BD431" t="s">
        <v>2620</v>
      </c>
      <c r="BE431" t="s">
        <v>2621</v>
      </c>
      <c r="BG431">
        <v>0</v>
      </c>
      <c r="BH431">
        <v>0</v>
      </c>
      <c r="BJ431">
        <v>0</v>
      </c>
    </row>
    <row r="432" spans="1:62" x14ac:dyDescent="0.2">
      <c r="A432" t="s">
        <v>2614</v>
      </c>
      <c r="B432" t="s">
        <v>2614</v>
      </c>
      <c r="C432">
        <v>100029855</v>
      </c>
      <c r="D432" t="s">
        <v>2624</v>
      </c>
      <c r="E432" t="s">
        <v>2439</v>
      </c>
      <c r="F432" t="s">
        <v>2800</v>
      </c>
      <c r="G432" t="s">
        <v>2801</v>
      </c>
      <c r="H432" s="23">
        <v>0.66666666666666663</v>
      </c>
      <c r="I432" t="s">
        <v>2696</v>
      </c>
      <c r="J432" t="s">
        <v>2616</v>
      </c>
      <c r="K432" t="s">
        <v>2625</v>
      </c>
      <c r="L432" t="s">
        <v>2614</v>
      </c>
      <c r="M432" t="s">
        <v>2617</v>
      </c>
      <c r="N432" s="6">
        <v>45993</v>
      </c>
      <c r="O432" t="s">
        <v>2457</v>
      </c>
      <c r="P432" t="s">
        <v>2445</v>
      </c>
      <c r="Q432" s="23">
        <v>0.36811342592592594</v>
      </c>
      <c r="R432" s="23">
        <v>0.66686342592592596</v>
      </c>
      <c r="S432">
        <v>17.87</v>
      </c>
      <c r="T432" t="s">
        <v>2443</v>
      </c>
      <c r="U432" t="s">
        <v>2618</v>
      </c>
      <c r="V432">
        <v>6.67</v>
      </c>
      <c r="W432">
        <v>6.67</v>
      </c>
      <c r="X432" t="s">
        <v>2689</v>
      </c>
      <c r="Y432" t="s">
        <v>2689</v>
      </c>
      <c r="Z432" t="s">
        <v>2689</v>
      </c>
      <c r="AA432" t="s">
        <v>2689</v>
      </c>
      <c r="AC432" t="s">
        <v>2689</v>
      </c>
      <c r="AD432" t="s">
        <v>2689</v>
      </c>
      <c r="AE432" t="s">
        <v>2689</v>
      </c>
      <c r="AF432" t="s">
        <v>2689</v>
      </c>
      <c r="AH432">
        <v>119.19</v>
      </c>
      <c r="AI432" t="s">
        <v>2690</v>
      </c>
      <c r="AJ432" t="s">
        <v>2690</v>
      </c>
      <c r="AK432" t="s">
        <v>2690</v>
      </c>
      <c r="AL432" t="s">
        <v>2690</v>
      </c>
      <c r="AP432">
        <v>119.19</v>
      </c>
      <c r="AR432" s="23">
        <v>0.36811342592592594</v>
      </c>
      <c r="AS432" s="23">
        <v>0.66686342592592596</v>
      </c>
      <c r="AT432" s="23">
        <v>0.375</v>
      </c>
      <c r="AU432" s="23">
        <v>0.70833333333333337</v>
      </c>
      <c r="AV432" t="s">
        <v>2619</v>
      </c>
      <c r="AY432">
        <v>0.5</v>
      </c>
      <c r="AZ432" t="s">
        <v>3188</v>
      </c>
      <c r="BA432" t="s">
        <v>2752</v>
      </c>
      <c r="BD432" t="s">
        <v>2620</v>
      </c>
      <c r="BE432" t="s">
        <v>2621</v>
      </c>
      <c r="BG432">
        <v>0</v>
      </c>
      <c r="BH432">
        <v>0</v>
      </c>
      <c r="BJ432">
        <v>0</v>
      </c>
    </row>
    <row r="433" spans="1:62" x14ac:dyDescent="0.2">
      <c r="A433" t="s">
        <v>2614</v>
      </c>
      <c r="B433" t="s">
        <v>2614</v>
      </c>
      <c r="C433">
        <v>100029855</v>
      </c>
      <c r="D433" t="s">
        <v>2624</v>
      </c>
      <c r="E433" t="s">
        <v>2439</v>
      </c>
      <c r="F433" t="s">
        <v>2782</v>
      </c>
      <c r="G433" t="s">
        <v>2783</v>
      </c>
      <c r="H433" s="23">
        <v>0.70833333333333337</v>
      </c>
      <c r="I433" t="s">
        <v>2696</v>
      </c>
      <c r="J433" t="s">
        <v>2616</v>
      </c>
      <c r="K433" t="s">
        <v>2623</v>
      </c>
      <c r="L433" t="s">
        <v>2614</v>
      </c>
      <c r="M433" t="s">
        <v>2617</v>
      </c>
      <c r="N433" s="6">
        <v>45994</v>
      </c>
      <c r="O433" t="s">
        <v>2458</v>
      </c>
      <c r="P433" t="s">
        <v>2445</v>
      </c>
      <c r="Q433" s="23">
        <v>0.55839120370370365</v>
      </c>
      <c r="R433" s="23">
        <v>0.88871527777777781</v>
      </c>
      <c r="S433">
        <v>17.87</v>
      </c>
      <c r="T433" t="s">
        <v>2443</v>
      </c>
      <c r="U433" t="s">
        <v>2618</v>
      </c>
      <c r="V433">
        <v>7.43</v>
      </c>
      <c r="W433">
        <v>7.43</v>
      </c>
      <c r="X433" t="s">
        <v>2689</v>
      </c>
      <c r="Y433" t="s">
        <v>2689</v>
      </c>
      <c r="Z433" t="s">
        <v>2689</v>
      </c>
      <c r="AA433" t="s">
        <v>2689</v>
      </c>
      <c r="AC433" t="s">
        <v>2689</v>
      </c>
      <c r="AD433" t="s">
        <v>2689</v>
      </c>
      <c r="AE433" t="s">
        <v>2689</v>
      </c>
      <c r="AF433" t="s">
        <v>2689</v>
      </c>
      <c r="AH433">
        <v>132.77000000000001</v>
      </c>
      <c r="AI433" t="s">
        <v>2690</v>
      </c>
      <c r="AJ433" t="s">
        <v>2690</v>
      </c>
      <c r="AK433" t="s">
        <v>2690</v>
      </c>
      <c r="AL433" t="s">
        <v>2690</v>
      </c>
      <c r="AP433">
        <v>132.77000000000001</v>
      </c>
      <c r="AR433" s="23">
        <v>0.55839120370370365</v>
      </c>
      <c r="AS433" s="23">
        <v>0.88871527777777781</v>
      </c>
      <c r="AT433" s="23">
        <v>0.5625</v>
      </c>
      <c r="AU433" s="23">
        <v>0.875</v>
      </c>
      <c r="AV433" t="s">
        <v>2619</v>
      </c>
      <c r="AY433">
        <v>0.5</v>
      </c>
      <c r="AZ433" t="s">
        <v>3189</v>
      </c>
      <c r="BA433" t="s">
        <v>2754</v>
      </c>
      <c r="BD433" t="s">
        <v>2620</v>
      </c>
      <c r="BE433" t="s">
        <v>2621</v>
      </c>
      <c r="BG433">
        <v>0</v>
      </c>
      <c r="BH433">
        <v>0</v>
      </c>
      <c r="BJ433">
        <v>0</v>
      </c>
    </row>
    <row r="434" spans="1:62" x14ac:dyDescent="0.2">
      <c r="A434" t="s">
        <v>2614</v>
      </c>
      <c r="B434" t="s">
        <v>2614</v>
      </c>
      <c r="C434">
        <v>100029855</v>
      </c>
      <c r="D434" t="s">
        <v>2624</v>
      </c>
      <c r="E434" t="s">
        <v>2439</v>
      </c>
      <c r="F434" t="s">
        <v>2804</v>
      </c>
      <c r="G434" t="s">
        <v>2805</v>
      </c>
      <c r="H434" s="23">
        <v>0.70833333333333337</v>
      </c>
      <c r="I434" t="s">
        <v>2696</v>
      </c>
      <c r="J434" t="s">
        <v>2616</v>
      </c>
      <c r="K434" t="s">
        <v>2623</v>
      </c>
      <c r="L434" t="s">
        <v>2614</v>
      </c>
      <c r="M434" t="s">
        <v>2617</v>
      </c>
      <c r="N434" s="6">
        <v>45995</v>
      </c>
      <c r="O434" t="s">
        <v>2459</v>
      </c>
      <c r="P434" t="s">
        <v>2445</v>
      </c>
      <c r="Q434" s="23">
        <v>0.55828703703703708</v>
      </c>
      <c r="R434" s="23">
        <v>0.83962962962962961</v>
      </c>
      <c r="S434">
        <v>17.87</v>
      </c>
      <c r="T434" t="s">
        <v>2443</v>
      </c>
      <c r="U434" t="s">
        <v>2618</v>
      </c>
      <c r="V434">
        <v>6.25</v>
      </c>
      <c r="W434">
        <v>6.25</v>
      </c>
      <c r="X434" t="s">
        <v>2689</v>
      </c>
      <c r="Y434" t="s">
        <v>2689</v>
      </c>
      <c r="Z434" t="s">
        <v>2689</v>
      </c>
      <c r="AA434" t="s">
        <v>2689</v>
      </c>
      <c r="AC434" t="s">
        <v>2689</v>
      </c>
      <c r="AD434" t="s">
        <v>2689</v>
      </c>
      <c r="AE434" t="s">
        <v>2689</v>
      </c>
      <c r="AF434" t="s">
        <v>2689</v>
      </c>
      <c r="AH434">
        <v>111.69</v>
      </c>
      <c r="AI434" t="s">
        <v>2690</v>
      </c>
      <c r="AJ434" t="s">
        <v>2690</v>
      </c>
      <c r="AK434" t="s">
        <v>2690</v>
      </c>
      <c r="AL434" t="s">
        <v>2690</v>
      </c>
      <c r="AP434">
        <v>111.69</v>
      </c>
      <c r="AR434" s="23">
        <v>0.55828703703703708</v>
      </c>
      <c r="AS434" s="23">
        <v>0.83962962962962961</v>
      </c>
      <c r="AT434" s="23">
        <v>0.5625</v>
      </c>
      <c r="AU434" s="23">
        <v>0.89583333333333337</v>
      </c>
      <c r="AV434" t="s">
        <v>2619</v>
      </c>
      <c r="AY434">
        <v>0.5</v>
      </c>
      <c r="AZ434" t="s">
        <v>3190</v>
      </c>
      <c r="BA434" t="s">
        <v>2754</v>
      </c>
      <c r="BD434" t="s">
        <v>2620</v>
      </c>
      <c r="BE434" t="s">
        <v>2621</v>
      </c>
      <c r="BG434">
        <v>0</v>
      </c>
      <c r="BH434">
        <v>0</v>
      </c>
      <c r="BJ434">
        <v>0</v>
      </c>
    </row>
    <row r="435" spans="1:62" x14ac:dyDescent="0.2">
      <c r="A435" t="s">
        <v>2614</v>
      </c>
      <c r="B435" t="s">
        <v>2614</v>
      </c>
      <c r="C435">
        <v>100041448</v>
      </c>
      <c r="D435" t="s">
        <v>2627</v>
      </c>
      <c r="E435" t="s">
        <v>2439</v>
      </c>
      <c r="F435" t="s">
        <v>2452</v>
      </c>
      <c r="G435" t="s">
        <v>2453</v>
      </c>
      <c r="H435" s="23">
        <v>0.33333333333333331</v>
      </c>
      <c r="I435" t="s">
        <v>2688</v>
      </c>
      <c r="J435" t="s">
        <v>2616</v>
      </c>
      <c r="K435" t="s">
        <v>2625</v>
      </c>
      <c r="L435" t="s">
        <v>2614</v>
      </c>
      <c r="M435" t="s">
        <v>2617</v>
      </c>
      <c r="N435" s="6">
        <v>45998</v>
      </c>
      <c r="O435" t="s">
        <v>2461</v>
      </c>
      <c r="P435" t="s">
        <v>2442</v>
      </c>
      <c r="Q435" s="23">
        <v>0.37123842592592593</v>
      </c>
      <c r="R435" s="23">
        <v>0.68906250000000002</v>
      </c>
      <c r="S435">
        <v>17.87</v>
      </c>
      <c r="T435" t="s">
        <v>2443</v>
      </c>
      <c r="U435" t="s">
        <v>2618</v>
      </c>
      <c r="V435">
        <v>7.13</v>
      </c>
      <c r="W435">
        <v>7.13</v>
      </c>
      <c r="X435" t="s">
        <v>2689</v>
      </c>
      <c r="Y435" t="s">
        <v>2689</v>
      </c>
      <c r="Z435" t="s">
        <v>2689</v>
      </c>
      <c r="AA435" t="s">
        <v>2689</v>
      </c>
      <c r="AC435" t="s">
        <v>2689</v>
      </c>
      <c r="AD435" t="s">
        <v>2689</v>
      </c>
      <c r="AE435" t="s">
        <v>2689</v>
      </c>
      <c r="AF435" t="s">
        <v>2689</v>
      </c>
      <c r="AH435">
        <v>127.41</v>
      </c>
      <c r="AI435" t="s">
        <v>2690</v>
      </c>
      <c r="AJ435" t="s">
        <v>2690</v>
      </c>
      <c r="AK435" t="s">
        <v>2690</v>
      </c>
      <c r="AL435" t="s">
        <v>2690</v>
      </c>
      <c r="AP435">
        <v>127.41</v>
      </c>
      <c r="AR435" s="23">
        <v>0.37123842592592593</v>
      </c>
      <c r="AS435" s="23">
        <v>0.68906250000000002</v>
      </c>
      <c r="AT435" s="23">
        <v>0.375</v>
      </c>
      <c r="AU435" s="23">
        <v>0.70833333333333337</v>
      </c>
      <c r="AV435" t="s">
        <v>2619</v>
      </c>
      <c r="AY435">
        <v>0.5</v>
      </c>
      <c r="AZ435" t="s">
        <v>3191</v>
      </c>
      <c r="BA435" t="s">
        <v>2754</v>
      </c>
      <c r="BD435" t="s">
        <v>2620</v>
      </c>
      <c r="BE435" t="s">
        <v>2621</v>
      </c>
      <c r="BG435">
        <v>0</v>
      </c>
      <c r="BH435">
        <v>0</v>
      </c>
      <c r="BJ435">
        <v>0</v>
      </c>
    </row>
    <row r="436" spans="1:62" x14ac:dyDescent="0.2">
      <c r="A436" t="s">
        <v>2614</v>
      </c>
      <c r="B436" t="s">
        <v>2614</v>
      </c>
      <c r="C436">
        <v>100041448</v>
      </c>
      <c r="D436" t="s">
        <v>2627</v>
      </c>
      <c r="E436" t="s">
        <v>2439</v>
      </c>
      <c r="F436" t="s">
        <v>2811</v>
      </c>
      <c r="G436" t="s">
        <v>2812</v>
      </c>
      <c r="H436" s="23">
        <v>0.6875</v>
      </c>
      <c r="I436" t="s">
        <v>2696</v>
      </c>
      <c r="J436" t="s">
        <v>2616</v>
      </c>
      <c r="K436" t="s">
        <v>2623</v>
      </c>
      <c r="L436" t="s">
        <v>2614</v>
      </c>
      <c r="M436" t="s">
        <v>2617</v>
      </c>
      <c r="N436" s="6">
        <v>46005</v>
      </c>
      <c r="O436" t="s">
        <v>2461</v>
      </c>
      <c r="P436" t="s">
        <v>2442</v>
      </c>
      <c r="Q436" s="23">
        <v>0.57737268518518514</v>
      </c>
      <c r="R436" s="23">
        <v>0.89601851851851855</v>
      </c>
      <c r="S436">
        <v>17.87</v>
      </c>
      <c r="T436" t="s">
        <v>2443</v>
      </c>
      <c r="U436" t="s">
        <v>2618</v>
      </c>
      <c r="V436">
        <v>7.15</v>
      </c>
      <c r="W436">
        <v>7.15</v>
      </c>
      <c r="X436" t="s">
        <v>2689</v>
      </c>
      <c r="Y436" t="s">
        <v>2689</v>
      </c>
      <c r="Z436" t="s">
        <v>2689</v>
      </c>
      <c r="AA436" t="s">
        <v>2689</v>
      </c>
      <c r="AC436" t="s">
        <v>2689</v>
      </c>
      <c r="AD436" t="s">
        <v>2689</v>
      </c>
      <c r="AE436" t="s">
        <v>2689</v>
      </c>
      <c r="AF436" t="s">
        <v>2689</v>
      </c>
      <c r="AH436">
        <v>127.77</v>
      </c>
      <c r="AI436" t="s">
        <v>2690</v>
      </c>
      <c r="AJ436" t="s">
        <v>2690</v>
      </c>
      <c r="AK436" t="s">
        <v>2690</v>
      </c>
      <c r="AL436" t="s">
        <v>2690</v>
      </c>
      <c r="AP436">
        <v>127.77</v>
      </c>
      <c r="AR436" s="23">
        <v>0.57737268518518514</v>
      </c>
      <c r="AS436" s="23">
        <v>0.89601851851851855</v>
      </c>
      <c r="AT436" s="23">
        <v>0.58333333333333337</v>
      </c>
      <c r="AU436" s="23">
        <v>0.91666666666666663</v>
      </c>
      <c r="AV436" t="s">
        <v>2619</v>
      </c>
      <c r="AY436">
        <v>0.5</v>
      </c>
      <c r="AZ436" t="s">
        <v>3192</v>
      </c>
      <c r="BA436" t="s">
        <v>2798</v>
      </c>
      <c r="BD436" t="s">
        <v>2620</v>
      </c>
      <c r="BE436" t="s">
        <v>2621</v>
      </c>
      <c r="BG436">
        <v>0</v>
      </c>
      <c r="BH436">
        <v>0</v>
      </c>
      <c r="BJ436">
        <v>0</v>
      </c>
    </row>
    <row r="437" spans="1:62" x14ac:dyDescent="0.2">
      <c r="A437" t="s">
        <v>2614</v>
      </c>
      <c r="B437" t="s">
        <v>2614</v>
      </c>
      <c r="C437">
        <v>100052323</v>
      </c>
      <c r="D437" t="s">
        <v>2743</v>
      </c>
      <c r="E437" t="s">
        <v>2439</v>
      </c>
      <c r="F437" t="s">
        <v>2452</v>
      </c>
      <c r="G437" t="s">
        <v>2453</v>
      </c>
      <c r="H437" s="23">
        <v>0.33333333333333331</v>
      </c>
      <c r="I437" t="s">
        <v>2688</v>
      </c>
      <c r="J437" t="s">
        <v>2628</v>
      </c>
      <c r="K437" t="s">
        <v>2629</v>
      </c>
      <c r="L437" t="s">
        <v>2614</v>
      </c>
      <c r="M437" t="s">
        <v>2617</v>
      </c>
      <c r="N437" s="6">
        <v>45992</v>
      </c>
      <c r="O437" t="s">
        <v>2455</v>
      </c>
      <c r="P437" t="s">
        <v>2445</v>
      </c>
      <c r="Q437" s="23">
        <v>0.32685185185185184</v>
      </c>
      <c r="R437" s="23">
        <v>0.69130787037037034</v>
      </c>
      <c r="S437">
        <v>25</v>
      </c>
      <c r="T437" t="s">
        <v>2443</v>
      </c>
      <c r="U437" t="s">
        <v>2630</v>
      </c>
      <c r="V437">
        <v>8.25</v>
      </c>
      <c r="W437">
        <v>8</v>
      </c>
      <c r="X437">
        <v>0.25</v>
      </c>
      <c r="Y437" t="s">
        <v>2689</v>
      </c>
      <c r="Z437" t="s">
        <v>2689</v>
      </c>
      <c r="AA437" t="s">
        <v>2689</v>
      </c>
      <c r="AC437" t="s">
        <v>2689</v>
      </c>
      <c r="AD437" t="s">
        <v>2689</v>
      </c>
      <c r="AE437" t="s">
        <v>2689</v>
      </c>
      <c r="AF437" t="s">
        <v>2689</v>
      </c>
      <c r="AH437">
        <v>200</v>
      </c>
      <c r="AI437">
        <v>9.3800000000000008</v>
      </c>
      <c r="AJ437" t="s">
        <v>2690</v>
      </c>
      <c r="AK437" t="s">
        <v>2690</v>
      </c>
      <c r="AL437" t="s">
        <v>2690</v>
      </c>
      <c r="AP437">
        <v>209.38</v>
      </c>
      <c r="AR437" s="23">
        <v>0.32685185185185184</v>
      </c>
      <c r="AS437" s="23">
        <v>0.69130787037037034</v>
      </c>
      <c r="AT437" s="23">
        <v>0.33333333333333331</v>
      </c>
      <c r="AU437" s="23">
        <v>0.6875</v>
      </c>
      <c r="AV437" t="s">
        <v>2619</v>
      </c>
      <c r="AY437">
        <v>0.5</v>
      </c>
      <c r="AZ437" t="s">
        <v>3193</v>
      </c>
      <c r="BA437" t="s">
        <v>2692</v>
      </c>
      <c r="BD437" t="s">
        <v>2631</v>
      </c>
      <c r="BE437" t="s">
        <v>2628</v>
      </c>
      <c r="BG437">
        <v>0</v>
      </c>
      <c r="BH437">
        <v>0</v>
      </c>
      <c r="BJ437">
        <v>0</v>
      </c>
    </row>
    <row r="438" spans="1:62" x14ac:dyDescent="0.2">
      <c r="A438" t="s">
        <v>2614</v>
      </c>
      <c r="B438" t="s">
        <v>2614</v>
      </c>
      <c r="C438">
        <v>100052323</v>
      </c>
      <c r="D438" t="s">
        <v>2743</v>
      </c>
      <c r="E438" t="s">
        <v>2439</v>
      </c>
      <c r="F438" t="s">
        <v>2800</v>
      </c>
      <c r="G438" t="s">
        <v>2801</v>
      </c>
      <c r="H438" s="23">
        <v>0.66666666666666663</v>
      </c>
      <c r="I438" t="s">
        <v>2696</v>
      </c>
      <c r="J438" t="s">
        <v>2628</v>
      </c>
      <c r="K438" t="s">
        <v>2629</v>
      </c>
      <c r="L438" t="s">
        <v>2614</v>
      </c>
      <c r="M438" t="s">
        <v>2617</v>
      </c>
      <c r="N438" s="6">
        <v>45993</v>
      </c>
      <c r="O438" t="s">
        <v>2457</v>
      </c>
      <c r="P438" t="s">
        <v>2445</v>
      </c>
      <c r="Q438" s="23">
        <v>0.37571759259259258</v>
      </c>
      <c r="R438" s="23">
        <v>0.66886574074074079</v>
      </c>
      <c r="S438">
        <v>25</v>
      </c>
      <c r="T438" t="s">
        <v>2443</v>
      </c>
      <c r="U438" t="s">
        <v>2630</v>
      </c>
      <c r="V438">
        <v>6.54</v>
      </c>
      <c r="W438">
        <v>6.54</v>
      </c>
      <c r="X438" t="s">
        <v>2689</v>
      </c>
      <c r="Y438" t="s">
        <v>2689</v>
      </c>
      <c r="Z438" t="s">
        <v>2689</v>
      </c>
      <c r="AA438" t="s">
        <v>2689</v>
      </c>
      <c r="AC438" t="s">
        <v>2689</v>
      </c>
      <c r="AD438" t="s">
        <v>2689</v>
      </c>
      <c r="AE438" t="s">
        <v>2689</v>
      </c>
      <c r="AF438" t="s">
        <v>2689</v>
      </c>
      <c r="AH438">
        <v>163.5</v>
      </c>
      <c r="AI438" t="s">
        <v>2690</v>
      </c>
      <c r="AJ438" t="s">
        <v>2690</v>
      </c>
      <c r="AK438" t="s">
        <v>2690</v>
      </c>
      <c r="AL438" t="s">
        <v>2690</v>
      </c>
      <c r="AP438">
        <v>163.5</v>
      </c>
      <c r="AR438" s="23">
        <v>0.37571759259259258</v>
      </c>
      <c r="AS438" s="23">
        <v>0.66886574074074079</v>
      </c>
      <c r="AT438" s="23">
        <v>0.375</v>
      </c>
      <c r="AU438" s="23">
        <v>0.70833333333333337</v>
      </c>
      <c r="AV438" t="s">
        <v>2619</v>
      </c>
      <c r="AY438">
        <v>0.5</v>
      </c>
      <c r="AZ438" t="s">
        <v>3194</v>
      </c>
      <c r="BA438" t="s">
        <v>2752</v>
      </c>
      <c r="BD438" t="s">
        <v>2631</v>
      </c>
      <c r="BE438" t="s">
        <v>2628</v>
      </c>
      <c r="BG438">
        <v>0</v>
      </c>
      <c r="BH438">
        <v>0</v>
      </c>
      <c r="BJ438">
        <v>0</v>
      </c>
    </row>
    <row r="439" spans="1:62" x14ac:dyDescent="0.2">
      <c r="A439" t="s">
        <v>2614</v>
      </c>
      <c r="B439" t="s">
        <v>2614</v>
      </c>
      <c r="C439">
        <v>100052323</v>
      </c>
      <c r="D439" t="s">
        <v>2743</v>
      </c>
      <c r="E439" t="s">
        <v>2439</v>
      </c>
      <c r="F439" t="s">
        <v>2782</v>
      </c>
      <c r="G439" t="s">
        <v>2783</v>
      </c>
      <c r="H439" s="23">
        <v>0.70833333333333337</v>
      </c>
      <c r="I439" t="s">
        <v>2696</v>
      </c>
      <c r="J439" t="s">
        <v>2628</v>
      </c>
      <c r="K439" t="s">
        <v>2629</v>
      </c>
      <c r="L439" t="s">
        <v>2614</v>
      </c>
      <c r="M439" t="s">
        <v>2617</v>
      </c>
      <c r="N439" s="6">
        <v>45994</v>
      </c>
      <c r="O439" t="s">
        <v>2458</v>
      </c>
      <c r="P439" t="s">
        <v>2445</v>
      </c>
      <c r="Q439" s="23">
        <v>0.5593055555555555</v>
      </c>
      <c r="R439" s="23">
        <v>0.89366898148148144</v>
      </c>
      <c r="S439">
        <v>25</v>
      </c>
      <c r="T439" t="s">
        <v>2443</v>
      </c>
      <c r="U439" t="s">
        <v>2630</v>
      </c>
      <c r="V439">
        <v>7.52</v>
      </c>
      <c r="W439">
        <v>7.52</v>
      </c>
      <c r="X439" t="s">
        <v>2689</v>
      </c>
      <c r="Y439" t="s">
        <v>2689</v>
      </c>
      <c r="Z439" t="s">
        <v>2689</v>
      </c>
      <c r="AA439" t="s">
        <v>2689</v>
      </c>
      <c r="AC439" t="s">
        <v>2689</v>
      </c>
      <c r="AD439" t="s">
        <v>2689</v>
      </c>
      <c r="AE439" t="s">
        <v>2689</v>
      </c>
      <c r="AF439" t="s">
        <v>2689</v>
      </c>
      <c r="AH439">
        <v>188</v>
      </c>
      <c r="AI439" t="s">
        <v>2690</v>
      </c>
      <c r="AJ439" t="s">
        <v>2690</v>
      </c>
      <c r="AK439" t="s">
        <v>2690</v>
      </c>
      <c r="AL439" t="s">
        <v>2690</v>
      </c>
      <c r="AP439">
        <v>188</v>
      </c>
      <c r="AR439" s="23">
        <v>0.5593055555555555</v>
      </c>
      <c r="AS439" s="23">
        <v>0.89366898148148144</v>
      </c>
      <c r="AT439" s="23">
        <v>0.5625</v>
      </c>
      <c r="AU439" s="23">
        <v>0.875</v>
      </c>
      <c r="AV439" t="s">
        <v>2619</v>
      </c>
      <c r="AY439">
        <v>0.5</v>
      </c>
      <c r="AZ439" t="s">
        <v>3195</v>
      </c>
      <c r="BA439" t="s">
        <v>2754</v>
      </c>
      <c r="BD439" t="s">
        <v>2631</v>
      </c>
      <c r="BE439" t="s">
        <v>2628</v>
      </c>
      <c r="BG439">
        <v>0</v>
      </c>
      <c r="BH439">
        <v>0</v>
      </c>
      <c r="BJ439">
        <v>0</v>
      </c>
    </row>
    <row r="440" spans="1:62" x14ac:dyDescent="0.2">
      <c r="A440" t="s">
        <v>2614</v>
      </c>
      <c r="B440" t="s">
        <v>2614</v>
      </c>
      <c r="C440">
        <v>100052323</v>
      </c>
      <c r="D440" t="s">
        <v>2743</v>
      </c>
      <c r="E440" t="s">
        <v>2439</v>
      </c>
      <c r="F440" t="s">
        <v>2452</v>
      </c>
      <c r="G440" t="s">
        <v>2453</v>
      </c>
      <c r="H440" s="23">
        <v>0.33333333333333331</v>
      </c>
      <c r="I440" t="s">
        <v>2688</v>
      </c>
      <c r="J440" t="s">
        <v>2628</v>
      </c>
      <c r="K440" t="s">
        <v>2681</v>
      </c>
      <c r="L440" t="s">
        <v>2614</v>
      </c>
      <c r="M440" t="s">
        <v>2617</v>
      </c>
      <c r="N440" s="6">
        <v>45996</v>
      </c>
      <c r="O440" t="s">
        <v>2449</v>
      </c>
      <c r="P440" t="s">
        <v>2445</v>
      </c>
      <c r="Q440" s="23">
        <v>0.35199074074074072</v>
      </c>
      <c r="R440" s="23">
        <v>0.56283564814814813</v>
      </c>
      <c r="S440">
        <v>25</v>
      </c>
      <c r="T440" t="s">
        <v>2443</v>
      </c>
      <c r="U440" t="s">
        <v>2630</v>
      </c>
      <c r="V440">
        <v>5.0599999999999996</v>
      </c>
      <c r="W440">
        <v>5.0599999999999996</v>
      </c>
      <c r="X440" t="s">
        <v>2689</v>
      </c>
      <c r="Y440" t="s">
        <v>2689</v>
      </c>
      <c r="Z440" t="s">
        <v>2689</v>
      </c>
      <c r="AA440" t="s">
        <v>2689</v>
      </c>
      <c r="AC440" t="s">
        <v>2689</v>
      </c>
      <c r="AD440" t="s">
        <v>2689</v>
      </c>
      <c r="AE440" t="s">
        <v>2689</v>
      </c>
      <c r="AF440" t="s">
        <v>2689</v>
      </c>
      <c r="AH440">
        <v>126.5</v>
      </c>
      <c r="AI440" t="s">
        <v>2690</v>
      </c>
      <c r="AJ440" t="s">
        <v>2690</v>
      </c>
      <c r="AK440" t="s">
        <v>2690</v>
      </c>
      <c r="AL440" t="s">
        <v>2690</v>
      </c>
      <c r="AP440">
        <v>126.5</v>
      </c>
      <c r="AR440" s="23">
        <v>0.35199074074074072</v>
      </c>
      <c r="AS440" s="23">
        <v>0.56283564814814813</v>
      </c>
      <c r="AT440" s="23">
        <v>0.35416666666666669</v>
      </c>
      <c r="AU440" s="23">
        <v>0.6875</v>
      </c>
      <c r="AV440" t="s">
        <v>2619</v>
      </c>
      <c r="BA440" t="s">
        <v>2754</v>
      </c>
      <c r="BD440" t="s">
        <v>2631</v>
      </c>
      <c r="BE440" t="s">
        <v>2628</v>
      </c>
      <c r="BG440">
        <v>0</v>
      </c>
      <c r="BH440">
        <v>0</v>
      </c>
      <c r="BJ440">
        <v>0</v>
      </c>
    </row>
    <row r="441" spans="1:62" x14ac:dyDescent="0.2">
      <c r="A441" t="s">
        <v>2614</v>
      </c>
      <c r="B441" t="s">
        <v>2614</v>
      </c>
      <c r="C441">
        <v>100052323</v>
      </c>
      <c r="D441" t="s">
        <v>2743</v>
      </c>
      <c r="E441" t="s">
        <v>2439</v>
      </c>
      <c r="F441" t="s">
        <v>2452</v>
      </c>
      <c r="G441" t="s">
        <v>2453</v>
      </c>
      <c r="H441" s="23">
        <v>0.33333333333333331</v>
      </c>
      <c r="I441" t="s">
        <v>2688</v>
      </c>
      <c r="J441" t="s">
        <v>2628</v>
      </c>
      <c r="K441" t="s">
        <v>2629</v>
      </c>
      <c r="L441" t="s">
        <v>2614</v>
      </c>
      <c r="M441" t="s">
        <v>2617</v>
      </c>
      <c r="N441" s="6">
        <v>45998</v>
      </c>
      <c r="O441" t="s">
        <v>2461</v>
      </c>
      <c r="P441" t="s">
        <v>2442</v>
      </c>
      <c r="Q441" s="23">
        <v>0.36927083333333333</v>
      </c>
      <c r="R441" s="23">
        <v>0.69162037037037039</v>
      </c>
      <c r="S441">
        <v>25</v>
      </c>
      <c r="T441" t="s">
        <v>2443</v>
      </c>
      <c r="U441" t="s">
        <v>2630</v>
      </c>
      <c r="V441">
        <v>7.24</v>
      </c>
      <c r="W441">
        <v>7.24</v>
      </c>
      <c r="X441" t="s">
        <v>2689</v>
      </c>
      <c r="Y441" t="s">
        <v>2689</v>
      </c>
      <c r="Z441" t="s">
        <v>2689</v>
      </c>
      <c r="AA441" t="s">
        <v>2689</v>
      </c>
      <c r="AC441" t="s">
        <v>2689</v>
      </c>
      <c r="AD441" t="s">
        <v>2689</v>
      </c>
      <c r="AE441" t="s">
        <v>2689</v>
      </c>
      <c r="AF441" t="s">
        <v>2689</v>
      </c>
      <c r="AH441">
        <v>181</v>
      </c>
      <c r="AI441" t="s">
        <v>2690</v>
      </c>
      <c r="AJ441" t="s">
        <v>2690</v>
      </c>
      <c r="AK441" t="s">
        <v>2690</v>
      </c>
      <c r="AL441" t="s">
        <v>2690</v>
      </c>
      <c r="AP441">
        <v>181</v>
      </c>
      <c r="AR441" s="23">
        <v>0.36927083333333333</v>
      </c>
      <c r="AS441" s="23">
        <v>0.69162037037037039</v>
      </c>
      <c r="AT441" s="23">
        <v>0.375</v>
      </c>
      <c r="AU441" s="23">
        <v>0.70833333333333337</v>
      </c>
      <c r="AV441" t="s">
        <v>2619</v>
      </c>
      <c r="AY441">
        <v>0.5</v>
      </c>
      <c r="AZ441" t="s">
        <v>3196</v>
      </c>
      <c r="BA441" t="s">
        <v>2754</v>
      </c>
      <c r="BD441" t="s">
        <v>2631</v>
      </c>
      <c r="BE441" t="s">
        <v>2628</v>
      </c>
      <c r="BG441">
        <v>0</v>
      </c>
      <c r="BH441">
        <v>0</v>
      </c>
      <c r="BJ441">
        <v>0</v>
      </c>
    </row>
    <row r="442" spans="1:62" x14ac:dyDescent="0.2">
      <c r="A442" t="s">
        <v>2614</v>
      </c>
      <c r="B442" t="s">
        <v>2614</v>
      </c>
      <c r="C442">
        <v>100052323</v>
      </c>
      <c r="D442" t="s">
        <v>2743</v>
      </c>
      <c r="E442" t="s">
        <v>2439</v>
      </c>
      <c r="F442" t="s">
        <v>2786</v>
      </c>
      <c r="G442" t="s">
        <v>2787</v>
      </c>
      <c r="H442" s="23">
        <v>0.66666666666666663</v>
      </c>
      <c r="I442" t="s">
        <v>2696</v>
      </c>
      <c r="J442" t="s">
        <v>2628</v>
      </c>
      <c r="K442" t="s">
        <v>2681</v>
      </c>
      <c r="L442" t="s">
        <v>2614</v>
      </c>
      <c r="M442" t="s">
        <v>2617</v>
      </c>
      <c r="N442" s="6">
        <v>45999</v>
      </c>
      <c r="O442" t="s">
        <v>2455</v>
      </c>
      <c r="P442" t="s">
        <v>2445</v>
      </c>
      <c r="Q442" s="23">
        <v>0.41385416666666669</v>
      </c>
      <c r="R442" s="23">
        <v>0.75459490740740742</v>
      </c>
      <c r="S442">
        <v>25</v>
      </c>
      <c r="T442" t="s">
        <v>2443</v>
      </c>
      <c r="U442" t="s">
        <v>2630</v>
      </c>
      <c r="V442">
        <v>7.68</v>
      </c>
      <c r="W442">
        <v>7.68</v>
      </c>
      <c r="X442" t="s">
        <v>2689</v>
      </c>
      <c r="Y442" t="s">
        <v>2689</v>
      </c>
      <c r="Z442" t="s">
        <v>2689</v>
      </c>
      <c r="AA442" t="s">
        <v>2689</v>
      </c>
      <c r="AC442" t="s">
        <v>2689</v>
      </c>
      <c r="AD442" t="s">
        <v>2689</v>
      </c>
      <c r="AE442" t="s">
        <v>2689</v>
      </c>
      <c r="AF442" t="s">
        <v>2689</v>
      </c>
      <c r="AH442">
        <v>192</v>
      </c>
      <c r="AI442" t="s">
        <v>2690</v>
      </c>
      <c r="AJ442" t="s">
        <v>2690</v>
      </c>
      <c r="AK442" t="s">
        <v>2690</v>
      </c>
      <c r="AL442" t="s">
        <v>2690</v>
      </c>
      <c r="AP442">
        <v>192</v>
      </c>
      <c r="AR442" s="23">
        <v>0.41385416666666669</v>
      </c>
      <c r="AS442" s="23">
        <v>0.75459490740740742</v>
      </c>
      <c r="AT442" s="23">
        <v>0.41666666666666669</v>
      </c>
      <c r="AU442" s="23">
        <v>0.75</v>
      </c>
      <c r="AV442" t="s">
        <v>2619</v>
      </c>
      <c r="AY442">
        <v>0.5</v>
      </c>
      <c r="AZ442" t="s">
        <v>3197</v>
      </c>
      <c r="BA442" t="s">
        <v>2757</v>
      </c>
      <c r="BD442" t="s">
        <v>2631</v>
      </c>
      <c r="BE442" t="s">
        <v>2628</v>
      </c>
      <c r="BG442">
        <v>0</v>
      </c>
      <c r="BH442">
        <v>0</v>
      </c>
      <c r="BJ442">
        <v>0</v>
      </c>
    </row>
    <row r="443" spans="1:62" x14ac:dyDescent="0.2">
      <c r="A443" t="s">
        <v>2614</v>
      </c>
      <c r="B443" t="s">
        <v>2614</v>
      </c>
      <c r="C443">
        <v>100052323</v>
      </c>
      <c r="D443" t="s">
        <v>2743</v>
      </c>
      <c r="E443" t="s">
        <v>2439</v>
      </c>
      <c r="F443" t="s">
        <v>2452</v>
      </c>
      <c r="G443" t="s">
        <v>2453</v>
      </c>
      <c r="H443" s="23">
        <v>0.33333333333333331</v>
      </c>
      <c r="I443" t="s">
        <v>2688</v>
      </c>
      <c r="J443" t="s">
        <v>2628</v>
      </c>
      <c r="K443" t="s">
        <v>2629</v>
      </c>
      <c r="L443" t="s">
        <v>2614</v>
      </c>
      <c r="M443" t="s">
        <v>2617</v>
      </c>
      <c r="N443" s="6">
        <v>46009</v>
      </c>
      <c r="O443" t="s">
        <v>2459</v>
      </c>
      <c r="P443" t="s">
        <v>2445</v>
      </c>
      <c r="Q443" s="23">
        <v>0.33385416666666667</v>
      </c>
      <c r="R443" s="23">
        <v>0.5455902777777778</v>
      </c>
      <c r="S443">
        <v>25</v>
      </c>
      <c r="T443" t="s">
        <v>2443</v>
      </c>
      <c r="U443" t="s">
        <v>2630</v>
      </c>
      <c r="V443">
        <v>5.08</v>
      </c>
      <c r="W443">
        <v>5.08</v>
      </c>
      <c r="X443" t="s">
        <v>2689</v>
      </c>
      <c r="Y443" t="s">
        <v>2689</v>
      </c>
      <c r="Z443" t="s">
        <v>2689</v>
      </c>
      <c r="AA443" t="s">
        <v>2689</v>
      </c>
      <c r="AC443" t="s">
        <v>2689</v>
      </c>
      <c r="AD443" t="s">
        <v>2689</v>
      </c>
      <c r="AE443" t="s">
        <v>2689</v>
      </c>
      <c r="AF443" t="s">
        <v>2689</v>
      </c>
      <c r="AH443">
        <v>127</v>
      </c>
      <c r="AI443" t="s">
        <v>2690</v>
      </c>
      <c r="AJ443" t="s">
        <v>2690</v>
      </c>
      <c r="AK443" t="s">
        <v>2690</v>
      </c>
      <c r="AL443" t="s">
        <v>2690</v>
      </c>
      <c r="AP443">
        <v>127</v>
      </c>
      <c r="AR443" s="23">
        <v>0.33385416666666667</v>
      </c>
      <c r="AS443" s="23">
        <v>0.5455902777777778</v>
      </c>
      <c r="AT443" s="23">
        <v>0.33333333333333331</v>
      </c>
      <c r="AU443" s="23">
        <v>0.60416666666666663</v>
      </c>
      <c r="AV443" t="s">
        <v>2619</v>
      </c>
      <c r="BA443" t="s">
        <v>2765</v>
      </c>
      <c r="BD443" t="s">
        <v>2631</v>
      </c>
      <c r="BE443" t="s">
        <v>2628</v>
      </c>
      <c r="BG443">
        <v>0</v>
      </c>
      <c r="BH443">
        <v>0</v>
      </c>
      <c r="BJ443">
        <v>0</v>
      </c>
    </row>
    <row r="444" spans="1:62" x14ac:dyDescent="0.2">
      <c r="A444" t="s">
        <v>2614</v>
      </c>
      <c r="B444" t="s">
        <v>2614</v>
      </c>
      <c r="C444">
        <v>100077504</v>
      </c>
      <c r="D444" t="s">
        <v>2744</v>
      </c>
      <c r="E444" t="s">
        <v>2439</v>
      </c>
      <c r="F444" t="s">
        <v>2452</v>
      </c>
      <c r="G444" t="s">
        <v>2453</v>
      </c>
      <c r="H444" s="23">
        <v>0.33333333333333331</v>
      </c>
      <c r="I444" t="s">
        <v>2688</v>
      </c>
      <c r="J444" t="s">
        <v>2616</v>
      </c>
      <c r="K444" t="s">
        <v>2622</v>
      </c>
      <c r="L444" t="s">
        <v>2614</v>
      </c>
      <c r="M444" t="s">
        <v>2617</v>
      </c>
      <c r="N444" s="6">
        <v>45992</v>
      </c>
      <c r="O444" t="s">
        <v>2455</v>
      </c>
      <c r="P444" t="s">
        <v>2445</v>
      </c>
      <c r="Q444" s="23">
        <v>0.33217592592592593</v>
      </c>
      <c r="R444" s="23">
        <v>0.6843055555555555</v>
      </c>
      <c r="S444">
        <v>17.87</v>
      </c>
      <c r="T444" t="s">
        <v>2443</v>
      </c>
      <c r="U444" t="s">
        <v>2618</v>
      </c>
      <c r="V444">
        <v>7.95</v>
      </c>
      <c r="W444">
        <v>7.95</v>
      </c>
      <c r="X444" t="s">
        <v>2689</v>
      </c>
      <c r="Y444" t="s">
        <v>2689</v>
      </c>
      <c r="Z444" t="s">
        <v>2689</v>
      </c>
      <c r="AA444" t="s">
        <v>2689</v>
      </c>
      <c r="AC444" t="s">
        <v>2689</v>
      </c>
      <c r="AD444" t="s">
        <v>2689</v>
      </c>
      <c r="AE444" t="s">
        <v>2689</v>
      </c>
      <c r="AF444" t="s">
        <v>2689</v>
      </c>
      <c r="AH444">
        <v>142.07</v>
      </c>
      <c r="AI444" t="s">
        <v>2690</v>
      </c>
      <c r="AJ444" t="s">
        <v>2690</v>
      </c>
      <c r="AK444" t="s">
        <v>2690</v>
      </c>
      <c r="AL444" t="s">
        <v>2690</v>
      </c>
      <c r="AP444">
        <v>142.07</v>
      </c>
      <c r="AR444" s="23">
        <v>0.33217592592592593</v>
      </c>
      <c r="AS444" s="23">
        <v>0.6843055555555555</v>
      </c>
      <c r="AT444" s="23">
        <v>0.33333333333333331</v>
      </c>
      <c r="AU444" s="23">
        <v>0.6875</v>
      </c>
      <c r="AV444" t="s">
        <v>2619</v>
      </c>
      <c r="AY444">
        <v>0.5</v>
      </c>
      <c r="AZ444" t="s">
        <v>3198</v>
      </c>
      <c r="BA444" t="s">
        <v>2692</v>
      </c>
      <c r="BD444" t="s">
        <v>2620</v>
      </c>
      <c r="BE444" t="s">
        <v>2621</v>
      </c>
      <c r="BG444">
        <v>0</v>
      </c>
      <c r="BH444">
        <v>0</v>
      </c>
      <c r="BJ444">
        <v>0</v>
      </c>
    </row>
    <row r="445" spans="1:62" x14ac:dyDescent="0.2">
      <c r="A445" t="s">
        <v>2614</v>
      </c>
      <c r="B445" t="s">
        <v>2614</v>
      </c>
      <c r="C445">
        <v>100077504</v>
      </c>
      <c r="D445" t="s">
        <v>2744</v>
      </c>
      <c r="E445" t="s">
        <v>2439</v>
      </c>
      <c r="F445" t="s">
        <v>2800</v>
      </c>
      <c r="G445" t="s">
        <v>2801</v>
      </c>
      <c r="H445" s="23">
        <v>0.66666666666666663</v>
      </c>
      <c r="I445" t="s">
        <v>2696</v>
      </c>
      <c r="J445" t="s">
        <v>2616</v>
      </c>
      <c r="K445" t="s">
        <v>2622</v>
      </c>
      <c r="L445" t="s">
        <v>2614</v>
      </c>
      <c r="M445" t="s">
        <v>2617</v>
      </c>
      <c r="N445" s="6">
        <v>45993</v>
      </c>
      <c r="O445" t="s">
        <v>2457</v>
      </c>
      <c r="P445" t="s">
        <v>2445</v>
      </c>
      <c r="Q445" s="23">
        <v>0.37363425925925925</v>
      </c>
      <c r="R445" s="23">
        <v>0.66619212962962959</v>
      </c>
      <c r="S445">
        <v>17.87</v>
      </c>
      <c r="T445" t="s">
        <v>2443</v>
      </c>
      <c r="U445" t="s">
        <v>2618</v>
      </c>
      <c r="V445">
        <v>6.52</v>
      </c>
      <c r="W445">
        <v>6.52</v>
      </c>
      <c r="X445" t="s">
        <v>2689</v>
      </c>
      <c r="Y445" t="s">
        <v>2689</v>
      </c>
      <c r="Z445" t="s">
        <v>2689</v>
      </c>
      <c r="AA445" t="s">
        <v>2689</v>
      </c>
      <c r="AC445" t="s">
        <v>2689</v>
      </c>
      <c r="AD445" t="s">
        <v>2689</v>
      </c>
      <c r="AE445" t="s">
        <v>2689</v>
      </c>
      <c r="AF445" t="s">
        <v>2689</v>
      </c>
      <c r="AH445">
        <v>116.51</v>
      </c>
      <c r="AI445" t="s">
        <v>2690</v>
      </c>
      <c r="AJ445" t="s">
        <v>2690</v>
      </c>
      <c r="AK445" t="s">
        <v>2690</v>
      </c>
      <c r="AL445" t="s">
        <v>2690</v>
      </c>
      <c r="AP445">
        <v>116.51</v>
      </c>
      <c r="AR445" s="23">
        <v>0.37363425925925925</v>
      </c>
      <c r="AS445" s="23">
        <v>0.66619212962962959</v>
      </c>
      <c r="AT445" s="23">
        <v>0.375</v>
      </c>
      <c r="AU445" s="23">
        <v>0.70833333333333337</v>
      </c>
      <c r="AV445" t="s">
        <v>2619</v>
      </c>
      <c r="AY445">
        <v>0.5</v>
      </c>
      <c r="AZ445" t="s">
        <v>3199</v>
      </c>
      <c r="BA445" t="s">
        <v>2752</v>
      </c>
      <c r="BD445" t="s">
        <v>2620</v>
      </c>
      <c r="BE445" t="s">
        <v>2621</v>
      </c>
      <c r="BG445">
        <v>0</v>
      </c>
      <c r="BH445">
        <v>0</v>
      </c>
      <c r="BJ445">
        <v>0</v>
      </c>
    </row>
    <row r="446" spans="1:62" x14ac:dyDescent="0.2">
      <c r="A446" t="s">
        <v>2614</v>
      </c>
      <c r="B446" t="s">
        <v>2614</v>
      </c>
      <c r="C446">
        <v>100077504</v>
      </c>
      <c r="D446" t="s">
        <v>2744</v>
      </c>
      <c r="E446" t="s">
        <v>2439</v>
      </c>
      <c r="F446" t="s">
        <v>2782</v>
      </c>
      <c r="G446" t="s">
        <v>2783</v>
      </c>
      <c r="H446" s="23">
        <v>0.70833333333333337</v>
      </c>
      <c r="I446" t="s">
        <v>2696</v>
      </c>
      <c r="J446" t="s">
        <v>2616</v>
      </c>
      <c r="K446" t="s">
        <v>2622</v>
      </c>
      <c r="L446" t="s">
        <v>2614</v>
      </c>
      <c r="M446" t="s">
        <v>2617</v>
      </c>
      <c r="N446" s="6">
        <v>45994</v>
      </c>
      <c r="O446" t="s">
        <v>2458</v>
      </c>
      <c r="P446" t="s">
        <v>2445</v>
      </c>
      <c r="Q446" s="23">
        <v>0.56061342592592589</v>
      </c>
      <c r="R446" s="23">
        <v>0.8909259259259259</v>
      </c>
      <c r="S446">
        <v>17.87</v>
      </c>
      <c r="T446" t="s">
        <v>2443</v>
      </c>
      <c r="U446" t="s">
        <v>2618</v>
      </c>
      <c r="V446">
        <v>7.43</v>
      </c>
      <c r="W446">
        <v>7.43</v>
      </c>
      <c r="X446" t="s">
        <v>2689</v>
      </c>
      <c r="Y446" t="s">
        <v>2689</v>
      </c>
      <c r="Z446" t="s">
        <v>2689</v>
      </c>
      <c r="AA446" t="s">
        <v>2689</v>
      </c>
      <c r="AC446" t="s">
        <v>2689</v>
      </c>
      <c r="AD446" t="s">
        <v>2689</v>
      </c>
      <c r="AE446" t="s">
        <v>2689</v>
      </c>
      <c r="AF446" t="s">
        <v>2689</v>
      </c>
      <c r="AH446">
        <v>132.77000000000001</v>
      </c>
      <c r="AI446" t="s">
        <v>2690</v>
      </c>
      <c r="AJ446" t="s">
        <v>2690</v>
      </c>
      <c r="AK446" t="s">
        <v>2690</v>
      </c>
      <c r="AL446" t="s">
        <v>2690</v>
      </c>
      <c r="AP446">
        <v>132.77000000000001</v>
      </c>
      <c r="AR446" s="23">
        <v>0.56061342592592589</v>
      </c>
      <c r="AS446" s="23">
        <v>0.8909259259259259</v>
      </c>
      <c r="AT446" s="23">
        <v>0.5625</v>
      </c>
      <c r="AU446" s="23">
        <v>0.875</v>
      </c>
      <c r="AV446" t="s">
        <v>2619</v>
      </c>
      <c r="AY446">
        <v>0.5</v>
      </c>
      <c r="AZ446" t="s">
        <v>3200</v>
      </c>
      <c r="BA446" t="s">
        <v>2754</v>
      </c>
      <c r="BD446" t="s">
        <v>2620</v>
      </c>
      <c r="BE446" t="s">
        <v>2621</v>
      </c>
      <c r="BG446">
        <v>0</v>
      </c>
      <c r="BH446">
        <v>0</v>
      </c>
      <c r="BJ446">
        <v>0</v>
      </c>
    </row>
    <row r="447" spans="1:62" x14ac:dyDescent="0.2">
      <c r="A447" t="s">
        <v>2614</v>
      </c>
      <c r="B447" t="s">
        <v>2614</v>
      </c>
      <c r="C447">
        <v>100077504</v>
      </c>
      <c r="D447" t="s">
        <v>2744</v>
      </c>
      <c r="E447" t="s">
        <v>2439</v>
      </c>
      <c r="F447" t="s">
        <v>2804</v>
      </c>
      <c r="G447" t="s">
        <v>2805</v>
      </c>
      <c r="H447" s="23">
        <v>0.70833333333333337</v>
      </c>
      <c r="I447" t="s">
        <v>2696</v>
      </c>
      <c r="J447" t="s">
        <v>2616</v>
      </c>
      <c r="K447" t="s">
        <v>2625</v>
      </c>
      <c r="L447" t="s">
        <v>2614</v>
      </c>
      <c r="M447" t="s">
        <v>2617</v>
      </c>
      <c r="N447" s="6">
        <v>45995</v>
      </c>
      <c r="O447" t="s">
        <v>2459</v>
      </c>
      <c r="P447" t="s">
        <v>2445</v>
      </c>
      <c r="Q447" s="23">
        <v>0.56211805555555561</v>
      </c>
      <c r="R447" s="23">
        <v>0.83614583333333337</v>
      </c>
      <c r="S447">
        <v>17.87</v>
      </c>
      <c r="T447" t="s">
        <v>2443</v>
      </c>
      <c r="U447" t="s">
        <v>2618</v>
      </c>
      <c r="V447">
        <v>6.08</v>
      </c>
      <c r="W447">
        <v>6.08</v>
      </c>
      <c r="X447" t="s">
        <v>2689</v>
      </c>
      <c r="Y447" t="s">
        <v>2689</v>
      </c>
      <c r="Z447" t="s">
        <v>2689</v>
      </c>
      <c r="AA447" t="s">
        <v>2689</v>
      </c>
      <c r="AC447" t="s">
        <v>2689</v>
      </c>
      <c r="AD447" t="s">
        <v>2689</v>
      </c>
      <c r="AE447" t="s">
        <v>2689</v>
      </c>
      <c r="AF447" t="s">
        <v>2689</v>
      </c>
      <c r="AH447">
        <v>108.65</v>
      </c>
      <c r="AI447" t="s">
        <v>2690</v>
      </c>
      <c r="AJ447" t="s">
        <v>2690</v>
      </c>
      <c r="AK447" t="s">
        <v>2690</v>
      </c>
      <c r="AL447" t="s">
        <v>2690</v>
      </c>
      <c r="AP447">
        <v>108.65</v>
      </c>
      <c r="AR447" s="23">
        <v>0.56211805555555561</v>
      </c>
      <c r="AS447" s="23">
        <v>0.83614583333333337</v>
      </c>
      <c r="AT447" s="23">
        <v>0.5625</v>
      </c>
      <c r="AU447" s="23">
        <v>0.89583333333333337</v>
      </c>
      <c r="AV447" t="s">
        <v>2619</v>
      </c>
      <c r="AY447">
        <v>0.5</v>
      </c>
      <c r="AZ447" t="s">
        <v>3201</v>
      </c>
      <c r="BA447" t="s">
        <v>2754</v>
      </c>
      <c r="BD447" t="s">
        <v>2620</v>
      </c>
      <c r="BE447" t="s">
        <v>2621</v>
      </c>
      <c r="BG447">
        <v>0</v>
      </c>
      <c r="BH447">
        <v>0</v>
      </c>
      <c r="BJ447">
        <v>0</v>
      </c>
    </row>
    <row r="448" spans="1:62" x14ac:dyDescent="0.2">
      <c r="A448" t="s">
        <v>2614</v>
      </c>
      <c r="B448" t="s">
        <v>2614</v>
      </c>
      <c r="C448">
        <v>100077504</v>
      </c>
      <c r="D448" t="s">
        <v>2744</v>
      </c>
      <c r="E448" t="s">
        <v>2439</v>
      </c>
      <c r="F448" t="s">
        <v>2452</v>
      </c>
      <c r="G448" t="s">
        <v>2453</v>
      </c>
      <c r="H448" s="23">
        <v>0.33333333333333331</v>
      </c>
      <c r="I448" t="s">
        <v>2688</v>
      </c>
      <c r="J448" t="s">
        <v>2616</v>
      </c>
      <c r="K448" t="s">
        <v>2625</v>
      </c>
      <c r="L448" t="s">
        <v>2614</v>
      </c>
      <c r="M448" t="s">
        <v>2617</v>
      </c>
      <c r="N448" s="6">
        <v>45996</v>
      </c>
      <c r="O448" t="s">
        <v>2449</v>
      </c>
      <c r="P448" t="s">
        <v>2445</v>
      </c>
      <c r="Q448" s="23">
        <v>0.35410879629629627</v>
      </c>
      <c r="R448" s="23">
        <v>0.55888888888888888</v>
      </c>
      <c r="S448">
        <v>17.87</v>
      </c>
      <c r="T448" t="s">
        <v>2443</v>
      </c>
      <c r="U448" t="s">
        <v>2618</v>
      </c>
      <c r="V448">
        <v>4.91</v>
      </c>
      <c r="W448">
        <v>4.91</v>
      </c>
      <c r="X448" t="s">
        <v>2689</v>
      </c>
      <c r="Y448" t="s">
        <v>2689</v>
      </c>
      <c r="Z448" t="s">
        <v>2689</v>
      </c>
      <c r="AA448" t="s">
        <v>2689</v>
      </c>
      <c r="AC448" t="s">
        <v>2689</v>
      </c>
      <c r="AD448" t="s">
        <v>2689</v>
      </c>
      <c r="AE448" t="s">
        <v>2689</v>
      </c>
      <c r="AF448" t="s">
        <v>2689</v>
      </c>
      <c r="AH448">
        <v>87.74</v>
      </c>
      <c r="AI448" t="s">
        <v>2690</v>
      </c>
      <c r="AJ448" t="s">
        <v>2690</v>
      </c>
      <c r="AK448" t="s">
        <v>2690</v>
      </c>
      <c r="AL448" t="s">
        <v>2690</v>
      </c>
      <c r="AP448">
        <v>87.74</v>
      </c>
      <c r="AR448" s="23">
        <v>0.35410879629629627</v>
      </c>
      <c r="AS448" s="23">
        <v>0.55888888888888888</v>
      </c>
      <c r="AT448" s="23">
        <v>0.35416666666666669</v>
      </c>
      <c r="AU448" s="23">
        <v>0.6875</v>
      </c>
      <c r="AV448" t="s">
        <v>2619</v>
      </c>
      <c r="BA448" t="s">
        <v>2754</v>
      </c>
      <c r="BD448" t="s">
        <v>2620</v>
      </c>
      <c r="BE448" t="s">
        <v>2621</v>
      </c>
      <c r="BG448">
        <v>0</v>
      </c>
      <c r="BH448">
        <v>0</v>
      </c>
      <c r="BJ448">
        <v>0</v>
      </c>
    </row>
    <row r="449" spans="1:62" x14ac:dyDescent="0.2">
      <c r="A449" t="s">
        <v>2614</v>
      </c>
      <c r="B449" t="s">
        <v>2614</v>
      </c>
      <c r="C449">
        <v>100077504</v>
      </c>
      <c r="D449" t="s">
        <v>2744</v>
      </c>
      <c r="E449" t="s">
        <v>2439</v>
      </c>
      <c r="F449" t="s">
        <v>2786</v>
      </c>
      <c r="G449" t="s">
        <v>2787</v>
      </c>
      <c r="H449" s="23">
        <v>0.66666666666666663</v>
      </c>
      <c r="I449" t="s">
        <v>2696</v>
      </c>
      <c r="J449" t="s">
        <v>2616</v>
      </c>
      <c r="K449" t="s">
        <v>2625</v>
      </c>
      <c r="L449" t="s">
        <v>2614</v>
      </c>
      <c r="M449" t="s">
        <v>2617</v>
      </c>
      <c r="N449" s="6">
        <v>45999</v>
      </c>
      <c r="O449" t="s">
        <v>2455</v>
      </c>
      <c r="P449" t="s">
        <v>2445</v>
      </c>
      <c r="Q449" s="23">
        <v>0.41608796296296297</v>
      </c>
      <c r="R449" s="23">
        <v>0.75033564814814813</v>
      </c>
      <c r="S449">
        <v>17.87</v>
      </c>
      <c r="T449" t="s">
        <v>2443</v>
      </c>
      <c r="U449" t="s">
        <v>2618</v>
      </c>
      <c r="V449">
        <v>7.52</v>
      </c>
      <c r="W449">
        <v>7.52</v>
      </c>
      <c r="X449" t="s">
        <v>2689</v>
      </c>
      <c r="Y449" t="s">
        <v>2689</v>
      </c>
      <c r="Z449" t="s">
        <v>2689</v>
      </c>
      <c r="AA449" t="s">
        <v>2689</v>
      </c>
      <c r="AC449" t="s">
        <v>2689</v>
      </c>
      <c r="AD449" t="s">
        <v>2689</v>
      </c>
      <c r="AE449" t="s">
        <v>2689</v>
      </c>
      <c r="AF449" t="s">
        <v>2689</v>
      </c>
      <c r="AH449">
        <v>134.38</v>
      </c>
      <c r="AI449" t="s">
        <v>2690</v>
      </c>
      <c r="AJ449" t="s">
        <v>2690</v>
      </c>
      <c r="AK449" t="s">
        <v>2690</v>
      </c>
      <c r="AL449" t="s">
        <v>2690</v>
      </c>
      <c r="AP449">
        <v>134.38</v>
      </c>
      <c r="AR449" s="23">
        <v>0.41608796296296297</v>
      </c>
      <c r="AS449" s="23">
        <v>0.75033564814814813</v>
      </c>
      <c r="AT449" s="23">
        <v>0.41666666666666669</v>
      </c>
      <c r="AU449" s="23">
        <v>0.75</v>
      </c>
      <c r="AV449" t="s">
        <v>2619</v>
      </c>
      <c r="AY449">
        <v>0.5</v>
      </c>
      <c r="AZ449" t="s">
        <v>3202</v>
      </c>
      <c r="BA449" t="s">
        <v>2757</v>
      </c>
      <c r="BD449" t="s">
        <v>2620</v>
      </c>
      <c r="BE449" t="s">
        <v>2621</v>
      </c>
      <c r="BF449" t="s">
        <v>3203</v>
      </c>
      <c r="BG449">
        <v>0</v>
      </c>
      <c r="BH449">
        <v>0</v>
      </c>
      <c r="BJ449">
        <v>0</v>
      </c>
    </row>
    <row r="450" spans="1:62" x14ac:dyDescent="0.2">
      <c r="A450" t="s">
        <v>2614</v>
      </c>
      <c r="B450" t="s">
        <v>2614</v>
      </c>
      <c r="C450">
        <v>100077504</v>
      </c>
      <c r="D450" t="s">
        <v>2744</v>
      </c>
      <c r="E450" t="s">
        <v>2439</v>
      </c>
      <c r="F450" t="s">
        <v>2789</v>
      </c>
      <c r="G450" t="s">
        <v>2790</v>
      </c>
      <c r="H450" s="23">
        <v>0.375</v>
      </c>
      <c r="I450" t="s">
        <v>2696</v>
      </c>
      <c r="J450" t="s">
        <v>2616</v>
      </c>
      <c r="K450" t="s">
        <v>2625</v>
      </c>
      <c r="L450" t="s">
        <v>2614</v>
      </c>
      <c r="M450" t="s">
        <v>2617</v>
      </c>
      <c r="N450" s="6">
        <v>46000</v>
      </c>
      <c r="O450" t="s">
        <v>2457</v>
      </c>
      <c r="P450" t="s">
        <v>2445</v>
      </c>
      <c r="Q450" s="23">
        <v>0.29171296296296295</v>
      </c>
      <c r="R450" s="23">
        <v>0.63479166666666664</v>
      </c>
      <c r="S450">
        <v>17.87</v>
      </c>
      <c r="T450" t="s">
        <v>2443</v>
      </c>
      <c r="U450" t="s">
        <v>2618</v>
      </c>
      <c r="V450">
        <v>7.73</v>
      </c>
      <c r="W450">
        <v>7.73</v>
      </c>
      <c r="X450" t="s">
        <v>2689</v>
      </c>
      <c r="Y450" t="s">
        <v>2689</v>
      </c>
      <c r="Z450" t="s">
        <v>2689</v>
      </c>
      <c r="AA450" t="s">
        <v>2689</v>
      </c>
      <c r="AC450" t="s">
        <v>2689</v>
      </c>
      <c r="AD450" t="s">
        <v>2689</v>
      </c>
      <c r="AE450" t="s">
        <v>2689</v>
      </c>
      <c r="AF450" t="s">
        <v>2689</v>
      </c>
      <c r="AH450">
        <v>138.13999999999999</v>
      </c>
      <c r="AI450" t="s">
        <v>2690</v>
      </c>
      <c r="AJ450" t="s">
        <v>2690</v>
      </c>
      <c r="AK450" t="s">
        <v>2690</v>
      </c>
      <c r="AL450" t="s">
        <v>2690</v>
      </c>
      <c r="AP450">
        <v>138.13999999999999</v>
      </c>
      <c r="AR450" s="23">
        <v>0.29171296296296295</v>
      </c>
      <c r="AS450" s="23">
        <v>0.63479166666666664</v>
      </c>
      <c r="AT450" s="23">
        <v>0.29166666666666669</v>
      </c>
      <c r="AU450" s="23">
        <v>0.625</v>
      </c>
      <c r="AV450" t="s">
        <v>2619</v>
      </c>
      <c r="AY450">
        <v>0.5</v>
      </c>
      <c r="AZ450" t="s">
        <v>3204</v>
      </c>
      <c r="BA450" t="s">
        <v>2757</v>
      </c>
      <c r="BD450" t="s">
        <v>2620</v>
      </c>
      <c r="BE450" t="s">
        <v>2621</v>
      </c>
      <c r="BG450">
        <v>0</v>
      </c>
      <c r="BH450">
        <v>0</v>
      </c>
      <c r="BJ450">
        <v>0</v>
      </c>
    </row>
    <row r="451" spans="1:62" x14ac:dyDescent="0.2">
      <c r="A451" t="s">
        <v>2614</v>
      </c>
      <c r="B451" t="s">
        <v>2614</v>
      </c>
      <c r="C451">
        <v>100077504</v>
      </c>
      <c r="D451" t="s">
        <v>2744</v>
      </c>
      <c r="E451" t="s">
        <v>2439</v>
      </c>
      <c r="F451" t="s">
        <v>2452</v>
      </c>
      <c r="G451" t="s">
        <v>2453</v>
      </c>
      <c r="H451" s="23">
        <v>0.33333333333333331</v>
      </c>
      <c r="I451" t="s">
        <v>2688</v>
      </c>
      <c r="J451" t="s">
        <v>2616</v>
      </c>
      <c r="K451" t="s">
        <v>2625</v>
      </c>
      <c r="L451" t="s">
        <v>2614</v>
      </c>
      <c r="M451" t="s">
        <v>2617</v>
      </c>
      <c r="N451" s="6">
        <v>46001</v>
      </c>
      <c r="O451" t="s">
        <v>2458</v>
      </c>
      <c r="P451" t="s">
        <v>2445</v>
      </c>
      <c r="Q451" s="23">
        <v>0.37297453703703703</v>
      </c>
      <c r="R451" s="23">
        <v>0.70253472222222224</v>
      </c>
      <c r="S451">
        <v>17.87</v>
      </c>
      <c r="T451" t="s">
        <v>2443</v>
      </c>
      <c r="U451" t="s">
        <v>2618</v>
      </c>
      <c r="V451">
        <v>7.41</v>
      </c>
      <c r="W451">
        <v>7.41</v>
      </c>
      <c r="X451" t="s">
        <v>2689</v>
      </c>
      <c r="Y451" t="s">
        <v>2689</v>
      </c>
      <c r="Z451" t="s">
        <v>2689</v>
      </c>
      <c r="AA451" t="s">
        <v>2689</v>
      </c>
      <c r="AC451" t="s">
        <v>2689</v>
      </c>
      <c r="AD451" t="s">
        <v>2689</v>
      </c>
      <c r="AE451" t="s">
        <v>2689</v>
      </c>
      <c r="AF451" t="s">
        <v>2689</v>
      </c>
      <c r="AH451">
        <v>132.41999999999999</v>
      </c>
      <c r="AI451" t="s">
        <v>2690</v>
      </c>
      <c r="AJ451" t="s">
        <v>2690</v>
      </c>
      <c r="AK451" t="s">
        <v>2690</v>
      </c>
      <c r="AL451" t="s">
        <v>2690</v>
      </c>
      <c r="AP451">
        <v>132.41999999999999</v>
      </c>
      <c r="AR451" s="23">
        <v>0.37297453703703703</v>
      </c>
      <c r="AS451" s="23">
        <v>0.70253472222222224</v>
      </c>
      <c r="AT451" s="23">
        <v>0.375</v>
      </c>
      <c r="AU451" s="23">
        <v>0.70833333333333337</v>
      </c>
      <c r="AV451" t="s">
        <v>2619</v>
      </c>
      <c r="AY451">
        <v>0.5</v>
      </c>
      <c r="AZ451" t="s">
        <v>3205</v>
      </c>
      <c r="BA451" t="s">
        <v>2759</v>
      </c>
      <c r="BD451" t="s">
        <v>2620</v>
      </c>
      <c r="BE451" t="s">
        <v>2621</v>
      </c>
      <c r="BG451">
        <v>0</v>
      </c>
      <c r="BH451">
        <v>0</v>
      </c>
      <c r="BJ451">
        <v>0</v>
      </c>
    </row>
    <row r="452" spans="1:62" x14ac:dyDescent="0.2">
      <c r="A452" t="s">
        <v>2614</v>
      </c>
      <c r="B452" t="s">
        <v>2614</v>
      </c>
      <c r="C452">
        <v>100077504</v>
      </c>
      <c r="D452" t="s">
        <v>2744</v>
      </c>
      <c r="E452" t="s">
        <v>2439</v>
      </c>
      <c r="F452" t="s">
        <v>2791</v>
      </c>
      <c r="G452" t="s">
        <v>2792</v>
      </c>
      <c r="H452" s="23">
        <v>0.79166666666666663</v>
      </c>
      <c r="I452" t="s">
        <v>2696</v>
      </c>
      <c r="J452" t="s">
        <v>2616</v>
      </c>
      <c r="K452" t="s">
        <v>2625</v>
      </c>
      <c r="L452" t="s">
        <v>2614</v>
      </c>
      <c r="M452" t="s">
        <v>2617</v>
      </c>
      <c r="N452" s="6">
        <v>46002</v>
      </c>
      <c r="O452" t="s">
        <v>2459</v>
      </c>
      <c r="P452" t="s">
        <v>2445</v>
      </c>
      <c r="Q452" s="23">
        <v>0.66342592592592597</v>
      </c>
      <c r="R452" s="23">
        <v>1.7650462962962962E-2</v>
      </c>
      <c r="S452">
        <v>17.87</v>
      </c>
      <c r="T452" t="s">
        <v>2443</v>
      </c>
      <c r="U452" t="s">
        <v>2618</v>
      </c>
      <c r="V452">
        <v>8</v>
      </c>
      <c r="W452">
        <v>8</v>
      </c>
      <c r="X452" t="s">
        <v>2689</v>
      </c>
      <c r="Y452" t="s">
        <v>2689</v>
      </c>
      <c r="Z452" t="s">
        <v>2689</v>
      </c>
      <c r="AA452" t="s">
        <v>2689</v>
      </c>
      <c r="AC452" t="s">
        <v>2689</v>
      </c>
      <c r="AD452" t="s">
        <v>2689</v>
      </c>
      <c r="AE452" t="s">
        <v>2689</v>
      </c>
      <c r="AF452" t="s">
        <v>2689</v>
      </c>
      <c r="AH452">
        <v>142.96</v>
      </c>
      <c r="AI452" t="s">
        <v>2690</v>
      </c>
      <c r="AJ452" t="s">
        <v>2690</v>
      </c>
      <c r="AK452" t="s">
        <v>2690</v>
      </c>
      <c r="AL452" t="s">
        <v>2690</v>
      </c>
      <c r="AP452">
        <v>142.96</v>
      </c>
      <c r="AR452" s="23">
        <v>0.66342592592592597</v>
      </c>
      <c r="AS452" s="23">
        <v>1.7650462962962962E-2</v>
      </c>
      <c r="AT452" s="23">
        <v>0.66666666666666663</v>
      </c>
      <c r="AU452" s="24">
        <v>1</v>
      </c>
      <c r="AV452" t="s">
        <v>2619</v>
      </c>
      <c r="AY452">
        <v>0.5</v>
      </c>
      <c r="AZ452" t="s">
        <v>3206</v>
      </c>
      <c r="BA452" t="s">
        <v>2759</v>
      </c>
      <c r="BD452" t="s">
        <v>2620</v>
      </c>
      <c r="BE452" t="s">
        <v>2621</v>
      </c>
      <c r="BG452">
        <v>0</v>
      </c>
      <c r="BH452">
        <v>0</v>
      </c>
      <c r="BJ452">
        <v>0</v>
      </c>
    </row>
    <row r="453" spans="1:62" x14ac:dyDescent="0.2">
      <c r="A453" t="s">
        <v>2614</v>
      </c>
      <c r="B453" t="s">
        <v>2614</v>
      </c>
      <c r="C453">
        <v>100077504</v>
      </c>
      <c r="D453" t="s">
        <v>2744</v>
      </c>
      <c r="E453" t="s">
        <v>2439</v>
      </c>
      <c r="F453" t="s">
        <v>2794</v>
      </c>
      <c r="G453" t="s">
        <v>2795</v>
      </c>
      <c r="H453" s="23">
        <v>0.79166666666666663</v>
      </c>
      <c r="I453" t="s">
        <v>2696</v>
      </c>
      <c r="J453" t="s">
        <v>2616</v>
      </c>
      <c r="K453" t="s">
        <v>2625</v>
      </c>
      <c r="L453" t="s">
        <v>2614</v>
      </c>
      <c r="M453" t="s">
        <v>2617</v>
      </c>
      <c r="N453" s="6">
        <v>46003</v>
      </c>
      <c r="O453" t="s">
        <v>2449</v>
      </c>
      <c r="P453" t="s">
        <v>2445</v>
      </c>
      <c r="Q453" s="23">
        <v>0.66615740740740736</v>
      </c>
      <c r="R453" s="23">
        <v>0.97461805555555558</v>
      </c>
      <c r="S453">
        <v>17.87</v>
      </c>
      <c r="T453" t="s">
        <v>2443</v>
      </c>
      <c r="U453" t="s">
        <v>2618</v>
      </c>
      <c r="V453">
        <v>6.9</v>
      </c>
      <c r="W453">
        <v>6.9</v>
      </c>
      <c r="X453" t="s">
        <v>2689</v>
      </c>
      <c r="Y453" t="s">
        <v>2689</v>
      </c>
      <c r="Z453" t="s">
        <v>2689</v>
      </c>
      <c r="AA453" t="s">
        <v>2689</v>
      </c>
      <c r="AC453" t="s">
        <v>2689</v>
      </c>
      <c r="AD453" t="s">
        <v>2689</v>
      </c>
      <c r="AE453" t="s">
        <v>2689</v>
      </c>
      <c r="AF453" t="s">
        <v>2689</v>
      </c>
      <c r="AH453">
        <v>123.3</v>
      </c>
      <c r="AI453" t="s">
        <v>2690</v>
      </c>
      <c r="AJ453" t="s">
        <v>2690</v>
      </c>
      <c r="AK453" t="s">
        <v>2690</v>
      </c>
      <c r="AL453" t="s">
        <v>2690</v>
      </c>
      <c r="AP453">
        <v>123.3</v>
      </c>
      <c r="AR453" s="23">
        <v>0.66615740740740736</v>
      </c>
      <c r="AS453" s="23">
        <v>0.97461805555555558</v>
      </c>
      <c r="AT453" s="23">
        <v>0.66666666666666663</v>
      </c>
      <c r="AU453" s="24">
        <v>1</v>
      </c>
      <c r="AV453" t="s">
        <v>2619</v>
      </c>
      <c r="AY453">
        <v>0.5</v>
      </c>
      <c r="AZ453" t="s">
        <v>3207</v>
      </c>
      <c r="BA453" t="s">
        <v>2798</v>
      </c>
      <c r="BD453" t="s">
        <v>2620</v>
      </c>
      <c r="BE453" t="s">
        <v>2621</v>
      </c>
      <c r="BG453">
        <v>0</v>
      </c>
      <c r="BH453">
        <v>0</v>
      </c>
      <c r="BJ453">
        <v>0</v>
      </c>
    </row>
    <row r="454" spans="1:62" x14ac:dyDescent="0.2">
      <c r="A454" t="s">
        <v>2614</v>
      </c>
      <c r="B454" t="s">
        <v>2614</v>
      </c>
      <c r="C454">
        <v>100077504</v>
      </c>
      <c r="D454" t="s">
        <v>2744</v>
      </c>
      <c r="E454" t="s">
        <v>2439</v>
      </c>
      <c r="F454" t="s">
        <v>2811</v>
      </c>
      <c r="G454" t="s">
        <v>2812</v>
      </c>
      <c r="H454" s="23">
        <v>0.6875</v>
      </c>
      <c r="I454" t="s">
        <v>2696</v>
      </c>
      <c r="J454" t="s">
        <v>2616</v>
      </c>
      <c r="K454" t="s">
        <v>2625</v>
      </c>
      <c r="L454" t="s">
        <v>2614</v>
      </c>
      <c r="M454" t="s">
        <v>2617</v>
      </c>
      <c r="N454" s="6">
        <v>46005</v>
      </c>
      <c r="O454" t="s">
        <v>2461</v>
      </c>
      <c r="P454" t="s">
        <v>2442</v>
      </c>
      <c r="Q454" s="23">
        <v>0.58268518518518519</v>
      </c>
      <c r="R454" s="23">
        <v>0.89591435185185186</v>
      </c>
      <c r="S454">
        <v>17.87</v>
      </c>
      <c r="T454" t="s">
        <v>2443</v>
      </c>
      <c r="U454" t="s">
        <v>2618</v>
      </c>
      <c r="V454">
        <v>7.02</v>
      </c>
      <c r="W454">
        <v>7.02</v>
      </c>
      <c r="X454" t="s">
        <v>2689</v>
      </c>
      <c r="Y454" t="s">
        <v>2689</v>
      </c>
      <c r="Z454" t="s">
        <v>2689</v>
      </c>
      <c r="AA454" t="s">
        <v>2689</v>
      </c>
      <c r="AC454" t="s">
        <v>2689</v>
      </c>
      <c r="AD454" t="s">
        <v>2689</v>
      </c>
      <c r="AE454" t="s">
        <v>2689</v>
      </c>
      <c r="AF454" t="s">
        <v>2689</v>
      </c>
      <c r="AH454">
        <v>125.45</v>
      </c>
      <c r="AI454" t="s">
        <v>2690</v>
      </c>
      <c r="AJ454" t="s">
        <v>2690</v>
      </c>
      <c r="AK454" t="s">
        <v>2690</v>
      </c>
      <c r="AL454" t="s">
        <v>2690</v>
      </c>
      <c r="AP454">
        <v>125.45</v>
      </c>
      <c r="AR454" s="23">
        <v>0.58268518518518519</v>
      </c>
      <c r="AS454" s="23">
        <v>0.89591435185185186</v>
      </c>
      <c r="AT454" s="23">
        <v>0.58333333333333337</v>
      </c>
      <c r="AU454" s="23">
        <v>0.91666666666666663</v>
      </c>
      <c r="AV454" t="s">
        <v>2619</v>
      </c>
      <c r="AY454">
        <v>0.5</v>
      </c>
      <c r="AZ454" t="s">
        <v>3208</v>
      </c>
      <c r="BA454" t="s">
        <v>2798</v>
      </c>
      <c r="BD454" t="s">
        <v>2620</v>
      </c>
      <c r="BE454" t="s">
        <v>2621</v>
      </c>
      <c r="BG454">
        <v>0</v>
      </c>
      <c r="BH454">
        <v>0</v>
      </c>
      <c r="BJ454">
        <v>0</v>
      </c>
    </row>
    <row r="455" spans="1:62" x14ac:dyDescent="0.2">
      <c r="A455" t="s">
        <v>2614</v>
      </c>
      <c r="B455" t="s">
        <v>2614</v>
      </c>
      <c r="C455">
        <v>100077504</v>
      </c>
      <c r="D455" t="s">
        <v>2744</v>
      </c>
      <c r="E455" t="s">
        <v>2439</v>
      </c>
      <c r="F455" t="s">
        <v>2814</v>
      </c>
      <c r="G455" t="s">
        <v>2815</v>
      </c>
      <c r="H455" s="23">
        <v>0.47916666666666669</v>
      </c>
      <c r="I455" t="s">
        <v>2696</v>
      </c>
      <c r="J455" t="s">
        <v>2616</v>
      </c>
      <c r="K455" t="s">
        <v>2625</v>
      </c>
      <c r="L455" t="s">
        <v>2614</v>
      </c>
      <c r="M455" t="s">
        <v>2617</v>
      </c>
      <c r="N455" s="6">
        <v>46006</v>
      </c>
      <c r="O455" t="s">
        <v>2455</v>
      </c>
      <c r="P455" t="s">
        <v>2445</v>
      </c>
      <c r="Q455" s="23">
        <v>0.33346064814814813</v>
      </c>
      <c r="R455" s="23">
        <v>0.63195601851851857</v>
      </c>
      <c r="S455">
        <v>17.87</v>
      </c>
      <c r="T455" t="s">
        <v>2443</v>
      </c>
      <c r="U455" t="s">
        <v>2618</v>
      </c>
      <c r="V455">
        <v>6.66</v>
      </c>
      <c r="W455">
        <v>6.66</v>
      </c>
      <c r="X455" t="s">
        <v>2689</v>
      </c>
      <c r="Y455" t="s">
        <v>2689</v>
      </c>
      <c r="Z455" t="s">
        <v>2689</v>
      </c>
      <c r="AA455" t="s">
        <v>2689</v>
      </c>
      <c r="AC455" t="s">
        <v>2689</v>
      </c>
      <c r="AD455" t="s">
        <v>2689</v>
      </c>
      <c r="AE455" t="s">
        <v>2689</v>
      </c>
      <c r="AF455" t="s">
        <v>2689</v>
      </c>
      <c r="AH455">
        <v>119.01</v>
      </c>
      <c r="AI455" t="s">
        <v>2690</v>
      </c>
      <c r="AJ455" t="s">
        <v>2690</v>
      </c>
      <c r="AK455" t="s">
        <v>2690</v>
      </c>
      <c r="AL455" t="s">
        <v>2690</v>
      </c>
      <c r="AP455">
        <v>119.01</v>
      </c>
      <c r="AR455" s="23">
        <v>0.33346064814814813</v>
      </c>
      <c r="AS455" s="23">
        <v>0.63195601851851857</v>
      </c>
      <c r="AT455" s="23">
        <v>0.33333333333333331</v>
      </c>
      <c r="AU455" s="23">
        <v>0.66666666666666663</v>
      </c>
      <c r="AV455" t="s">
        <v>2619</v>
      </c>
      <c r="AY455">
        <v>0.5</v>
      </c>
      <c r="AZ455" t="s">
        <v>3209</v>
      </c>
      <c r="BA455" t="s">
        <v>2769</v>
      </c>
      <c r="BD455" t="s">
        <v>2620</v>
      </c>
      <c r="BE455" t="s">
        <v>2621</v>
      </c>
      <c r="BG455">
        <v>0</v>
      </c>
      <c r="BH455">
        <v>0</v>
      </c>
      <c r="BJ455">
        <v>0</v>
      </c>
    </row>
    <row r="456" spans="1:62" x14ac:dyDescent="0.2">
      <c r="A456" t="s">
        <v>2614</v>
      </c>
      <c r="B456" t="s">
        <v>2614</v>
      </c>
      <c r="C456">
        <v>100077504</v>
      </c>
      <c r="D456" t="s">
        <v>2744</v>
      </c>
      <c r="E456" t="s">
        <v>2439</v>
      </c>
      <c r="F456" t="s">
        <v>2452</v>
      </c>
      <c r="G456" t="s">
        <v>2453</v>
      </c>
      <c r="H456" s="23">
        <v>0.33333333333333331</v>
      </c>
      <c r="I456" t="s">
        <v>2688</v>
      </c>
      <c r="J456" t="s">
        <v>2616</v>
      </c>
      <c r="K456" t="s">
        <v>2623</v>
      </c>
      <c r="L456" t="s">
        <v>2614</v>
      </c>
      <c r="M456" t="s">
        <v>2617</v>
      </c>
      <c r="N456" s="6">
        <v>46008</v>
      </c>
      <c r="O456" t="s">
        <v>2458</v>
      </c>
      <c r="P456" t="s">
        <v>2445</v>
      </c>
      <c r="Q456" s="23">
        <v>0.33268518518518519</v>
      </c>
      <c r="R456" s="23">
        <v>0.54010416666666672</v>
      </c>
      <c r="S456">
        <v>17.87</v>
      </c>
      <c r="T456" t="s">
        <v>2443</v>
      </c>
      <c r="U456" t="s">
        <v>2618</v>
      </c>
      <c r="V456">
        <v>4.9800000000000004</v>
      </c>
      <c r="W456">
        <v>4.9800000000000004</v>
      </c>
      <c r="X456" t="s">
        <v>2689</v>
      </c>
      <c r="Y456" t="s">
        <v>2689</v>
      </c>
      <c r="Z456" t="s">
        <v>2689</v>
      </c>
      <c r="AA456" t="s">
        <v>2689</v>
      </c>
      <c r="AC456" t="s">
        <v>2689</v>
      </c>
      <c r="AD456" t="s">
        <v>2689</v>
      </c>
      <c r="AE456" t="s">
        <v>2689</v>
      </c>
      <c r="AF456" t="s">
        <v>2689</v>
      </c>
      <c r="AH456">
        <v>88.99</v>
      </c>
      <c r="AI456" t="s">
        <v>2690</v>
      </c>
      <c r="AJ456" t="s">
        <v>2690</v>
      </c>
      <c r="AK456" t="s">
        <v>2690</v>
      </c>
      <c r="AL456" t="s">
        <v>2690</v>
      </c>
      <c r="AP456">
        <v>88.99</v>
      </c>
      <c r="AR456" s="23">
        <v>0.33268518518518519</v>
      </c>
      <c r="AS456" s="23">
        <v>0.54010416666666672</v>
      </c>
      <c r="AT456" s="23">
        <v>0.33333333333333331</v>
      </c>
      <c r="AU456" s="23">
        <v>0.54166666666666663</v>
      </c>
      <c r="AV456" t="s">
        <v>2619</v>
      </c>
      <c r="BA456" t="s">
        <v>2771</v>
      </c>
      <c r="BD456" t="s">
        <v>2620</v>
      </c>
      <c r="BE456" t="s">
        <v>2621</v>
      </c>
      <c r="BG456">
        <v>0</v>
      </c>
      <c r="BH456">
        <v>0</v>
      </c>
      <c r="BJ456">
        <v>0</v>
      </c>
    </row>
    <row r="457" spans="1:62" x14ac:dyDescent="0.2">
      <c r="A457" t="s">
        <v>2614</v>
      </c>
      <c r="B457" t="s">
        <v>2614</v>
      </c>
      <c r="C457">
        <v>100077504</v>
      </c>
      <c r="D457" t="s">
        <v>2744</v>
      </c>
      <c r="E457" t="s">
        <v>2439</v>
      </c>
      <c r="F457" t="s">
        <v>2452</v>
      </c>
      <c r="G457" t="s">
        <v>2453</v>
      </c>
      <c r="H457" s="23">
        <v>0.33333333333333331</v>
      </c>
      <c r="I457" t="s">
        <v>2688</v>
      </c>
      <c r="J457" t="s">
        <v>2636</v>
      </c>
      <c r="K457" t="s">
        <v>2670</v>
      </c>
      <c r="L457" t="s">
        <v>2614</v>
      </c>
      <c r="M457" t="s">
        <v>2614</v>
      </c>
      <c r="N457" s="6">
        <v>46009</v>
      </c>
      <c r="O457" t="s">
        <v>2459</v>
      </c>
      <c r="P457" t="s">
        <v>2445</v>
      </c>
      <c r="Q457" s="23">
        <v>0.33297453703703705</v>
      </c>
      <c r="R457" s="23">
        <v>0.54094907407407411</v>
      </c>
      <c r="S457">
        <v>17.87</v>
      </c>
      <c r="T457" t="s">
        <v>2443</v>
      </c>
      <c r="U457" t="s">
        <v>2618</v>
      </c>
      <c r="V457">
        <v>4.99</v>
      </c>
      <c r="W457">
        <v>4.99</v>
      </c>
      <c r="X457" t="s">
        <v>2689</v>
      </c>
      <c r="Y457" t="s">
        <v>2689</v>
      </c>
      <c r="Z457" t="s">
        <v>2689</v>
      </c>
      <c r="AA457" t="s">
        <v>2689</v>
      </c>
      <c r="AC457" t="s">
        <v>2689</v>
      </c>
      <c r="AD457" t="s">
        <v>2689</v>
      </c>
      <c r="AE457" t="s">
        <v>2689</v>
      </c>
      <c r="AF457" t="s">
        <v>2689</v>
      </c>
      <c r="AH457">
        <v>89.17</v>
      </c>
      <c r="AI457" t="s">
        <v>2690</v>
      </c>
      <c r="AJ457" t="s">
        <v>2690</v>
      </c>
      <c r="AK457" t="s">
        <v>2690</v>
      </c>
      <c r="AL457" t="s">
        <v>2690</v>
      </c>
      <c r="AP457">
        <v>89.17</v>
      </c>
      <c r="AR457" s="23">
        <v>0.33297453703703705</v>
      </c>
      <c r="AS457" s="23">
        <v>0.54094907407407411</v>
      </c>
      <c r="AT457" s="23">
        <v>0.33333333333333331</v>
      </c>
      <c r="AU457" s="23">
        <v>0.5625</v>
      </c>
      <c r="AV457" t="s">
        <v>2619</v>
      </c>
      <c r="BA457" t="s">
        <v>2765</v>
      </c>
      <c r="BD457" t="s">
        <v>2620</v>
      </c>
      <c r="BE457" t="s">
        <v>2621</v>
      </c>
      <c r="BG457">
        <v>0</v>
      </c>
      <c r="BH457">
        <v>0</v>
      </c>
      <c r="BJ457">
        <v>0</v>
      </c>
    </row>
    <row r="458" spans="1:62" x14ac:dyDescent="0.2">
      <c r="A458" t="s">
        <v>2614</v>
      </c>
      <c r="B458" t="s">
        <v>2614</v>
      </c>
      <c r="C458">
        <v>100087220</v>
      </c>
      <c r="D458" t="s">
        <v>2745</v>
      </c>
      <c r="E458" t="s">
        <v>2439</v>
      </c>
      <c r="F458" t="s">
        <v>2452</v>
      </c>
      <c r="G458" t="s">
        <v>2453</v>
      </c>
      <c r="H458" s="23">
        <v>0.33333333333333331</v>
      </c>
      <c r="I458" t="s">
        <v>2688</v>
      </c>
      <c r="J458" t="s">
        <v>2616</v>
      </c>
      <c r="K458" t="s">
        <v>2632</v>
      </c>
      <c r="L458" t="s">
        <v>2614</v>
      </c>
      <c r="M458" t="s">
        <v>2617</v>
      </c>
      <c r="N458" s="6">
        <v>45992</v>
      </c>
      <c r="O458" t="s">
        <v>2455</v>
      </c>
      <c r="P458" t="s">
        <v>2445</v>
      </c>
      <c r="Q458" s="23">
        <v>0.33047453703703705</v>
      </c>
      <c r="R458" s="23">
        <v>0.68046296296296294</v>
      </c>
      <c r="S458">
        <v>17.87</v>
      </c>
      <c r="T458" t="s">
        <v>2443</v>
      </c>
      <c r="U458" t="s">
        <v>2618</v>
      </c>
      <c r="V458">
        <v>7.77</v>
      </c>
      <c r="W458">
        <v>7.77</v>
      </c>
      <c r="X458" t="s">
        <v>2689</v>
      </c>
      <c r="Y458" t="s">
        <v>2689</v>
      </c>
      <c r="Z458" t="s">
        <v>2689</v>
      </c>
      <c r="AA458" t="s">
        <v>2689</v>
      </c>
      <c r="AC458" t="s">
        <v>2689</v>
      </c>
      <c r="AD458" t="s">
        <v>2689</v>
      </c>
      <c r="AE458" t="s">
        <v>2689</v>
      </c>
      <c r="AF458" t="s">
        <v>2689</v>
      </c>
      <c r="AH458">
        <v>138.85</v>
      </c>
      <c r="AI458" t="s">
        <v>2690</v>
      </c>
      <c r="AJ458" t="s">
        <v>2690</v>
      </c>
      <c r="AK458" t="s">
        <v>2690</v>
      </c>
      <c r="AL458" t="s">
        <v>2690</v>
      </c>
      <c r="AP458">
        <v>138.85</v>
      </c>
      <c r="AR458" s="23">
        <v>0.33047453703703705</v>
      </c>
      <c r="AS458" s="23">
        <v>0.68046296296296294</v>
      </c>
      <c r="AT458" s="23">
        <v>0.33333333333333331</v>
      </c>
      <c r="AU458" s="23">
        <v>0.6875</v>
      </c>
      <c r="AV458" t="s">
        <v>2619</v>
      </c>
      <c r="AY458">
        <v>0.63</v>
      </c>
      <c r="AZ458" t="s">
        <v>3210</v>
      </c>
      <c r="BA458" t="s">
        <v>2692</v>
      </c>
      <c r="BD458" t="s">
        <v>2620</v>
      </c>
      <c r="BE458" t="s">
        <v>2621</v>
      </c>
      <c r="BG458">
        <v>0</v>
      </c>
      <c r="BH458">
        <v>0</v>
      </c>
      <c r="BJ458">
        <v>0</v>
      </c>
    </row>
    <row r="459" spans="1:62" x14ac:dyDescent="0.2">
      <c r="A459" t="s">
        <v>2614</v>
      </c>
      <c r="B459" t="s">
        <v>2614</v>
      </c>
      <c r="C459">
        <v>100087220</v>
      </c>
      <c r="D459" t="s">
        <v>2745</v>
      </c>
      <c r="E459" t="s">
        <v>2439</v>
      </c>
      <c r="F459" t="s">
        <v>2800</v>
      </c>
      <c r="G459" t="s">
        <v>2801</v>
      </c>
      <c r="H459" s="23">
        <v>0.66666666666666663</v>
      </c>
      <c r="I459" t="s">
        <v>2696</v>
      </c>
      <c r="J459" t="s">
        <v>2616</v>
      </c>
      <c r="K459" t="s">
        <v>2632</v>
      </c>
      <c r="L459" t="s">
        <v>2614</v>
      </c>
      <c r="M459" t="s">
        <v>2617</v>
      </c>
      <c r="N459" s="6">
        <v>45993</v>
      </c>
      <c r="O459" t="s">
        <v>2457</v>
      </c>
      <c r="P459" t="s">
        <v>2445</v>
      </c>
      <c r="Q459" s="23">
        <v>0.3684722222222222</v>
      </c>
      <c r="R459" s="23">
        <v>0.6658680555555555</v>
      </c>
      <c r="S459">
        <v>17.87</v>
      </c>
      <c r="T459" t="s">
        <v>2443</v>
      </c>
      <c r="U459" t="s">
        <v>2618</v>
      </c>
      <c r="V459">
        <v>6.64</v>
      </c>
      <c r="W459">
        <v>6.64</v>
      </c>
      <c r="X459" t="s">
        <v>2689</v>
      </c>
      <c r="Y459" t="s">
        <v>2689</v>
      </c>
      <c r="Z459" t="s">
        <v>2689</v>
      </c>
      <c r="AA459" t="s">
        <v>2689</v>
      </c>
      <c r="AC459" t="s">
        <v>2689</v>
      </c>
      <c r="AD459" t="s">
        <v>2689</v>
      </c>
      <c r="AE459" t="s">
        <v>2689</v>
      </c>
      <c r="AF459" t="s">
        <v>2689</v>
      </c>
      <c r="AH459">
        <v>118.66</v>
      </c>
      <c r="AI459" t="s">
        <v>2690</v>
      </c>
      <c r="AJ459" t="s">
        <v>2690</v>
      </c>
      <c r="AK459" t="s">
        <v>2690</v>
      </c>
      <c r="AL459" t="s">
        <v>2690</v>
      </c>
      <c r="AP459">
        <v>118.66</v>
      </c>
      <c r="AR459" s="23">
        <v>0.3684722222222222</v>
      </c>
      <c r="AS459" s="23">
        <v>0.6658680555555555</v>
      </c>
      <c r="AT459" s="23">
        <v>0.375</v>
      </c>
      <c r="AU459" s="23">
        <v>0.70833333333333337</v>
      </c>
      <c r="AV459" t="s">
        <v>2619</v>
      </c>
      <c r="AY459">
        <v>0.5</v>
      </c>
      <c r="AZ459" t="s">
        <v>3211</v>
      </c>
      <c r="BA459" t="s">
        <v>2752</v>
      </c>
      <c r="BD459" t="s">
        <v>2620</v>
      </c>
      <c r="BE459" t="s">
        <v>2621</v>
      </c>
      <c r="BG459">
        <v>0</v>
      </c>
      <c r="BH459">
        <v>0</v>
      </c>
      <c r="BJ459">
        <v>0</v>
      </c>
    </row>
    <row r="460" spans="1:62" x14ac:dyDescent="0.2">
      <c r="A460" t="s">
        <v>2614</v>
      </c>
      <c r="B460" t="s">
        <v>2614</v>
      </c>
      <c r="C460">
        <v>100087220</v>
      </c>
      <c r="D460" t="s">
        <v>2745</v>
      </c>
      <c r="E460" t="s">
        <v>2439</v>
      </c>
      <c r="F460" t="s">
        <v>2782</v>
      </c>
      <c r="G460" t="s">
        <v>2783</v>
      </c>
      <c r="H460" s="23">
        <v>0.70833333333333337</v>
      </c>
      <c r="I460" t="s">
        <v>2696</v>
      </c>
      <c r="J460" t="s">
        <v>2616</v>
      </c>
      <c r="K460" t="s">
        <v>2633</v>
      </c>
      <c r="L460" t="s">
        <v>2614</v>
      </c>
      <c r="M460" t="s">
        <v>2617</v>
      </c>
      <c r="N460" s="6">
        <v>45994</v>
      </c>
      <c r="O460" t="s">
        <v>2458</v>
      </c>
      <c r="P460" t="s">
        <v>2445</v>
      </c>
      <c r="Q460" s="23">
        <v>0.55590277777777775</v>
      </c>
      <c r="R460" s="23">
        <v>0.88777777777777778</v>
      </c>
      <c r="S460">
        <v>17.87</v>
      </c>
      <c r="T460" t="s">
        <v>2443</v>
      </c>
      <c r="U460" t="s">
        <v>2618</v>
      </c>
      <c r="V460">
        <v>7.46</v>
      </c>
      <c r="W460">
        <v>7.46</v>
      </c>
      <c r="X460" t="s">
        <v>2689</v>
      </c>
      <c r="Y460" t="s">
        <v>2689</v>
      </c>
      <c r="Z460" t="s">
        <v>2689</v>
      </c>
      <c r="AA460" t="s">
        <v>2689</v>
      </c>
      <c r="AC460" t="s">
        <v>2689</v>
      </c>
      <c r="AD460" t="s">
        <v>2689</v>
      </c>
      <c r="AE460" t="s">
        <v>2689</v>
      </c>
      <c r="AF460" t="s">
        <v>2689</v>
      </c>
      <c r="AH460">
        <v>133.31</v>
      </c>
      <c r="AI460" t="s">
        <v>2690</v>
      </c>
      <c r="AJ460" t="s">
        <v>2690</v>
      </c>
      <c r="AK460" t="s">
        <v>2690</v>
      </c>
      <c r="AL460" t="s">
        <v>2690</v>
      </c>
      <c r="AP460">
        <v>133.31</v>
      </c>
      <c r="AR460" s="23">
        <v>0.55590277777777775</v>
      </c>
      <c r="AS460" s="23">
        <v>0.88777777777777778</v>
      </c>
      <c r="AT460" s="23">
        <v>0.5625</v>
      </c>
      <c r="AU460" s="23">
        <v>0.875</v>
      </c>
      <c r="AV460" t="s">
        <v>2619</v>
      </c>
      <c r="AY460">
        <v>0.5</v>
      </c>
      <c r="AZ460" t="s">
        <v>3212</v>
      </c>
      <c r="BA460" t="s">
        <v>2754</v>
      </c>
      <c r="BD460" t="s">
        <v>2620</v>
      </c>
      <c r="BE460" t="s">
        <v>2621</v>
      </c>
      <c r="BG460">
        <v>0</v>
      </c>
      <c r="BH460">
        <v>0</v>
      </c>
      <c r="BJ460">
        <v>0</v>
      </c>
    </row>
    <row r="461" spans="1:62" x14ac:dyDescent="0.2">
      <c r="A461" t="s">
        <v>2614</v>
      </c>
      <c r="B461" t="s">
        <v>2614</v>
      </c>
      <c r="C461">
        <v>100087220</v>
      </c>
      <c r="D461" t="s">
        <v>2745</v>
      </c>
      <c r="E461" t="s">
        <v>2439</v>
      </c>
      <c r="F461" t="s">
        <v>2804</v>
      </c>
      <c r="G461" t="s">
        <v>2805</v>
      </c>
      <c r="H461" s="23">
        <v>0.70833333333333337</v>
      </c>
      <c r="I461" t="s">
        <v>2696</v>
      </c>
      <c r="J461" t="s">
        <v>2616</v>
      </c>
      <c r="K461" t="s">
        <v>2680</v>
      </c>
      <c r="L461" t="s">
        <v>2614</v>
      </c>
      <c r="M461" t="s">
        <v>2617</v>
      </c>
      <c r="N461" s="6">
        <v>45995</v>
      </c>
      <c r="O461" t="s">
        <v>2459</v>
      </c>
      <c r="P461" t="s">
        <v>2445</v>
      </c>
      <c r="Q461" s="23">
        <v>0.56803240740740746</v>
      </c>
      <c r="R461" s="23">
        <v>0.83666666666666667</v>
      </c>
      <c r="S461">
        <v>17.87</v>
      </c>
      <c r="T461" t="s">
        <v>2443</v>
      </c>
      <c r="U461" t="s">
        <v>2618</v>
      </c>
      <c r="V461">
        <v>5.95</v>
      </c>
      <c r="W461">
        <v>5.95</v>
      </c>
      <c r="X461" t="s">
        <v>2689</v>
      </c>
      <c r="Y461" t="s">
        <v>2689</v>
      </c>
      <c r="Z461" t="s">
        <v>2689</v>
      </c>
      <c r="AA461" t="s">
        <v>2689</v>
      </c>
      <c r="AC461" t="s">
        <v>2689</v>
      </c>
      <c r="AD461" t="s">
        <v>2689</v>
      </c>
      <c r="AE461" t="s">
        <v>2689</v>
      </c>
      <c r="AF461" t="s">
        <v>2689</v>
      </c>
      <c r="AH461">
        <v>106.33</v>
      </c>
      <c r="AI461" t="s">
        <v>2690</v>
      </c>
      <c r="AJ461" t="s">
        <v>2690</v>
      </c>
      <c r="AK461" t="s">
        <v>2690</v>
      </c>
      <c r="AL461" t="s">
        <v>2690</v>
      </c>
      <c r="AP461">
        <v>106.33</v>
      </c>
      <c r="AR461" s="23">
        <v>0.56803240740740746</v>
      </c>
      <c r="AS461" s="23">
        <v>0.83666666666666667</v>
      </c>
      <c r="AT461" s="23">
        <v>0.5625</v>
      </c>
      <c r="AU461" s="23">
        <v>0.89583333333333337</v>
      </c>
      <c r="AV461" t="s">
        <v>2619</v>
      </c>
      <c r="AY461">
        <v>0.5</v>
      </c>
      <c r="AZ461" t="s">
        <v>3213</v>
      </c>
      <c r="BA461" t="s">
        <v>2754</v>
      </c>
      <c r="BD461" t="s">
        <v>2620</v>
      </c>
      <c r="BE461" t="s">
        <v>2621</v>
      </c>
      <c r="BG461">
        <v>0</v>
      </c>
      <c r="BH461">
        <v>0</v>
      </c>
      <c r="BJ461">
        <v>0</v>
      </c>
    </row>
    <row r="462" spans="1:62" x14ac:dyDescent="0.2">
      <c r="A462" t="s">
        <v>2614</v>
      </c>
      <c r="B462" t="s">
        <v>2614</v>
      </c>
      <c r="C462">
        <v>100087220</v>
      </c>
      <c r="D462" t="s">
        <v>2745</v>
      </c>
      <c r="E462" t="s">
        <v>2439</v>
      </c>
      <c r="F462" t="s">
        <v>2452</v>
      </c>
      <c r="G462" t="s">
        <v>2453</v>
      </c>
      <c r="H462" s="23">
        <v>0.33333333333333331</v>
      </c>
      <c r="I462" t="s">
        <v>2688</v>
      </c>
      <c r="J462" t="s">
        <v>2616</v>
      </c>
      <c r="K462" t="s">
        <v>2680</v>
      </c>
      <c r="L462" t="s">
        <v>2614</v>
      </c>
      <c r="M462" t="s">
        <v>2617</v>
      </c>
      <c r="N462" s="6">
        <v>45996</v>
      </c>
      <c r="O462" t="s">
        <v>2449</v>
      </c>
      <c r="P462" t="s">
        <v>2445</v>
      </c>
      <c r="Q462" s="23">
        <v>0.36530092592592595</v>
      </c>
      <c r="R462" s="23">
        <v>0.56115740740740738</v>
      </c>
      <c r="S462">
        <v>17.87</v>
      </c>
      <c r="T462" t="s">
        <v>2443</v>
      </c>
      <c r="U462" t="s">
        <v>2618</v>
      </c>
      <c r="V462">
        <v>4.7</v>
      </c>
      <c r="W462">
        <v>4.7</v>
      </c>
      <c r="X462" t="s">
        <v>2689</v>
      </c>
      <c r="Y462" t="s">
        <v>2689</v>
      </c>
      <c r="Z462" t="s">
        <v>2689</v>
      </c>
      <c r="AA462" t="s">
        <v>2689</v>
      </c>
      <c r="AC462" t="s">
        <v>2689</v>
      </c>
      <c r="AD462" t="s">
        <v>2689</v>
      </c>
      <c r="AE462" t="s">
        <v>2689</v>
      </c>
      <c r="AF462" t="s">
        <v>2689</v>
      </c>
      <c r="AH462">
        <v>83.99</v>
      </c>
      <c r="AI462" t="s">
        <v>2690</v>
      </c>
      <c r="AJ462" t="s">
        <v>2690</v>
      </c>
      <c r="AK462" t="s">
        <v>2690</v>
      </c>
      <c r="AL462" t="s">
        <v>2690</v>
      </c>
      <c r="AP462">
        <v>83.99</v>
      </c>
      <c r="AQ462" t="s">
        <v>2442</v>
      </c>
      <c r="AR462" s="23">
        <v>0.36530092592592595</v>
      </c>
      <c r="AS462" s="23">
        <v>0.56115740740740738</v>
      </c>
      <c r="AT462" s="23">
        <v>0.35416666666666669</v>
      </c>
      <c r="AU462" s="23">
        <v>0.6875</v>
      </c>
      <c r="AV462" t="s">
        <v>2619</v>
      </c>
      <c r="BA462" t="s">
        <v>2754</v>
      </c>
      <c r="BD462" t="s">
        <v>2620</v>
      </c>
      <c r="BE462" t="s">
        <v>2621</v>
      </c>
      <c r="BG462">
        <v>0</v>
      </c>
      <c r="BH462">
        <v>0</v>
      </c>
      <c r="BJ462">
        <v>0</v>
      </c>
    </row>
    <row r="463" spans="1:62" x14ac:dyDescent="0.2">
      <c r="A463" t="s">
        <v>2614</v>
      </c>
      <c r="B463" t="s">
        <v>2614</v>
      </c>
      <c r="C463">
        <v>100087220</v>
      </c>
      <c r="D463" t="s">
        <v>2745</v>
      </c>
      <c r="E463" t="s">
        <v>2439</v>
      </c>
      <c r="F463" t="s">
        <v>2786</v>
      </c>
      <c r="G463" t="s">
        <v>2787</v>
      </c>
      <c r="H463" s="23">
        <v>0.66666666666666663</v>
      </c>
      <c r="I463" t="s">
        <v>2696</v>
      </c>
      <c r="J463" t="s">
        <v>2616</v>
      </c>
      <c r="K463" t="s">
        <v>2622</v>
      </c>
      <c r="L463" t="s">
        <v>2614</v>
      </c>
      <c r="M463" t="s">
        <v>2617</v>
      </c>
      <c r="N463" s="6">
        <v>45999</v>
      </c>
      <c r="O463" t="s">
        <v>2455</v>
      </c>
      <c r="P463" t="s">
        <v>2445</v>
      </c>
      <c r="Q463" s="23">
        <v>0.4607175925925926</v>
      </c>
      <c r="R463" s="23">
        <v>0.79351851851851851</v>
      </c>
      <c r="S463">
        <v>17.87</v>
      </c>
      <c r="T463" t="s">
        <v>2443</v>
      </c>
      <c r="U463" t="s">
        <v>2618</v>
      </c>
      <c r="V463">
        <v>7.49</v>
      </c>
      <c r="W463">
        <v>7.49</v>
      </c>
      <c r="X463" t="s">
        <v>2689</v>
      </c>
      <c r="Y463" t="s">
        <v>2689</v>
      </c>
      <c r="Z463" t="s">
        <v>2689</v>
      </c>
      <c r="AA463" t="s">
        <v>2689</v>
      </c>
      <c r="AC463" t="s">
        <v>2689</v>
      </c>
      <c r="AD463" t="s">
        <v>2689</v>
      </c>
      <c r="AE463" t="s">
        <v>2689</v>
      </c>
      <c r="AF463" t="s">
        <v>2689</v>
      </c>
      <c r="AH463">
        <v>133.85</v>
      </c>
      <c r="AI463" t="s">
        <v>2690</v>
      </c>
      <c r="AJ463" t="s">
        <v>2690</v>
      </c>
      <c r="AK463" t="s">
        <v>2690</v>
      </c>
      <c r="AL463" t="s">
        <v>2690</v>
      </c>
      <c r="AP463">
        <v>133.85</v>
      </c>
      <c r="AQ463" t="s">
        <v>2442</v>
      </c>
      <c r="AR463" s="23">
        <v>0.4607175925925926</v>
      </c>
      <c r="AS463" s="23">
        <v>0.79351851851851851</v>
      </c>
      <c r="AT463" s="23">
        <v>0.41666666666666669</v>
      </c>
      <c r="AU463" s="23">
        <v>0.75</v>
      </c>
      <c r="AV463" t="s">
        <v>2619</v>
      </c>
      <c r="AY463">
        <v>0.5</v>
      </c>
      <c r="AZ463" t="s">
        <v>3214</v>
      </c>
      <c r="BA463" t="s">
        <v>2757</v>
      </c>
      <c r="BD463" t="s">
        <v>2620</v>
      </c>
      <c r="BE463" t="s">
        <v>2621</v>
      </c>
      <c r="BG463">
        <v>0</v>
      </c>
      <c r="BH463">
        <v>0</v>
      </c>
      <c r="BJ463">
        <v>0</v>
      </c>
    </row>
    <row r="464" spans="1:62" x14ac:dyDescent="0.2">
      <c r="A464" t="s">
        <v>2614</v>
      </c>
      <c r="B464" t="s">
        <v>2614</v>
      </c>
      <c r="C464">
        <v>100087220</v>
      </c>
      <c r="D464" t="s">
        <v>2745</v>
      </c>
      <c r="E464" t="s">
        <v>2439</v>
      </c>
      <c r="F464" t="s">
        <v>2789</v>
      </c>
      <c r="G464" t="s">
        <v>2790</v>
      </c>
      <c r="H464" s="23">
        <v>0.375</v>
      </c>
      <c r="I464" t="s">
        <v>2696</v>
      </c>
      <c r="J464" t="s">
        <v>2616</v>
      </c>
      <c r="K464" t="s">
        <v>2623</v>
      </c>
      <c r="L464" t="s">
        <v>2614</v>
      </c>
      <c r="M464" t="s">
        <v>2617</v>
      </c>
      <c r="N464" s="6">
        <v>46000</v>
      </c>
      <c r="O464" t="s">
        <v>2457</v>
      </c>
      <c r="P464" t="s">
        <v>2445</v>
      </c>
      <c r="Q464" s="23">
        <v>0.28512731481481479</v>
      </c>
      <c r="R464" s="23">
        <v>0.63449074074074074</v>
      </c>
      <c r="S464">
        <v>17.87</v>
      </c>
      <c r="T464" t="s">
        <v>2443</v>
      </c>
      <c r="U464" t="s">
        <v>2618</v>
      </c>
      <c r="V464">
        <v>7.88</v>
      </c>
      <c r="W464">
        <v>7.88</v>
      </c>
      <c r="X464" t="s">
        <v>2689</v>
      </c>
      <c r="Y464" t="s">
        <v>2689</v>
      </c>
      <c r="Z464" t="s">
        <v>2689</v>
      </c>
      <c r="AA464" t="s">
        <v>2689</v>
      </c>
      <c r="AC464" t="s">
        <v>2689</v>
      </c>
      <c r="AD464" t="s">
        <v>2689</v>
      </c>
      <c r="AE464" t="s">
        <v>2689</v>
      </c>
      <c r="AF464" t="s">
        <v>2689</v>
      </c>
      <c r="AH464">
        <v>140.82</v>
      </c>
      <c r="AI464" t="s">
        <v>2690</v>
      </c>
      <c r="AJ464" t="s">
        <v>2690</v>
      </c>
      <c r="AK464" t="s">
        <v>2690</v>
      </c>
      <c r="AL464" t="s">
        <v>2690</v>
      </c>
      <c r="AP464">
        <v>140.82</v>
      </c>
      <c r="AR464" s="23">
        <v>0.28512731481481479</v>
      </c>
      <c r="AS464" s="23">
        <v>0.63449074074074074</v>
      </c>
      <c r="AT464" s="23">
        <v>0.29166666666666669</v>
      </c>
      <c r="AU464" s="23">
        <v>0.625</v>
      </c>
      <c r="AV464" t="s">
        <v>2619</v>
      </c>
      <c r="AY464">
        <v>0.5</v>
      </c>
      <c r="AZ464" t="s">
        <v>3215</v>
      </c>
      <c r="BA464" t="s">
        <v>2757</v>
      </c>
      <c r="BD464" t="s">
        <v>2620</v>
      </c>
      <c r="BE464" t="s">
        <v>2621</v>
      </c>
      <c r="BG464">
        <v>0</v>
      </c>
      <c r="BH464">
        <v>0</v>
      </c>
      <c r="BJ464">
        <v>0</v>
      </c>
    </row>
    <row r="465" spans="1:62" x14ac:dyDescent="0.2">
      <c r="A465" t="s">
        <v>2614</v>
      </c>
      <c r="B465" t="s">
        <v>2614</v>
      </c>
      <c r="C465">
        <v>100087220</v>
      </c>
      <c r="D465" t="s">
        <v>2745</v>
      </c>
      <c r="E465" t="s">
        <v>2439</v>
      </c>
      <c r="F465" t="s">
        <v>2452</v>
      </c>
      <c r="G465" t="s">
        <v>2453</v>
      </c>
      <c r="H465" s="23">
        <v>0.33333333333333331</v>
      </c>
      <c r="I465" t="s">
        <v>2688</v>
      </c>
      <c r="J465" t="s">
        <v>2616</v>
      </c>
      <c r="K465" t="s">
        <v>2680</v>
      </c>
      <c r="L465" t="s">
        <v>2614</v>
      </c>
      <c r="M465" t="s">
        <v>2617</v>
      </c>
      <c r="N465" s="6">
        <v>46001</v>
      </c>
      <c r="O465" t="s">
        <v>2458</v>
      </c>
      <c r="P465" t="s">
        <v>2445</v>
      </c>
      <c r="Q465" s="23">
        <v>0.38077546296296294</v>
      </c>
      <c r="R465" s="23">
        <v>0.70280092592592591</v>
      </c>
      <c r="S465">
        <v>17.87</v>
      </c>
      <c r="T465" t="s">
        <v>2443</v>
      </c>
      <c r="U465" t="s">
        <v>2618</v>
      </c>
      <c r="V465">
        <v>7.14</v>
      </c>
      <c r="W465">
        <v>7.14</v>
      </c>
      <c r="X465" t="s">
        <v>2689</v>
      </c>
      <c r="Y465" t="s">
        <v>2689</v>
      </c>
      <c r="Z465" t="s">
        <v>2689</v>
      </c>
      <c r="AA465" t="s">
        <v>2689</v>
      </c>
      <c r="AC465" t="s">
        <v>2689</v>
      </c>
      <c r="AD465" t="s">
        <v>2689</v>
      </c>
      <c r="AE465" t="s">
        <v>2689</v>
      </c>
      <c r="AF465" t="s">
        <v>2689</v>
      </c>
      <c r="AH465">
        <v>127.59</v>
      </c>
      <c r="AI465" t="s">
        <v>2690</v>
      </c>
      <c r="AJ465" t="s">
        <v>2690</v>
      </c>
      <c r="AK465" t="s">
        <v>2690</v>
      </c>
      <c r="AL465" t="s">
        <v>2690</v>
      </c>
      <c r="AP465">
        <v>127.59</v>
      </c>
      <c r="AR465" s="23">
        <v>0.38077546296296294</v>
      </c>
      <c r="AS465" s="23">
        <v>0.70280092592592591</v>
      </c>
      <c r="AT465" s="23">
        <v>0.375</v>
      </c>
      <c r="AU465" s="23">
        <v>0.70833333333333337</v>
      </c>
      <c r="AV465" t="s">
        <v>2619</v>
      </c>
      <c r="AY465">
        <v>0.59</v>
      </c>
      <c r="AZ465" t="s">
        <v>3216</v>
      </c>
      <c r="BA465" t="s">
        <v>2759</v>
      </c>
      <c r="BD465" t="s">
        <v>2620</v>
      </c>
      <c r="BE465" t="s">
        <v>2621</v>
      </c>
      <c r="BG465">
        <v>0</v>
      </c>
      <c r="BH465">
        <v>0</v>
      </c>
      <c r="BJ465">
        <v>0</v>
      </c>
    </row>
    <row r="466" spans="1:62" x14ac:dyDescent="0.2">
      <c r="A466" t="s">
        <v>2614</v>
      </c>
      <c r="B466" t="s">
        <v>2614</v>
      </c>
      <c r="C466">
        <v>100087220</v>
      </c>
      <c r="D466" t="s">
        <v>2745</v>
      </c>
      <c r="E466" t="s">
        <v>2439</v>
      </c>
      <c r="F466" t="s">
        <v>2791</v>
      </c>
      <c r="G466" t="s">
        <v>2792</v>
      </c>
      <c r="H466" s="23">
        <v>0.79166666666666663</v>
      </c>
      <c r="I466" t="s">
        <v>2696</v>
      </c>
      <c r="J466" t="s">
        <v>2616</v>
      </c>
      <c r="K466" t="s">
        <v>2680</v>
      </c>
      <c r="L466" t="s">
        <v>2614</v>
      </c>
      <c r="M466" t="s">
        <v>2617</v>
      </c>
      <c r="N466" s="6">
        <v>46002</v>
      </c>
      <c r="O466" t="s">
        <v>2459</v>
      </c>
      <c r="P466" t="s">
        <v>2445</v>
      </c>
      <c r="Q466" s="23">
        <v>0.66481481481481486</v>
      </c>
      <c r="R466" s="23">
        <v>9.1435185185185185E-4</v>
      </c>
      <c r="S466">
        <v>17.87</v>
      </c>
      <c r="T466" t="s">
        <v>2443</v>
      </c>
      <c r="U466" t="s">
        <v>2618</v>
      </c>
      <c r="V466">
        <v>7.57</v>
      </c>
      <c r="W466">
        <v>7.57</v>
      </c>
      <c r="X466" t="s">
        <v>2689</v>
      </c>
      <c r="Y466" t="s">
        <v>2689</v>
      </c>
      <c r="Z466" t="s">
        <v>2689</v>
      </c>
      <c r="AA466" t="s">
        <v>2689</v>
      </c>
      <c r="AC466" t="s">
        <v>2689</v>
      </c>
      <c r="AD466" t="s">
        <v>2689</v>
      </c>
      <c r="AE466" t="s">
        <v>2689</v>
      </c>
      <c r="AF466" t="s">
        <v>2689</v>
      </c>
      <c r="AH466">
        <v>135.28</v>
      </c>
      <c r="AI466" t="s">
        <v>2690</v>
      </c>
      <c r="AJ466" t="s">
        <v>2690</v>
      </c>
      <c r="AK466" t="s">
        <v>2690</v>
      </c>
      <c r="AL466" t="s">
        <v>2690</v>
      </c>
      <c r="AP466">
        <v>135.28</v>
      </c>
      <c r="AR466" s="23">
        <v>0.66481481481481486</v>
      </c>
      <c r="AS466" s="23">
        <v>9.1435185185185185E-4</v>
      </c>
      <c r="AT466" s="23">
        <v>0.66666666666666663</v>
      </c>
      <c r="AU466" s="24">
        <v>1</v>
      </c>
      <c r="AV466" t="s">
        <v>2619</v>
      </c>
      <c r="AY466">
        <v>0.5</v>
      </c>
      <c r="AZ466" t="s">
        <v>3217</v>
      </c>
      <c r="BA466" t="s">
        <v>2759</v>
      </c>
      <c r="BD466" t="s">
        <v>2620</v>
      </c>
      <c r="BE466" t="s">
        <v>2621</v>
      </c>
      <c r="BG466">
        <v>0</v>
      </c>
      <c r="BH466">
        <v>0</v>
      </c>
      <c r="BJ466">
        <v>0</v>
      </c>
    </row>
    <row r="467" spans="1:62" x14ac:dyDescent="0.2">
      <c r="A467" t="s">
        <v>2614</v>
      </c>
      <c r="B467" t="s">
        <v>2614</v>
      </c>
      <c r="C467">
        <v>100087220</v>
      </c>
      <c r="D467" t="s">
        <v>2745</v>
      </c>
      <c r="E467" t="s">
        <v>2439</v>
      </c>
      <c r="F467" t="s">
        <v>2794</v>
      </c>
      <c r="G467" t="s">
        <v>2795</v>
      </c>
      <c r="H467" s="23">
        <v>0.79166666666666663</v>
      </c>
      <c r="I467" t="s">
        <v>2696</v>
      </c>
      <c r="J467" t="s">
        <v>2616</v>
      </c>
      <c r="K467" t="s">
        <v>2680</v>
      </c>
      <c r="L467" t="s">
        <v>2614</v>
      </c>
      <c r="M467" t="s">
        <v>2617</v>
      </c>
      <c r="N467" s="6">
        <v>46003</v>
      </c>
      <c r="O467" t="s">
        <v>2449</v>
      </c>
      <c r="P467" t="s">
        <v>2445</v>
      </c>
      <c r="Q467" s="23">
        <v>0.65989583333333335</v>
      </c>
      <c r="R467" s="23">
        <v>2.0023148148148148E-3</v>
      </c>
      <c r="S467">
        <v>17.87</v>
      </c>
      <c r="T467" t="s">
        <v>2443</v>
      </c>
      <c r="U467" t="s">
        <v>2618</v>
      </c>
      <c r="V467">
        <v>7.71</v>
      </c>
      <c r="W467">
        <v>7.71</v>
      </c>
      <c r="X467" t="s">
        <v>2689</v>
      </c>
      <c r="Y467" t="s">
        <v>2689</v>
      </c>
      <c r="Z467" t="s">
        <v>2689</v>
      </c>
      <c r="AA467" t="s">
        <v>2689</v>
      </c>
      <c r="AC467" t="s">
        <v>2689</v>
      </c>
      <c r="AD467" t="s">
        <v>2689</v>
      </c>
      <c r="AE467" t="s">
        <v>2689</v>
      </c>
      <c r="AF467" t="s">
        <v>2689</v>
      </c>
      <c r="AH467">
        <v>137.78</v>
      </c>
      <c r="AI467" t="s">
        <v>2690</v>
      </c>
      <c r="AJ467" t="s">
        <v>2690</v>
      </c>
      <c r="AK467" t="s">
        <v>2690</v>
      </c>
      <c r="AL467" t="s">
        <v>2690</v>
      </c>
      <c r="AP467">
        <v>137.78</v>
      </c>
      <c r="AR467" s="23">
        <v>0.65989583333333335</v>
      </c>
      <c r="AS467" s="23">
        <v>2.0023148148148148E-3</v>
      </c>
      <c r="AT467" s="23">
        <v>0.66666666666666663</v>
      </c>
      <c r="AU467" s="24">
        <v>1</v>
      </c>
      <c r="AV467" t="s">
        <v>2619</v>
      </c>
      <c r="AY467">
        <v>0.5</v>
      </c>
      <c r="AZ467" t="s">
        <v>3218</v>
      </c>
      <c r="BA467" t="s">
        <v>2798</v>
      </c>
      <c r="BD467" t="s">
        <v>2620</v>
      </c>
      <c r="BE467" t="s">
        <v>2621</v>
      </c>
      <c r="BG467">
        <v>0</v>
      </c>
      <c r="BH467">
        <v>0</v>
      </c>
      <c r="BJ467">
        <v>0</v>
      </c>
    </row>
    <row r="468" spans="1:62" x14ac:dyDescent="0.2">
      <c r="A468" t="s">
        <v>2614</v>
      </c>
      <c r="B468" t="s">
        <v>2614</v>
      </c>
      <c r="C468">
        <v>100087220</v>
      </c>
      <c r="D468" t="s">
        <v>2745</v>
      </c>
      <c r="E468" t="s">
        <v>2439</v>
      </c>
      <c r="F468" t="s">
        <v>2452</v>
      </c>
      <c r="G468" t="s">
        <v>2453</v>
      </c>
      <c r="H468" s="23">
        <v>0.33333333333333331</v>
      </c>
      <c r="I468" t="s">
        <v>2688</v>
      </c>
      <c r="J468" t="s">
        <v>2616</v>
      </c>
      <c r="K468" t="s">
        <v>2625</v>
      </c>
      <c r="L468" t="s">
        <v>2614</v>
      </c>
      <c r="M468" t="s">
        <v>2617</v>
      </c>
      <c r="N468" s="6">
        <v>46009</v>
      </c>
      <c r="O468" t="s">
        <v>2459</v>
      </c>
      <c r="P468" t="s">
        <v>2445</v>
      </c>
      <c r="Q468" s="23">
        <v>0.3326736111111111</v>
      </c>
      <c r="R468" s="23">
        <v>0.54079861111111116</v>
      </c>
      <c r="S468">
        <v>17.87</v>
      </c>
      <c r="T468" t="s">
        <v>2443</v>
      </c>
      <c r="U468" t="s">
        <v>2618</v>
      </c>
      <c r="V468">
        <v>5</v>
      </c>
      <c r="W468">
        <v>5</v>
      </c>
      <c r="X468" t="s">
        <v>2689</v>
      </c>
      <c r="Y468" t="s">
        <v>2689</v>
      </c>
      <c r="Z468" t="s">
        <v>2689</v>
      </c>
      <c r="AA468" t="s">
        <v>2689</v>
      </c>
      <c r="AC468" t="s">
        <v>2689</v>
      </c>
      <c r="AD468" t="s">
        <v>2689</v>
      </c>
      <c r="AE468" t="s">
        <v>2689</v>
      </c>
      <c r="AF468" t="s">
        <v>2689</v>
      </c>
      <c r="AH468">
        <v>89.35</v>
      </c>
      <c r="AI468" t="s">
        <v>2690</v>
      </c>
      <c r="AJ468" t="s">
        <v>2690</v>
      </c>
      <c r="AK468" t="s">
        <v>2690</v>
      </c>
      <c r="AL468" t="s">
        <v>2690</v>
      </c>
      <c r="AP468">
        <v>89.35</v>
      </c>
      <c r="AR468" s="23">
        <v>0.3326736111111111</v>
      </c>
      <c r="AS468" s="23">
        <v>0.54079861111111116</v>
      </c>
      <c r="AT468" s="23">
        <v>0.33333333333333331</v>
      </c>
      <c r="AU468" s="23">
        <v>0.60416666666666663</v>
      </c>
      <c r="AV468" t="s">
        <v>2619</v>
      </c>
      <c r="BA468" t="s">
        <v>2765</v>
      </c>
      <c r="BD468" t="s">
        <v>2620</v>
      </c>
      <c r="BE468" t="s">
        <v>2621</v>
      </c>
      <c r="BG468">
        <v>0</v>
      </c>
      <c r="BH468">
        <v>0</v>
      </c>
      <c r="BJ468">
        <v>0</v>
      </c>
    </row>
    <row r="469" spans="1:62" x14ac:dyDescent="0.2">
      <c r="A469" t="s">
        <v>2614</v>
      </c>
      <c r="B469" t="s">
        <v>2614</v>
      </c>
      <c r="C469">
        <v>100087228</v>
      </c>
      <c r="D469" t="s">
        <v>2634</v>
      </c>
      <c r="E469" t="s">
        <v>2439</v>
      </c>
      <c r="F469" t="s">
        <v>2452</v>
      </c>
      <c r="G469" t="s">
        <v>2453</v>
      </c>
      <c r="H469" s="23">
        <v>0.33333333333333331</v>
      </c>
      <c r="I469" t="s">
        <v>2688</v>
      </c>
      <c r="J469" t="s">
        <v>2616</v>
      </c>
      <c r="K469" t="s">
        <v>2623</v>
      </c>
      <c r="L469" t="s">
        <v>2614</v>
      </c>
      <c r="M469" t="s">
        <v>2617</v>
      </c>
      <c r="N469" s="6">
        <v>45992</v>
      </c>
      <c r="O469" t="s">
        <v>2455</v>
      </c>
      <c r="P469" t="s">
        <v>2445</v>
      </c>
      <c r="Q469" s="23">
        <v>0.32980324074074074</v>
      </c>
      <c r="R469" s="23">
        <v>0.68380787037037039</v>
      </c>
      <c r="S469">
        <v>17.87</v>
      </c>
      <c r="T469" t="s">
        <v>2443</v>
      </c>
      <c r="U469" t="s">
        <v>2618</v>
      </c>
      <c r="V469">
        <v>8</v>
      </c>
      <c r="W469">
        <v>8</v>
      </c>
      <c r="X469" t="s">
        <v>2689</v>
      </c>
      <c r="Y469" t="s">
        <v>2689</v>
      </c>
      <c r="Z469" t="s">
        <v>2689</v>
      </c>
      <c r="AA469" t="s">
        <v>2689</v>
      </c>
      <c r="AC469" t="s">
        <v>2689</v>
      </c>
      <c r="AD469" t="s">
        <v>2689</v>
      </c>
      <c r="AE469" t="s">
        <v>2689</v>
      </c>
      <c r="AF469" t="s">
        <v>2689</v>
      </c>
      <c r="AH469">
        <v>142.96</v>
      </c>
      <c r="AI469" t="s">
        <v>2690</v>
      </c>
      <c r="AJ469" t="s">
        <v>2690</v>
      </c>
      <c r="AK469" t="s">
        <v>2690</v>
      </c>
      <c r="AL469" t="s">
        <v>2690</v>
      </c>
      <c r="AP469">
        <v>142.96</v>
      </c>
      <c r="AR469" s="23">
        <v>0.32980324074074074</v>
      </c>
      <c r="AS469" s="23">
        <v>0.68380787037037039</v>
      </c>
      <c r="AT469" s="23">
        <v>0.33333333333333331</v>
      </c>
      <c r="AU469" s="23">
        <v>0.6875</v>
      </c>
      <c r="AV469" t="s">
        <v>2619</v>
      </c>
      <c r="AY469">
        <v>0.5</v>
      </c>
      <c r="AZ469" t="s">
        <v>3219</v>
      </c>
      <c r="BA469" t="s">
        <v>2692</v>
      </c>
      <c r="BD469" t="s">
        <v>2620</v>
      </c>
      <c r="BE469" t="s">
        <v>2621</v>
      </c>
      <c r="BG469">
        <v>0</v>
      </c>
      <c r="BH469">
        <v>0</v>
      </c>
      <c r="BJ469">
        <v>0</v>
      </c>
    </row>
    <row r="470" spans="1:62" x14ac:dyDescent="0.2">
      <c r="A470" t="s">
        <v>2614</v>
      </c>
      <c r="B470" t="s">
        <v>2614</v>
      </c>
      <c r="C470">
        <v>100087228</v>
      </c>
      <c r="D470" t="s">
        <v>2634</v>
      </c>
      <c r="E470" t="s">
        <v>2439</v>
      </c>
      <c r="F470" t="s">
        <v>2782</v>
      </c>
      <c r="G470" t="s">
        <v>2783</v>
      </c>
      <c r="H470" s="23">
        <v>0.70833333333333337</v>
      </c>
      <c r="I470" t="s">
        <v>2696</v>
      </c>
      <c r="J470" t="s">
        <v>2616</v>
      </c>
      <c r="K470" t="s">
        <v>2625</v>
      </c>
      <c r="L470" t="s">
        <v>2614</v>
      </c>
      <c r="M470" t="s">
        <v>2617</v>
      </c>
      <c r="N470" s="6">
        <v>45994</v>
      </c>
      <c r="O470" t="s">
        <v>2458</v>
      </c>
      <c r="P470" t="s">
        <v>2445</v>
      </c>
      <c r="Q470" s="23">
        <v>0.56234953703703705</v>
      </c>
      <c r="R470" s="23">
        <v>0.8880555555555556</v>
      </c>
      <c r="S470">
        <v>17.87</v>
      </c>
      <c r="T470" t="s">
        <v>2443</v>
      </c>
      <c r="U470" t="s">
        <v>2618</v>
      </c>
      <c r="V470">
        <v>7.32</v>
      </c>
      <c r="W470">
        <v>7.32</v>
      </c>
      <c r="X470" t="s">
        <v>2689</v>
      </c>
      <c r="Y470" t="s">
        <v>2689</v>
      </c>
      <c r="Z470" t="s">
        <v>2689</v>
      </c>
      <c r="AA470" t="s">
        <v>2689</v>
      </c>
      <c r="AC470" t="s">
        <v>2689</v>
      </c>
      <c r="AD470" t="s">
        <v>2689</v>
      </c>
      <c r="AE470" t="s">
        <v>2689</v>
      </c>
      <c r="AF470" t="s">
        <v>2689</v>
      </c>
      <c r="AH470">
        <v>130.81</v>
      </c>
      <c r="AI470" t="s">
        <v>2690</v>
      </c>
      <c r="AJ470" t="s">
        <v>2690</v>
      </c>
      <c r="AK470" t="s">
        <v>2690</v>
      </c>
      <c r="AL470" t="s">
        <v>2690</v>
      </c>
      <c r="AP470">
        <v>130.81</v>
      </c>
      <c r="AR470" s="23">
        <v>0.56234953703703705</v>
      </c>
      <c r="AS470" s="23">
        <v>0.8880555555555556</v>
      </c>
      <c r="AT470" s="23">
        <v>0.5625</v>
      </c>
      <c r="AU470" s="23">
        <v>0.875</v>
      </c>
      <c r="AV470" t="s">
        <v>2619</v>
      </c>
      <c r="AY470">
        <v>0.5</v>
      </c>
      <c r="AZ470" t="s">
        <v>3220</v>
      </c>
      <c r="BA470" t="s">
        <v>2754</v>
      </c>
      <c r="BD470" t="s">
        <v>2620</v>
      </c>
      <c r="BE470" t="s">
        <v>2621</v>
      </c>
      <c r="BG470">
        <v>0</v>
      </c>
      <c r="BH470">
        <v>0</v>
      </c>
      <c r="BJ470">
        <v>0</v>
      </c>
    </row>
    <row r="471" spans="1:62" x14ac:dyDescent="0.2">
      <c r="A471" t="s">
        <v>2614</v>
      </c>
      <c r="B471" t="s">
        <v>2614</v>
      </c>
      <c r="C471">
        <v>100087228</v>
      </c>
      <c r="D471" t="s">
        <v>2634</v>
      </c>
      <c r="E471" t="s">
        <v>2439</v>
      </c>
      <c r="F471" t="s">
        <v>2804</v>
      </c>
      <c r="G471" t="s">
        <v>2805</v>
      </c>
      <c r="H471" s="23">
        <v>0.70833333333333337</v>
      </c>
      <c r="I471" t="s">
        <v>2696</v>
      </c>
      <c r="J471" t="s">
        <v>2616</v>
      </c>
      <c r="K471" t="s">
        <v>2632</v>
      </c>
      <c r="L471" t="s">
        <v>2614</v>
      </c>
      <c r="M471" t="s">
        <v>2617</v>
      </c>
      <c r="N471" s="6">
        <v>45995</v>
      </c>
      <c r="O471" t="s">
        <v>2459</v>
      </c>
      <c r="P471" t="s">
        <v>2445</v>
      </c>
      <c r="Q471" s="23">
        <v>0.56190972222222224</v>
      </c>
      <c r="R471" s="23">
        <v>0.83609953703703699</v>
      </c>
      <c r="S471">
        <v>17.87</v>
      </c>
      <c r="T471" t="s">
        <v>2443</v>
      </c>
      <c r="U471" t="s">
        <v>2618</v>
      </c>
      <c r="V471">
        <v>6.08</v>
      </c>
      <c r="W471">
        <v>6.08</v>
      </c>
      <c r="X471" t="s">
        <v>2689</v>
      </c>
      <c r="Y471" t="s">
        <v>2689</v>
      </c>
      <c r="Z471" t="s">
        <v>2689</v>
      </c>
      <c r="AA471" t="s">
        <v>2689</v>
      </c>
      <c r="AC471" t="s">
        <v>2689</v>
      </c>
      <c r="AD471" t="s">
        <v>2689</v>
      </c>
      <c r="AE471" t="s">
        <v>2689</v>
      </c>
      <c r="AF471" t="s">
        <v>2689</v>
      </c>
      <c r="AH471">
        <v>108.65</v>
      </c>
      <c r="AI471" t="s">
        <v>2690</v>
      </c>
      <c r="AJ471" t="s">
        <v>2690</v>
      </c>
      <c r="AK471" t="s">
        <v>2690</v>
      </c>
      <c r="AL471" t="s">
        <v>2690</v>
      </c>
      <c r="AP471">
        <v>108.65</v>
      </c>
      <c r="AR471" s="23">
        <v>0.56190972222222224</v>
      </c>
      <c r="AS471" s="23">
        <v>0.83609953703703699</v>
      </c>
      <c r="AT471" s="23">
        <v>0.5625</v>
      </c>
      <c r="AU471" s="23">
        <v>0.89583333333333337</v>
      </c>
      <c r="AV471" t="s">
        <v>2619</v>
      </c>
      <c r="AY471">
        <v>0.5</v>
      </c>
      <c r="AZ471" t="s">
        <v>3221</v>
      </c>
      <c r="BA471" t="s">
        <v>2754</v>
      </c>
      <c r="BD471" t="s">
        <v>2620</v>
      </c>
      <c r="BE471" t="s">
        <v>2621</v>
      </c>
      <c r="BG471">
        <v>0</v>
      </c>
      <c r="BH471">
        <v>0</v>
      </c>
      <c r="BJ471">
        <v>0</v>
      </c>
    </row>
    <row r="472" spans="1:62" x14ac:dyDescent="0.2">
      <c r="A472" t="s">
        <v>2614</v>
      </c>
      <c r="B472" t="s">
        <v>2614</v>
      </c>
      <c r="C472">
        <v>100087228</v>
      </c>
      <c r="D472" t="s">
        <v>2634</v>
      </c>
      <c r="E472" t="s">
        <v>2439</v>
      </c>
      <c r="F472" t="s">
        <v>2452</v>
      </c>
      <c r="G472" t="s">
        <v>2453</v>
      </c>
      <c r="H472" s="23">
        <v>0.33333333333333331</v>
      </c>
      <c r="I472" t="s">
        <v>2688</v>
      </c>
      <c r="J472" t="s">
        <v>2616</v>
      </c>
      <c r="K472" t="s">
        <v>2632</v>
      </c>
      <c r="L472" t="s">
        <v>2614</v>
      </c>
      <c r="M472" t="s">
        <v>2617</v>
      </c>
      <c r="N472" s="6">
        <v>45996</v>
      </c>
      <c r="O472" t="s">
        <v>2449</v>
      </c>
      <c r="P472" t="s">
        <v>2445</v>
      </c>
      <c r="Q472" s="23">
        <v>0.35283564814814816</v>
      </c>
      <c r="R472" s="23">
        <v>0.56125000000000003</v>
      </c>
      <c r="S472">
        <v>17.87</v>
      </c>
      <c r="T472" t="s">
        <v>2443</v>
      </c>
      <c r="U472" t="s">
        <v>2618</v>
      </c>
      <c r="V472">
        <v>5</v>
      </c>
      <c r="W472">
        <v>5</v>
      </c>
      <c r="X472" t="s">
        <v>2689</v>
      </c>
      <c r="Y472" t="s">
        <v>2689</v>
      </c>
      <c r="Z472" t="s">
        <v>2689</v>
      </c>
      <c r="AA472" t="s">
        <v>2689</v>
      </c>
      <c r="AC472" t="s">
        <v>2689</v>
      </c>
      <c r="AD472" t="s">
        <v>2689</v>
      </c>
      <c r="AE472" t="s">
        <v>2689</v>
      </c>
      <c r="AF472" t="s">
        <v>2689</v>
      </c>
      <c r="AH472">
        <v>89.35</v>
      </c>
      <c r="AI472" t="s">
        <v>2690</v>
      </c>
      <c r="AJ472" t="s">
        <v>2690</v>
      </c>
      <c r="AK472" t="s">
        <v>2690</v>
      </c>
      <c r="AL472" t="s">
        <v>2690</v>
      </c>
      <c r="AP472">
        <v>89.35</v>
      </c>
      <c r="AR472" s="23">
        <v>0.35283564814814816</v>
      </c>
      <c r="AS472" s="23">
        <v>0.56125000000000003</v>
      </c>
      <c r="AT472" s="23">
        <v>0.35416666666666669</v>
      </c>
      <c r="AU472" s="23">
        <v>0.6875</v>
      </c>
      <c r="AV472" t="s">
        <v>2619</v>
      </c>
      <c r="BA472" t="s">
        <v>2754</v>
      </c>
      <c r="BD472" t="s">
        <v>2620</v>
      </c>
      <c r="BE472" t="s">
        <v>2621</v>
      </c>
      <c r="BG472">
        <v>0</v>
      </c>
      <c r="BH472">
        <v>0</v>
      </c>
      <c r="BJ472">
        <v>0</v>
      </c>
    </row>
    <row r="473" spans="1:62" x14ac:dyDescent="0.2">
      <c r="A473" t="s">
        <v>2614</v>
      </c>
      <c r="B473" t="s">
        <v>2614</v>
      </c>
      <c r="C473">
        <v>100087228</v>
      </c>
      <c r="D473" t="s">
        <v>2634</v>
      </c>
      <c r="E473" t="s">
        <v>2439</v>
      </c>
      <c r="F473" t="s">
        <v>2452</v>
      </c>
      <c r="G473" t="s">
        <v>2453</v>
      </c>
      <c r="H473" s="23">
        <v>0.33333333333333331</v>
      </c>
      <c r="I473" t="s">
        <v>2688</v>
      </c>
      <c r="J473" t="s">
        <v>2616</v>
      </c>
      <c r="K473" t="s">
        <v>2622</v>
      </c>
      <c r="L473" t="s">
        <v>2614</v>
      </c>
      <c r="M473" t="s">
        <v>2617</v>
      </c>
      <c r="N473" s="6">
        <v>45998</v>
      </c>
      <c r="O473" t="s">
        <v>2461</v>
      </c>
      <c r="P473" t="s">
        <v>2442</v>
      </c>
      <c r="Q473" s="23">
        <v>0.37160879629629628</v>
      </c>
      <c r="R473" s="23">
        <v>0.68899305555555557</v>
      </c>
      <c r="S473">
        <v>17.87</v>
      </c>
      <c r="T473" t="s">
        <v>2443</v>
      </c>
      <c r="U473" t="s">
        <v>2618</v>
      </c>
      <c r="V473">
        <v>6.96</v>
      </c>
      <c r="W473">
        <v>6.96</v>
      </c>
      <c r="X473" t="s">
        <v>2689</v>
      </c>
      <c r="Y473" t="s">
        <v>2689</v>
      </c>
      <c r="Z473" t="s">
        <v>2689</v>
      </c>
      <c r="AA473" t="s">
        <v>2689</v>
      </c>
      <c r="AC473" t="s">
        <v>2689</v>
      </c>
      <c r="AD473" t="s">
        <v>2689</v>
      </c>
      <c r="AE473" t="s">
        <v>2689</v>
      </c>
      <c r="AF473" t="s">
        <v>2689</v>
      </c>
      <c r="AH473">
        <v>124.38</v>
      </c>
      <c r="AI473" t="s">
        <v>2690</v>
      </c>
      <c r="AJ473" t="s">
        <v>2690</v>
      </c>
      <c r="AK473" t="s">
        <v>2690</v>
      </c>
      <c r="AL473" t="s">
        <v>2690</v>
      </c>
      <c r="AP473">
        <v>124.38</v>
      </c>
      <c r="AR473" s="23">
        <v>0.37160879629629628</v>
      </c>
      <c r="AS473" s="23">
        <v>0.68899305555555557</v>
      </c>
      <c r="AT473" s="23">
        <v>0.375</v>
      </c>
      <c r="AU473" s="23">
        <v>0.70833333333333337</v>
      </c>
      <c r="AV473" t="s">
        <v>2619</v>
      </c>
      <c r="AY473">
        <v>0.66</v>
      </c>
      <c r="AZ473" t="s">
        <v>3222</v>
      </c>
      <c r="BA473" t="s">
        <v>2754</v>
      </c>
      <c r="BD473" t="s">
        <v>2620</v>
      </c>
      <c r="BE473" t="s">
        <v>2621</v>
      </c>
      <c r="BG473">
        <v>0</v>
      </c>
      <c r="BH473">
        <v>0</v>
      </c>
      <c r="BJ473">
        <v>0</v>
      </c>
    </row>
    <row r="474" spans="1:62" x14ac:dyDescent="0.2">
      <c r="A474" t="s">
        <v>2614</v>
      </c>
      <c r="B474" t="s">
        <v>2614</v>
      </c>
      <c r="C474">
        <v>100087228</v>
      </c>
      <c r="D474" t="s">
        <v>2634</v>
      </c>
      <c r="E474" t="s">
        <v>2439</v>
      </c>
      <c r="F474" t="s">
        <v>2786</v>
      </c>
      <c r="G474" t="s">
        <v>2787</v>
      </c>
      <c r="H474" s="23">
        <v>0.66666666666666663</v>
      </c>
      <c r="I474" t="s">
        <v>2696</v>
      </c>
      <c r="J474" t="s">
        <v>2616</v>
      </c>
      <c r="K474" t="s">
        <v>2623</v>
      </c>
      <c r="L474" t="s">
        <v>2614</v>
      </c>
      <c r="M474" t="s">
        <v>2617</v>
      </c>
      <c r="N474" s="6">
        <v>45999</v>
      </c>
      <c r="O474" t="s">
        <v>2455</v>
      </c>
      <c r="P474" t="s">
        <v>2445</v>
      </c>
      <c r="Q474" s="23">
        <v>0.53487268518518516</v>
      </c>
      <c r="R474" s="23">
        <v>0.88206018518518514</v>
      </c>
      <c r="S474">
        <v>17.87</v>
      </c>
      <c r="T474" t="s">
        <v>2443</v>
      </c>
      <c r="U474" t="s">
        <v>2618</v>
      </c>
      <c r="V474">
        <v>7.83</v>
      </c>
      <c r="W474">
        <v>7.83</v>
      </c>
      <c r="X474" t="s">
        <v>2689</v>
      </c>
      <c r="Y474" t="s">
        <v>2689</v>
      </c>
      <c r="Z474" t="s">
        <v>2689</v>
      </c>
      <c r="AA474" t="s">
        <v>2689</v>
      </c>
      <c r="AC474" t="s">
        <v>2689</v>
      </c>
      <c r="AD474" t="s">
        <v>2689</v>
      </c>
      <c r="AE474" t="s">
        <v>2689</v>
      </c>
      <c r="AF474" t="s">
        <v>2689</v>
      </c>
      <c r="AH474">
        <v>139.91999999999999</v>
      </c>
      <c r="AI474" t="s">
        <v>2690</v>
      </c>
      <c r="AJ474" t="s">
        <v>2690</v>
      </c>
      <c r="AK474" t="s">
        <v>2690</v>
      </c>
      <c r="AL474" t="s">
        <v>2690</v>
      </c>
      <c r="AP474">
        <v>139.91999999999999</v>
      </c>
      <c r="AR474" s="23">
        <v>0.53487268518518516</v>
      </c>
      <c r="AS474" s="23">
        <v>0.88206018518518514</v>
      </c>
      <c r="AT474" s="23">
        <v>0.54166666666666663</v>
      </c>
      <c r="AU474" s="23">
        <v>0.875</v>
      </c>
      <c r="AV474" t="s">
        <v>2619</v>
      </c>
      <c r="AY474">
        <v>0.5</v>
      </c>
      <c r="AZ474" t="s">
        <v>3223</v>
      </c>
      <c r="BA474" t="s">
        <v>2757</v>
      </c>
      <c r="BD474" t="s">
        <v>2620</v>
      </c>
      <c r="BE474" t="s">
        <v>2621</v>
      </c>
      <c r="BG474">
        <v>0</v>
      </c>
      <c r="BH474">
        <v>0</v>
      </c>
      <c r="BJ474">
        <v>0</v>
      </c>
    </row>
    <row r="475" spans="1:62" x14ac:dyDescent="0.2">
      <c r="A475" t="s">
        <v>2614</v>
      </c>
      <c r="B475" t="s">
        <v>2614</v>
      </c>
      <c r="C475">
        <v>100087228</v>
      </c>
      <c r="D475" t="s">
        <v>2634</v>
      </c>
      <c r="E475" t="s">
        <v>2439</v>
      </c>
      <c r="F475" t="s">
        <v>2452</v>
      </c>
      <c r="G475" t="s">
        <v>2453</v>
      </c>
      <c r="H475" s="23">
        <v>0.33333333333333331</v>
      </c>
      <c r="I475" t="s">
        <v>2688</v>
      </c>
      <c r="J475" t="s">
        <v>2616</v>
      </c>
      <c r="K475" t="s">
        <v>2632</v>
      </c>
      <c r="L475" t="s">
        <v>2614</v>
      </c>
      <c r="M475" t="s">
        <v>2617</v>
      </c>
      <c r="N475" s="6">
        <v>46001</v>
      </c>
      <c r="O475" t="s">
        <v>2458</v>
      </c>
      <c r="P475" t="s">
        <v>2445</v>
      </c>
      <c r="Q475" s="23">
        <v>0.36820601851851853</v>
      </c>
      <c r="R475" s="23">
        <v>0.70322916666666668</v>
      </c>
      <c r="S475">
        <v>17.87</v>
      </c>
      <c r="T475" t="s">
        <v>2443</v>
      </c>
      <c r="U475" t="s">
        <v>2618</v>
      </c>
      <c r="V475">
        <v>7.54</v>
      </c>
      <c r="W475">
        <v>7.54</v>
      </c>
      <c r="X475" t="s">
        <v>2689</v>
      </c>
      <c r="Y475" t="s">
        <v>2689</v>
      </c>
      <c r="Z475" t="s">
        <v>2689</v>
      </c>
      <c r="AA475" t="s">
        <v>2689</v>
      </c>
      <c r="AC475" t="s">
        <v>2689</v>
      </c>
      <c r="AD475" t="s">
        <v>2689</v>
      </c>
      <c r="AE475" t="s">
        <v>2689</v>
      </c>
      <c r="AF475" t="s">
        <v>2689</v>
      </c>
      <c r="AH475">
        <v>134.74</v>
      </c>
      <c r="AI475" t="s">
        <v>2690</v>
      </c>
      <c r="AJ475" t="s">
        <v>2690</v>
      </c>
      <c r="AK475" t="s">
        <v>2690</v>
      </c>
      <c r="AL475" t="s">
        <v>2690</v>
      </c>
      <c r="AP475">
        <v>134.74</v>
      </c>
      <c r="AR475" s="23">
        <v>0.36820601851851853</v>
      </c>
      <c r="AS475" s="23">
        <v>0.70322916666666668</v>
      </c>
      <c r="AT475" s="23">
        <v>0.375</v>
      </c>
      <c r="AU475" s="23">
        <v>0.70833333333333337</v>
      </c>
      <c r="AV475" t="s">
        <v>2619</v>
      </c>
      <c r="AY475">
        <v>0.5</v>
      </c>
      <c r="AZ475" t="s">
        <v>3224</v>
      </c>
      <c r="BA475" t="s">
        <v>2759</v>
      </c>
      <c r="BD475" t="s">
        <v>2620</v>
      </c>
      <c r="BE475" t="s">
        <v>2621</v>
      </c>
      <c r="BG475">
        <v>0</v>
      </c>
      <c r="BH475">
        <v>0</v>
      </c>
      <c r="BJ475">
        <v>0</v>
      </c>
    </row>
    <row r="476" spans="1:62" x14ac:dyDescent="0.2">
      <c r="A476" t="s">
        <v>2614</v>
      </c>
      <c r="B476" t="s">
        <v>2614</v>
      </c>
      <c r="C476">
        <v>100087228</v>
      </c>
      <c r="D476" t="s">
        <v>2634</v>
      </c>
      <c r="E476" t="s">
        <v>2439</v>
      </c>
      <c r="F476" t="s">
        <v>2791</v>
      </c>
      <c r="G476" t="s">
        <v>2792</v>
      </c>
      <c r="H476" s="23">
        <v>0.79166666666666663</v>
      </c>
      <c r="I476" t="s">
        <v>2696</v>
      </c>
      <c r="J476" t="s">
        <v>2616</v>
      </c>
      <c r="K476" t="s">
        <v>2632</v>
      </c>
      <c r="L476" t="s">
        <v>2614</v>
      </c>
      <c r="M476" t="s">
        <v>2617</v>
      </c>
      <c r="N476" s="6">
        <v>46002</v>
      </c>
      <c r="O476" t="s">
        <v>2459</v>
      </c>
      <c r="P476" t="s">
        <v>2445</v>
      </c>
      <c r="Q476" s="23">
        <v>0.67697916666666669</v>
      </c>
      <c r="R476" s="23">
        <v>2.1562499999999998E-2</v>
      </c>
      <c r="S476">
        <v>17.87</v>
      </c>
      <c r="T476" t="s">
        <v>2443</v>
      </c>
      <c r="U476" t="s">
        <v>2618</v>
      </c>
      <c r="V476">
        <v>7.77</v>
      </c>
      <c r="W476">
        <v>7.77</v>
      </c>
      <c r="X476" t="s">
        <v>2689</v>
      </c>
      <c r="Y476" t="s">
        <v>2689</v>
      </c>
      <c r="Z476" t="s">
        <v>2689</v>
      </c>
      <c r="AA476" t="s">
        <v>2689</v>
      </c>
      <c r="AC476" t="s">
        <v>2689</v>
      </c>
      <c r="AD476" t="s">
        <v>2689</v>
      </c>
      <c r="AE476" t="s">
        <v>2689</v>
      </c>
      <c r="AF476" t="s">
        <v>2689</v>
      </c>
      <c r="AH476">
        <v>138.85</v>
      </c>
      <c r="AI476" t="s">
        <v>2690</v>
      </c>
      <c r="AJ476" t="s">
        <v>2690</v>
      </c>
      <c r="AK476" t="s">
        <v>2690</v>
      </c>
      <c r="AL476" t="s">
        <v>2690</v>
      </c>
      <c r="AP476">
        <v>138.85</v>
      </c>
      <c r="AQ476" t="s">
        <v>2442</v>
      </c>
      <c r="AR476" s="23">
        <v>0.67697916666666669</v>
      </c>
      <c r="AS476" s="23">
        <v>2.1562499999999998E-2</v>
      </c>
      <c r="AT476" s="23">
        <v>0.66666666666666663</v>
      </c>
      <c r="AU476" s="24">
        <v>1</v>
      </c>
      <c r="AV476" t="s">
        <v>2619</v>
      </c>
      <c r="AY476">
        <v>0.5</v>
      </c>
      <c r="AZ476" t="s">
        <v>3225</v>
      </c>
      <c r="BA476" t="s">
        <v>2759</v>
      </c>
      <c r="BD476" t="s">
        <v>2620</v>
      </c>
      <c r="BE476" t="s">
        <v>2621</v>
      </c>
      <c r="BG476">
        <v>0</v>
      </c>
      <c r="BH476">
        <v>0</v>
      </c>
      <c r="BJ476">
        <v>0</v>
      </c>
    </row>
    <row r="477" spans="1:62" x14ac:dyDescent="0.2">
      <c r="A477" t="s">
        <v>2614</v>
      </c>
      <c r="B477" t="s">
        <v>2614</v>
      </c>
      <c r="C477">
        <v>100087228</v>
      </c>
      <c r="D477" t="s">
        <v>2634</v>
      </c>
      <c r="E477" t="s">
        <v>2439</v>
      </c>
      <c r="F477" t="s">
        <v>2794</v>
      </c>
      <c r="G477" t="s">
        <v>2795</v>
      </c>
      <c r="H477" s="23">
        <v>0.79166666666666663</v>
      </c>
      <c r="I477" t="s">
        <v>2696</v>
      </c>
      <c r="J477" t="s">
        <v>2616</v>
      </c>
      <c r="K477" t="s">
        <v>2623</v>
      </c>
      <c r="L477" t="s">
        <v>2614</v>
      </c>
      <c r="M477" t="s">
        <v>2617</v>
      </c>
      <c r="N477" s="6">
        <v>46003</v>
      </c>
      <c r="O477" t="s">
        <v>2449</v>
      </c>
      <c r="P477" t="s">
        <v>2445</v>
      </c>
      <c r="Q477" s="23">
        <v>0.66391203703703705</v>
      </c>
      <c r="R477" s="23">
        <v>1.8981481481481482E-3</v>
      </c>
      <c r="S477">
        <v>17.87</v>
      </c>
      <c r="T477" t="s">
        <v>2443</v>
      </c>
      <c r="U477" t="s">
        <v>2618</v>
      </c>
      <c r="V477">
        <v>7.61</v>
      </c>
      <c r="W477">
        <v>7.61</v>
      </c>
      <c r="X477" t="s">
        <v>2689</v>
      </c>
      <c r="Y477" t="s">
        <v>2689</v>
      </c>
      <c r="Z477" t="s">
        <v>2689</v>
      </c>
      <c r="AA477" t="s">
        <v>2689</v>
      </c>
      <c r="AC477" t="s">
        <v>2689</v>
      </c>
      <c r="AD477" t="s">
        <v>2689</v>
      </c>
      <c r="AE477" t="s">
        <v>2689</v>
      </c>
      <c r="AF477" t="s">
        <v>2689</v>
      </c>
      <c r="AH477">
        <v>135.99</v>
      </c>
      <c r="AI477" t="s">
        <v>2690</v>
      </c>
      <c r="AJ477" t="s">
        <v>2690</v>
      </c>
      <c r="AK477" t="s">
        <v>2690</v>
      </c>
      <c r="AL477" t="s">
        <v>2690</v>
      </c>
      <c r="AP477">
        <v>135.99</v>
      </c>
      <c r="AR477" s="23">
        <v>0.66391203703703705</v>
      </c>
      <c r="AS477" s="23">
        <v>1.8981481481481482E-3</v>
      </c>
      <c r="AT477" s="23">
        <v>0.66666666666666663</v>
      </c>
      <c r="AU477" s="24">
        <v>1</v>
      </c>
      <c r="AV477" t="s">
        <v>2619</v>
      </c>
      <c r="AY477">
        <v>0.5</v>
      </c>
      <c r="AZ477" t="s">
        <v>3226</v>
      </c>
      <c r="BA477" t="s">
        <v>2798</v>
      </c>
      <c r="BD477" t="s">
        <v>2620</v>
      </c>
      <c r="BE477" t="s">
        <v>2621</v>
      </c>
      <c r="BG477">
        <v>0</v>
      </c>
      <c r="BH477">
        <v>0</v>
      </c>
      <c r="BJ477">
        <v>0</v>
      </c>
    </row>
    <row r="478" spans="1:62" x14ac:dyDescent="0.2">
      <c r="A478" t="s">
        <v>2614</v>
      </c>
      <c r="B478" t="s">
        <v>2614</v>
      </c>
      <c r="C478">
        <v>100087228</v>
      </c>
      <c r="D478" t="s">
        <v>2634</v>
      </c>
      <c r="E478" t="s">
        <v>2439</v>
      </c>
      <c r="F478" t="s">
        <v>2452</v>
      </c>
      <c r="G478" t="s">
        <v>2453</v>
      </c>
      <c r="H478" s="23">
        <v>0.33333333333333331</v>
      </c>
      <c r="I478" t="s">
        <v>2688</v>
      </c>
      <c r="J478" t="s">
        <v>2616</v>
      </c>
      <c r="K478" t="s">
        <v>2622</v>
      </c>
      <c r="L478" t="s">
        <v>2614</v>
      </c>
      <c r="M478" t="s">
        <v>2617</v>
      </c>
      <c r="N478" s="6">
        <v>46009</v>
      </c>
      <c r="O478" t="s">
        <v>2459</v>
      </c>
      <c r="P478" t="s">
        <v>2445</v>
      </c>
      <c r="Q478" s="23">
        <v>0.32670138888888889</v>
      </c>
      <c r="R478" s="23">
        <v>0.54138888888888892</v>
      </c>
      <c r="S478">
        <v>17.87</v>
      </c>
      <c r="T478" t="s">
        <v>2443</v>
      </c>
      <c r="U478" t="s">
        <v>2618</v>
      </c>
      <c r="V478">
        <v>5.15</v>
      </c>
      <c r="W478">
        <v>5.15</v>
      </c>
      <c r="X478" t="s">
        <v>2689</v>
      </c>
      <c r="Y478" t="s">
        <v>2689</v>
      </c>
      <c r="Z478" t="s">
        <v>2689</v>
      </c>
      <c r="AA478" t="s">
        <v>2689</v>
      </c>
      <c r="AC478" t="s">
        <v>2689</v>
      </c>
      <c r="AD478" t="s">
        <v>2689</v>
      </c>
      <c r="AE478" t="s">
        <v>2689</v>
      </c>
      <c r="AF478" t="s">
        <v>2689</v>
      </c>
      <c r="AH478">
        <v>92.03</v>
      </c>
      <c r="AI478" t="s">
        <v>2690</v>
      </c>
      <c r="AJ478" t="s">
        <v>2690</v>
      </c>
      <c r="AK478" t="s">
        <v>2690</v>
      </c>
      <c r="AL478" t="s">
        <v>2690</v>
      </c>
      <c r="AP478">
        <v>92.03</v>
      </c>
      <c r="AR478" s="23">
        <v>0.32670138888888889</v>
      </c>
      <c r="AS478" s="23">
        <v>0.54138888888888892</v>
      </c>
      <c r="AT478" s="23">
        <v>0.33333333333333331</v>
      </c>
      <c r="AU478" s="23">
        <v>0.60416666666666663</v>
      </c>
      <c r="AV478" t="s">
        <v>2619</v>
      </c>
      <c r="BA478" t="s">
        <v>2765</v>
      </c>
      <c r="BD478" t="s">
        <v>2620</v>
      </c>
      <c r="BE478" t="s">
        <v>2621</v>
      </c>
      <c r="BG478">
        <v>0</v>
      </c>
      <c r="BH478">
        <v>0</v>
      </c>
      <c r="BJ478">
        <v>0</v>
      </c>
    </row>
    <row r="479" spans="1:62" x14ac:dyDescent="0.2">
      <c r="A479" t="s">
        <v>2614</v>
      </c>
      <c r="B479" t="s">
        <v>2614</v>
      </c>
      <c r="C479">
        <v>100090858</v>
      </c>
      <c r="D479" t="s">
        <v>2746</v>
      </c>
      <c r="E479" t="s">
        <v>2439</v>
      </c>
      <c r="F479" t="s">
        <v>2452</v>
      </c>
      <c r="G479" t="s">
        <v>2453</v>
      </c>
      <c r="H479" s="23">
        <v>0.33333333333333331</v>
      </c>
      <c r="I479" t="s">
        <v>2688</v>
      </c>
      <c r="J479" t="s">
        <v>2636</v>
      </c>
      <c r="K479" t="s">
        <v>2670</v>
      </c>
      <c r="L479" t="s">
        <v>2614</v>
      </c>
      <c r="M479" t="s">
        <v>2614</v>
      </c>
      <c r="N479" s="6">
        <v>45992</v>
      </c>
      <c r="O479" t="s">
        <v>2455</v>
      </c>
      <c r="P479" t="s">
        <v>2445</v>
      </c>
      <c r="Q479" s="23">
        <v>0.33</v>
      </c>
      <c r="R479" s="23">
        <v>0.68392361111111111</v>
      </c>
      <c r="S479">
        <v>17.87</v>
      </c>
      <c r="T479" t="s">
        <v>2443</v>
      </c>
      <c r="U479" t="s">
        <v>2618</v>
      </c>
      <c r="V479">
        <v>7.89</v>
      </c>
      <c r="W479">
        <v>7.89</v>
      </c>
      <c r="X479" t="s">
        <v>2689</v>
      </c>
      <c r="Y479" t="s">
        <v>2689</v>
      </c>
      <c r="Z479" t="s">
        <v>2689</v>
      </c>
      <c r="AA479" t="s">
        <v>2689</v>
      </c>
      <c r="AC479" t="s">
        <v>2689</v>
      </c>
      <c r="AD479" t="s">
        <v>2689</v>
      </c>
      <c r="AE479" t="s">
        <v>2689</v>
      </c>
      <c r="AF479" t="s">
        <v>2689</v>
      </c>
      <c r="AH479">
        <v>140.99</v>
      </c>
      <c r="AI479" t="s">
        <v>2690</v>
      </c>
      <c r="AJ479" t="s">
        <v>2690</v>
      </c>
      <c r="AK479" t="s">
        <v>2690</v>
      </c>
      <c r="AL479" t="s">
        <v>2690</v>
      </c>
      <c r="AP479">
        <v>140.99</v>
      </c>
      <c r="AR479" s="23">
        <v>0.33</v>
      </c>
      <c r="AS479" s="23">
        <v>0.68392361111111111</v>
      </c>
      <c r="AT479" s="23">
        <v>0.33333333333333331</v>
      </c>
      <c r="AU479" s="23">
        <v>0.6875</v>
      </c>
      <c r="AV479" t="s">
        <v>2619</v>
      </c>
      <c r="AY479">
        <v>0.61</v>
      </c>
      <c r="AZ479" t="s">
        <v>3227</v>
      </c>
      <c r="BA479" t="s">
        <v>2692</v>
      </c>
      <c r="BD479" t="s">
        <v>2620</v>
      </c>
      <c r="BE479" t="s">
        <v>2621</v>
      </c>
      <c r="BG479">
        <v>0</v>
      </c>
      <c r="BH479">
        <v>0</v>
      </c>
      <c r="BJ479">
        <v>0</v>
      </c>
    </row>
    <row r="480" spans="1:62" x14ac:dyDescent="0.2">
      <c r="A480" t="s">
        <v>2614</v>
      </c>
      <c r="B480" t="s">
        <v>2614</v>
      </c>
      <c r="C480">
        <v>100090858</v>
      </c>
      <c r="D480" t="s">
        <v>2746</v>
      </c>
      <c r="E480" t="s">
        <v>2439</v>
      </c>
      <c r="F480" t="s">
        <v>2452</v>
      </c>
      <c r="G480" t="s">
        <v>2453</v>
      </c>
      <c r="H480" s="23">
        <v>0.33333333333333331</v>
      </c>
      <c r="I480" t="s">
        <v>2688</v>
      </c>
      <c r="J480" t="s">
        <v>2616</v>
      </c>
      <c r="K480" t="s">
        <v>3228</v>
      </c>
      <c r="L480" t="s">
        <v>2614</v>
      </c>
      <c r="M480" t="s">
        <v>2617</v>
      </c>
      <c r="N480" s="6">
        <v>46001</v>
      </c>
      <c r="O480" t="s">
        <v>2458</v>
      </c>
      <c r="P480" t="s">
        <v>2445</v>
      </c>
      <c r="Q480" s="23">
        <v>0.38091435185185185</v>
      </c>
      <c r="R480" s="23">
        <v>0.70400462962962962</v>
      </c>
      <c r="S480">
        <v>17.87</v>
      </c>
      <c r="T480" t="s">
        <v>2443</v>
      </c>
      <c r="U480" t="s">
        <v>2618</v>
      </c>
      <c r="V480">
        <v>7.25</v>
      </c>
      <c r="W480">
        <v>7.25</v>
      </c>
      <c r="X480" t="s">
        <v>2689</v>
      </c>
      <c r="Y480" t="s">
        <v>2689</v>
      </c>
      <c r="Z480" t="s">
        <v>2689</v>
      </c>
      <c r="AA480" t="s">
        <v>2689</v>
      </c>
      <c r="AC480" t="s">
        <v>2689</v>
      </c>
      <c r="AD480" t="s">
        <v>2689</v>
      </c>
      <c r="AE480" t="s">
        <v>2689</v>
      </c>
      <c r="AF480" t="s">
        <v>2689</v>
      </c>
      <c r="AH480">
        <v>129.56</v>
      </c>
      <c r="AI480" t="s">
        <v>2690</v>
      </c>
      <c r="AJ480" t="s">
        <v>2690</v>
      </c>
      <c r="AK480" t="s">
        <v>2690</v>
      </c>
      <c r="AL480" t="s">
        <v>2690</v>
      </c>
      <c r="AP480">
        <v>129.56</v>
      </c>
      <c r="AR480" s="23">
        <v>0.38091435185185185</v>
      </c>
      <c r="AS480" s="23">
        <v>0.70400462962962962</v>
      </c>
      <c r="AT480" s="23">
        <v>0.375</v>
      </c>
      <c r="AU480" s="23">
        <v>0.70833333333333337</v>
      </c>
      <c r="AV480" t="s">
        <v>2619</v>
      </c>
      <c r="AY480">
        <v>0.5</v>
      </c>
      <c r="AZ480" t="s">
        <v>3229</v>
      </c>
      <c r="BA480" t="s">
        <v>2759</v>
      </c>
      <c r="BD480" t="s">
        <v>2620</v>
      </c>
      <c r="BE480" t="s">
        <v>2621</v>
      </c>
      <c r="BG480">
        <v>0</v>
      </c>
      <c r="BH480">
        <v>0</v>
      </c>
      <c r="BJ480">
        <v>0</v>
      </c>
    </row>
    <row r="481" spans="1:62" x14ac:dyDescent="0.2">
      <c r="A481" t="s">
        <v>2614</v>
      </c>
      <c r="B481" t="s">
        <v>2614</v>
      </c>
      <c r="C481">
        <v>100090858</v>
      </c>
      <c r="D481" t="s">
        <v>2746</v>
      </c>
      <c r="E481" t="s">
        <v>2439</v>
      </c>
      <c r="F481" t="s">
        <v>2791</v>
      </c>
      <c r="G481" t="s">
        <v>2792</v>
      </c>
      <c r="H481" s="23">
        <v>0.79166666666666663</v>
      </c>
      <c r="I481" t="s">
        <v>2696</v>
      </c>
      <c r="J481" t="s">
        <v>2616</v>
      </c>
      <c r="K481" t="s">
        <v>2623</v>
      </c>
      <c r="L481" t="s">
        <v>2614</v>
      </c>
      <c r="M481" t="s">
        <v>2617</v>
      </c>
      <c r="N481" s="6">
        <v>46002</v>
      </c>
      <c r="O481" t="s">
        <v>2459</v>
      </c>
      <c r="P481" t="s">
        <v>2445</v>
      </c>
      <c r="Q481" s="23">
        <v>0.66489583333333335</v>
      </c>
      <c r="R481" s="23">
        <v>0.99898148148148147</v>
      </c>
      <c r="S481">
        <v>17.87</v>
      </c>
      <c r="T481" t="s">
        <v>2443</v>
      </c>
      <c r="U481" t="s">
        <v>2618</v>
      </c>
      <c r="V481">
        <v>7.52</v>
      </c>
      <c r="W481">
        <v>7.52</v>
      </c>
      <c r="X481" t="s">
        <v>2689</v>
      </c>
      <c r="Y481" t="s">
        <v>2689</v>
      </c>
      <c r="Z481" t="s">
        <v>2689</v>
      </c>
      <c r="AA481" t="s">
        <v>2689</v>
      </c>
      <c r="AC481" t="s">
        <v>2689</v>
      </c>
      <c r="AD481" t="s">
        <v>2689</v>
      </c>
      <c r="AE481" t="s">
        <v>2689</v>
      </c>
      <c r="AF481" t="s">
        <v>2689</v>
      </c>
      <c r="AH481">
        <v>134.38</v>
      </c>
      <c r="AI481" t="s">
        <v>2690</v>
      </c>
      <c r="AJ481" t="s">
        <v>2690</v>
      </c>
      <c r="AK481" t="s">
        <v>2690</v>
      </c>
      <c r="AL481" t="s">
        <v>2690</v>
      </c>
      <c r="AP481">
        <v>134.38</v>
      </c>
      <c r="AR481" s="23">
        <v>0.66489583333333335</v>
      </c>
      <c r="AS481" s="23">
        <v>0.99898148148148147</v>
      </c>
      <c r="AT481" s="23">
        <v>0.66666666666666663</v>
      </c>
      <c r="AU481" s="24">
        <v>1</v>
      </c>
      <c r="AV481" t="s">
        <v>2619</v>
      </c>
      <c r="AY481">
        <v>0.5</v>
      </c>
      <c r="AZ481" t="s">
        <v>3230</v>
      </c>
      <c r="BA481" t="s">
        <v>2759</v>
      </c>
      <c r="BD481" t="s">
        <v>2620</v>
      </c>
      <c r="BE481" t="s">
        <v>2621</v>
      </c>
      <c r="BG481">
        <v>0</v>
      </c>
      <c r="BH481">
        <v>0</v>
      </c>
      <c r="BJ481">
        <v>0</v>
      </c>
    </row>
    <row r="482" spans="1:62" x14ac:dyDescent="0.2">
      <c r="A482" t="s">
        <v>2614</v>
      </c>
      <c r="B482" t="s">
        <v>2614</v>
      </c>
      <c r="C482">
        <v>100090858</v>
      </c>
      <c r="D482" t="s">
        <v>2746</v>
      </c>
      <c r="E482" t="s">
        <v>2439</v>
      </c>
      <c r="F482" t="s">
        <v>2452</v>
      </c>
      <c r="G482" t="s">
        <v>2453</v>
      </c>
      <c r="H482" s="23">
        <v>0.33333333333333331</v>
      </c>
      <c r="I482" t="s">
        <v>2688</v>
      </c>
      <c r="J482" t="s">
        <v>2616</v>
      </c>
      <c r="K482" t="s">
        <v>2625</v>
      </c>
      <c r="L482" t="s">
        <v>2614</v>
      </c>
      <c r="M482" t="s">
        <v>2617</v>
      </c>
      <c r="N482" s="6">
        <v>46008</v>
      </c>
      <c r="O482" t="s">
        <v>2458</v>
      </c>
      <c r="P482" t="s">
        <v>2445</v>
      </c>
      <c r="Q482" s="23">
        <v>0.32846064814814813</v>
      </c>
      <c r="R482" s="23">
        <v>0.53905092592592596</v>
      </c>
      <c r="S482">
        <v>17.87</v>
      </c>
      <c r="T482" t="s">
        <v>2443</v>
      </c>
      <c r="U482" t="s">
        <v>2618</v>
      </c>
      <c r="V482">
        <v>5.05</v>
      </c>
      <c r="W482">
        <v>5.05</v>
      </c>
      <c r="X482" t="s">
        <v>2689</v>
      </c>
      <c r="Y482" t="s">
        <v>2689</v>
      </c>
      <c r="Z482" t="s">
        <v>2689</v>
      </c>
      <c r="AA482" t="s">
        <v>2689</v>
      </c>
      <c r="AC482" t="s">
        <v>2689</v>
      </c>
      <c r="AD482" t="s">
        <v>2689</v>
      </c>
      <c r="AE482" t="s">
        <v>2689</v>
      </c>
      <c r="AF482" t="s">
        <v>2689</v>
      </c>
      <c r="AH482">
        <v>90.24</v>
      </c>
      <c r="AI482" t="s">
        <v>2690</v>
      </c>
      <c r="AJ482" t="s">
        <v>2690</v>
      </c>
      <c r="AK482" t="s">
        <v>2690</v>
      </c>
      <c r="AL482" t="s">
        <v>2690</v>
      </c>
      <c r="AP482">
        <v>90.24</v>
      </c>
      <c r="AR482" s="23">
        <v>0.32846064814814813</v>
      </c>
      <c r="AS482" s="23">
        <v>0.53905092592592596</v>
      </c>
      <c r="AT482" s="23">
        <v>0.33333333333333331</v>
      </c>
      <c r="AU482" s="23">
        <v>0.54166666666666663</v>
      </c>
      <c r="AV482" t="s">
        <v>2619</v>
      </c>
      <c r="BA482" t="s">
        <v>2771</v>
      </c>
      <c r="BD482" t="s">
        <v>2620</v>
      </c>
      <c r="BE482" t="s">
        <v>2621</v>
      </c>
      <c r="BG482">
        <v>0</v>
      </c>
      <c r="BH482">
        <v>0</v>
      </c>
      <c r="BJ482">
        <v>0</v>
      </c>
    </row>
    <row r="483" spans="1:62" x14ac:dyDescent="0.2">
      <c r="A483" t="s">
        <v>2614</v>
      </c>
      <c r="B483" t="s">
        <v>2614</v>
      </c>
      <c r="C483">
        <v>100090858</v>
      </c>
      <c r="D483" t="s">
        <v>2746</v>
      </c>
      <c r="E483" t="s">
        <v>2439</v>
      </c>
      <c r="F483" t="s">
        <v>2452</v>
      </c>
      <c r="G483" t="s">
        <v>2453</v>
      </c>
      <c r="H483" s="23">
        <v>0.33333333333333331</v>
      </c>
      <c r="I483" t="s">
        <v>2688</v>
      </c>
      <c r="J483" t="s">
        <v>2616</v>
      </c>
      <c r="K483" t="s">
        <v>2680</v>
      </c>
      <c r="L483" t="s">
        <v>2614</v>
      </c>
      <c r="M483" t="s">
        <v>2617</v>
      </c>
      <c r="N483" s="6">
        <v>46009</v>
      </c>
      <c r="O483" t="s">
        <v>2459</v>
      </c>
      <c r="P483" t="s">
        <v>2445</v>
      </c>
      <c r="Q483" s="23">
        <v>0.33291666666666669</v>
      </c>
      <c r="R483" s="23">
        <v>0.54041666666666666</v>
      </c>
      <c r="S483">
        <v>17.87</v>
      </c>
      <c r="T483" t="s">
        <v>2443</v>
      </c>
      <c r="U483" t="s">
        <v>2618</v>
      </c>
      <c r="V483">
        <v>4.9800000000000004</v>
      </c>
      <c r="W483">
        <v>4.9800000000000004</v>
      </c>
      <c r="X483" t="s">
        <v>2689</v>
      </c>
      <c r="Y483" t="s">
        <v>2689</v>
      </c>
      <c r="Z483" t="s">
        <v>2689</v>
      </c>
      <c r="AA483" t="s">
        <v>2689</v>
      </c>
      <c r="AC483" t="s">
        <v>2689</v>
      </c>
      <c r="AD483" t="s">
        <v>2689</v>
      </c>
      <c r="AE483" t="s">
        <v>2689</v>
      </c>
      <c r="AF483" t="s">
        <v>2689</v>
      </c>
      <c r="AH483">
        <v>88.99</v>
      </c>
      <c r="AI483" t="s">
        <v>2690</v>
      </c>
      <c r="AJ483" t="s">
        <v>2690</v>
      </c>
      <c r="AK483" t="s">
        <v>2690</v>
      </c>
      <c r="AL483" t="s">
        <v>2690</v>
      </c>
      <c r="AP483">
        <v>88.99</v>
      </c>
      <c r="AR483" s="23">
        <v>0.33291666666666669</v>
      </c>
      <c r="AS483" s="23">
        <v>0.54041666666666666</v>
      </c>
      <c r="AT483" s="23">
        <v>0.33333333333333331</v>
      </c>
      <c r="AU483" s="23">
        <v>0.60416666666666663</v>
      </c>
      <c r="AV483" t="s">
        <v>2619</v>
      </c>
      <c r="BA483" t="s">
        <v>2765</v>
      </c>
      <c r="BD483" t="s">
        <v>2620</v>
      </c>
      <c r="BE483" t="s">
        <v>2621</v>
      </c>
      <c r="BG483">
        <v>0</v>
      </c>
      <c r="BH483">
        <v>0</v>
      </c>
      <c r="BJ483">
        <v>0</v>
      </c>
    </row>
    <row r="484" spans="1:62" x14ac:dyDescent="0.2">
      <c r="A484" t="s">
        <v>2614</v>
      </c>
      <c r="B484" t="s">
        <v>2614</v>
      </c>
      <c r="C484">
        <v>100090874</v>
      </c>
      <c r="D484" t="s">
        <v>3231</v>
      </c>
      <c r="E484" t="s">
        <v>2439</v>
      </c>
      <c r="F484" t="s">
        <v>2452</v>
      </c>
      <c r="G484" t="s">
        <v>2453</v>
      </c>
      <c r="H484" s="23">
        <v>0.33333333333333331</v>
      </c>
      <c r="I484" t="s">
        <v>2688</v>
      </c>
      <c r="J484" t="s">
        <v>2616</v>
      </c>
      <c r="K484" t="s">
        <v>2623</v>
      </c>
      <c r="L484" t="s">
        <v>2614</v>
      </c>
      <c r="M484" t="s">
        <v>2617</v>
      </c>
      <c r="N484" s="6">
        <v>45998</v>
      </c>
      <c r="O484" t="s">
        <v>2461</v>
      </c>
      <c r="P484" t="s">
        <v>2442</v>
      </c>
      <c r="Q484" s="23">
        <v>0.36822916666666666</v>
      </c>
      <c r="R484" s="23">
        <v>0.68804398148148149</v>
      </c>
      <c r="S484">
        <v>17.87</v>
      </c>
      <c r="T484" t="s">
        <v>2443</v>
      </c>
      <c r="U484" t="s">
        <v>2618</v>
      </c>
      <c r="V484">
        <v>7.01</v>
      </c>
      <c r="W484">
        <v>7.01</v>
      </c>
      <c r="X484" t="s">
        <v>2689</v>
      </c>
      <c r="Y484" t="s">
        <v>2689</v>
      </c>
      <c r="Z484" t="s">
        <v>2689</v>
      </c>
      <c r="AA484" t="s">
        <v>2689</v>
      </c>
      <c r="AC484" t="s">
        <v>2689</v>
      </c>
      <c r="AD484" t="s">
        <v>2689</v>
      </c>
      <c r="AE484" t="s">
        <v>2689</v>
      </c>
      <c r="AF484" t="s">
        <v>2689</v>
      </c>
      <c r="AH484">
        <v>125.27</v>
      </c>
      <c r="AI484" t="s">
        <v>2690</v>
      </c>
      <c r="AJ484" t="s">
        <v>2690</v>
      </c>
      <c r="AK484" t="s">
        <v>2690</v>
      </c>
      <c r="AL484" t="s">
        <v>2690</v>
      </c>
      <c r="AP484">
        <v>125.27</v>
      </c>
      <c r="AR484" s="23">
        <v>0.36822916666666666</v>
      </c>
      <c r="AS484" s="23">
        <v>0.68804398148148149</v>
      </c>
      <c r="AT484" s="23">
        <v>0.375</v>
      </c>
      <c r="AU484" s="23">
        <v>0.70833333333333337</v>
      </c>
      <c r="AV484" t="s">
        <v>2619</v>
      </c>
      <c r="AY484">
        <v>0.66</v>
      </c>
      <c r="AZ484" t="s">
        <v>3232</v>
      </c>
      <c r="BA484" t="s">
        <v>2754</v>
      </c>
      <c r="BD484" t="s">
        <v>2620</v>
      </c>
      <c r="BE484" t="s">
        <v>2621</v>
      </c>
      <c r="BG484">
        <v>0</v>
      </c>
      <c r="BH484">
        <v>0</v>
      </c>
      <c r="BJ484">
        <v>0</v>
      </c>
    </row>
    <row r="485" spans="1:62" x14ac:dyDescent="0.2">
      <c r="A485" t="s">
        <v>2614</v>
      </c>
      <c r="B485" t="s">
        <v>2614</v>
      </c>
      <c r="C485">
        <v>100090874</v>
      </c>
      <c r="D485" t="s">
        <v>3231</v>
      </c>
      <c r="E485" t="s">
        <v>2439</v>
      </c>
      <c r="F485" t="s">
        <v>2452</v>
      </c>
      <c r="G485" t="s">
        <v>2453</v>
      </c>
      <c r="H485" s="23">
        <v>0.33333333333333331</v>
      </c>
      <c r="I485" t="s">
        <v>2688</v>
      </c>
      <c r="J485" t="s">
        <v>2616</v>
      </c>
      <c r="K485" t="s">
        <v>2626</v>
      </c>
      <c r="L485" t="s">
        <v>2614</v>
      </c>
      <c r="M485" t="s">
        <v>2617</v>
      </c>
      <c r="N485" s="6">
        <v>46001</v>
      </c>
      <c r="O485" t="s">
        <v>2458</v>
      </c>
      <c r="P485" t="s">
        <v>2445</v>
      </c>
      <c r="Q485" s="23">
        <v>0.38104166666666667</v>
      </c>
      <c r="R485" s="23">
        <v>0.70387731481481486</v>
      </c>
      <c r="S485">
        <v>17.87</v>
      </c>
      <c r="T485" t="s">
        <v>2443</v>
      </c>
      <c r="U485" t="s">
        <v>2618</v>
      </c>
      <c r="V485">
        <v>7.1</v>
      </c>
      <c r="W485">
        <v>7.1</v>
      </c>
      <c r="X485" t="s">
        <v>2689</v>
      </c>
      <c r="Y485" t="s">
        <v>2689</v>
      </c>
      <c r="Z485" t="s">
        <v>2689</v>
      </c>
      <c r="AA485" t="s">
        <v>2689</v>
      </c>
      <c r="AC485" t="s">
        <v>2689</v>
      </c>
      <c r="AD485" t="s">
        <v>2689</v>
      </c>
      <c r="AE485" t="s">
        <v>2689</v>
      </c>
      <c r="AF485" t="s">
        <v>2689</v>
      </c>
      <c r="AH485">
        <v>126.88</v>
      </c>
      <c r="AI485" t="s">
        <v>2690</v>
      </c>
      <c r="AJ485" t="s">
        <v>2690</v>
      </c>
      <c r="AK485" t="s">
        <v>2690</v>
      </c>
      <c r="AL485" t="s">
        <v>2690</v>
      </c>
      <c r="AP485">
        <v>126.88</v>
      </c>
      <c r="AR485" s="23">
        <v>0.38104166666666667</v>
      </c>
      <c r="AS485" s="23">
        <v>0.70387731481481486</v>
      </c>
      <c r="AT485" s="23">
        <v>0.375</v>
      </c>
      <c r="AU485" s="23">
        <v>0.70833333333333337</v>
      </c>
      <c r="AV485" t="s">
        <v>2619</v>
      </c>
      <c r="AY485">
        <v>0.65</v>
      </c>
      <c r="AZ485" t="s">
        <v>3233</v>
      </c>
      <c r="BA485" t="s">
        <v>2759</v>
      </c>
      <c r="BD485" t="s">
        <v>2620</v>
      </c>
      <c r="BE485" t="s">
        <v>2621</v>
      </c>
      <c r="BG485">
        <v>0</v>
      </c>
      <c r="BH485">
        <v>0</v>
      </c>
      <c r="BJ485">
        <v>0</v>
      </c>
    </row>
    <row r="486" spans="1:62" x14ac:dyDescent="0.2">
      <c r="A486" t="s">
        <v>2614</v>
      </c>
      <c r="B486" t="s">
        <v>2614</v>
      </c>
      <c r="C486">
        <v>100090874</v>
      </c>
      <c r="D486" t="s">
        <v>3231</v>
      </c>
      <c r="E486" t="s">
        <v>2439</v>
      </c>
      <c r="F486" t="s">
        <v>2791</v>
      </c>
      <c r="G486" t="s">
        <v>2792</v>
      </c>
      <c r="H486" s="23">
        <v>0.79166666666666663</v>
      </c>
      <c r="I486" t="s">
        <v>2696</v>
      </c>
      <c r="J486" t="s">
        <v>2616</v>
      </c>
      <c r="K486" t="s">
        <v>2626</v>
      </c>
      <c r="L486" t="s">
        <v>2614</v>
      </c>
      <c r="M486" t="s">
        <v>2617</v>
      </c>
      <c r="N486" s="6">
        <v>46002</v>
      </c>
      <c r="O486" t="s">
        <v>2459</v>
      </c>
      <c r="P486" t="s">
        <v>2445</v>
      </c>
      <c r="Q486" s="23">
        <v>0.66464120370370372</v>
      </c>
      <c r="R486" s="23">
        <v>0.99854166666666666</v>
      </c>
      <c r="S486">
        <v>17.87</v>
      </c>
      <c r="T486" t="s">
        <v>2443</v>
      </c>
      <c r="U486" t="s">
        <v>2618</v>
      </c>
      <c r="V486">
        <v>7.41</v>
      </c>
      <c r="W486">
        <v>7.41</v>
      </c>
      <c r="X486" t="s">
        <v>2689</v>
      </c>
      <c r="Y486" t="s">
        <v>2689</v>
      </c>
      <c r="Z486" t="s">
        <v>2689</v>
      </c>
      <c r="AA486" t="s">
        <v>2689</v>
      </c>
      <c r="AC486" t="s">
        <v>2689</v>
      </c>
      <c r="AD486" t="s">
        <v>2689</v>
      </c>
      <c r="AE486" t="s">
        <v>2689</v>
      </c>
      <c r="AF486" t="s">
        <v>2689</v>
      </c>
      <c r="AH486">
        <v>132.41999999999999</v>
      </c>
      <c r="AI486" t="s">
        <v>2690</v>
      </c>
      <c r="AJ486" t="s">
        <v>2690</v>
      </c>
      <c r="AK486" t="s">
        <v>2690</v>
      </c>
      <c r="AL486" t="s">
        <v>2690</v>
      </c>
      <c r="AP486">
        <v>132.41999999999999</v>
      </c>
      <c r="AR486" s="23">
        <v>0.66464120370370372</v>
      </c>
      <c r="AS486" s="23">
        <v>0.99854166666666666</v>
      </c>
      <c r="AT486" s="23">
        <v>0.66666666666666663</v>
      </c>
      <c r="AU486" s="24">
        <v>1</v>
      </c>
      <c r="AV486" t="s">
        <v>2619</v>
      </c>
      <c r="AY486">
        <v>0.61</v>
      </c>
      <c r="AZ486" t="s">
        <v>3234</v>
      </c>
      <c r="BA486" t="s">
        <v>2759</v>
      </c>
      <c r="BD486" t="s">
        <v>2620</v>
      </c>
      <c r="BE486" t="s">
        <v>2621</v>
      </c>
      <c r="BG486">
        <v>0</v>
      </c>
      <c r="BH486">
        <v>0</v>
      </c>
      <c r="BJ486">
        <v>0</v>
      </c>
    </row>
    <row r="487" spans="1:62" x14ac:dyDescent="0.2">
      <c r="A487" t="s">
        <v>2614</v>
      </c>
      <c r="B487" t="s">
        <v>2614</v>
      </c>
      <c r="C487">
        <v>100090874</v>
      </c>
      <c r="D487" t="s">
        <v>3231</v>
      </c>
      <c r="E487" t="s">
        <v>2439</v>
      </c>
      <c r="F487" t="s">
        <v>2452</v>
      </c>
      <c r="G487" t="s">
        <v>2453</v>
      </c>
      <c r="H487" s="23">
        <v>0.33333333333333331</v>
      </c>
      <c r="I487" t="s">
        <v>2688</v>
      </c>
      <c r="J487" t="s">
        <v>2616</v>
      </c>
      <c r="K487" t="s">
        <v>2633</v>
      </c>
      <c r="L487" t="s">
        <v>2614</v>
      </c>
      <c r="M487" t="s">
        <v>2617</v>
      </c>
      <c r="N487" s="6">
        <v>46009</v>
      </c>
      <c r="O487" t="s">
        <v>2459</v>
      </c>
      <c r="P487" t="s">
        <v>2445</v>
      </c>
      <c r="Q487" s="23">
        <v>0.32765046296296296</v>
      </c>
      <c r="R487" s="23">
        <v>0.54023148148148148</v>
      </c>
      <c r="S487">
        <v>17.87</v>
      </c>
      <c r="T487" t="s">
        <v>2443</v>
      </c>
      <c r="U487" t="s">
        <v>2618</v>
      </c>
      <c r="V487">
        <v>5.0999999999999996</v>
      </c>
      <c r="W487">
        <v>5.0999999999999996</v>
      </c>
      <c r="X487" t="s">
        <v>2689</v>
      </c>
      <c r="Y487" t="s">
        <v>2689</v>
      </c>
      <c r="Z487" t="s">
        <v>2689</v>
      </c>
      <c r="AA487" t="s">
        <v>2689</v>
      </c>
      <c r="AC487" t="s">
        <v>2689</v>
      </c>
      <c r="AD487" t="s">
        <v>2689</v>
      </c>
      <c r="AE487" t="s">
        <v>2689</v>
      </c>
      <c r="AF487" t="s">
        <v>2689</v>
      </c>
      <c r="AH487">
        <v>91.14</v>
      </c>
      <c r="AI487" t="s">
        <v>2690</v>
      </c>
      <c r="AJ487" t="s">
        <v>2690</v>
      </c>
      <c r="AK487" t="s">
        <v>2690</v>
      </c>
      <c r="AL487" t="s">
        <v>2690</v>
      </c>
      <c r="AP487">
        <v>91.14</v>
      </c>
      <c r="AR487" s="23">
        <v>0.32765046296296296</v>
      </c>
      <c r="AS487" s="23">
        <v>0.54023148148148148</v>
      </c>
      <c r="AT487" s="23">
        <v>0.33333333333333331</v>
      </c>
      <c r="AU487" s="23">
        <v>0.60416666666666663</v>
      </c>
      <c r="AV487" t="s">
        <v>2619</v>
      </c>
      <c r="BA487" t="s">
        <v>2765</v>
      </c>
      <c r="BD487" t="s">
        <v>2620</v>
      </c>
      <c r="BE487" t="s">
        <v>2621</v>
      </c>
      <c r="BG487">
        <v>0</v>
      </c>
      <c r="BH487">
        <v>0</v>
      </c>
      <c r="BJ487">
        <v>0</v>
      </c>
    </row>
    <row r="488" spans="1:62" x14ac:dyDescent="0.2">
      <c r="A488" t="s">
        <v>2614</v>
      </c>
      <c r="B488" t="s">
        <v>2614</v>
      </c>
      <c r="C488">
        <v>100093412</v>
      </c>
      <c r="D488" t="s">
        <v>3235</v>
      </c>
      <c r="E488" t="s">
        <v>2439</v>
      </c>
      <c r="F488" t="s">
        <v>2791</v>
      </c>
      <c r="G488" t="s">
        <v>2792</v>
      </c>
      <c r="H488" s="23">
        <v>0.79166666666666663</v>
      </c>
      <c r="I488" t="s">
        <v>2696</v>
      </c>
      <c r="J488" t="s">
        <v>2616</v>
      </c>
      <c r="K488" t="s">
        <v>3228</v>
      </c>
      <c r="L488" t="s">
        <v>2614</v>
      </c>
      <c r="M488" t="s">
        <v>2617</v>
      </c>
      <c r="N488" s="6">
        <v>46002</v>
      </c>
      <c r="O488" t="s">
        <v>2459</v>
      </c>
      <c r="P488" t="s">
        <v>2445</v>
      </c>
      <c r="Q488" s="23">
        <v>0.6771180555555556</v>
      </c>
      <c r="R488" s="23">
        <v>2.1608796296296296E-2</v>
      </c>
      <c r="S488">
        <v>17.87</v>
      </c>
      <c r="T488" t="s">
        <v>2443</v>
      </c>
      <c r="U488" t="s">
        <v>2618</v>
      </c>
      <c r="V488">
        <v>7.77</v>
      </c>
      <c r="W488">
        <v>7.77</v>
      </c>
      <c r="X488" t="s">
        <v>2689</v>
      </c>
      <c r="Y488" t="s">
        <v>2689</v>
      </c>
      <c r="Z488" t="s">
        <v>2689</v>
      </c>
      <c r="AA488" t="s">
        <v>2689</v>
      </c>
      <c r="AC488" t="s">
        <v>2689</v>
      </c>
      <c r="AD488" t="s">
        <v>2689</v>
      </c>
      <c r="AE488" t="s">
        <v>2689</v>
      </c>
      <c r="AF488" t="s">
        <v>2689</v>
      </c>
      <c r="AH488">
        <v>138.85</v>
      </c>
      <c r="AI488" t="s">
        <v>2690</v>
      </c>
      <c r="AJ488" t="s">
        <v>2690</v>
      </c>
      <c r="AK488" t="s">
        <v>2690</v>
      </c>
      <c r="AL488" t="s">
        <v>2690</v>
      </c>
      <c r="AP488">
        <v>138.85</v>
      </c>
      <c r="AQ488" t="s">
        <v>2442</v>
      </c>
      <c r="AR488" s="23">
        <v>0.6771180555555556</v>
      </c>
      <c r="AS488" s="23">
        <v>2.1608796296296296E-2</v>
      </c>
      <c r="AT488" s="23">
        <v>0.66666666666666663</v>
      </c>
      <c r="AU488" s="24">
        <v>1</v>
      </c>
      <c r="AV488" t="s">
        <v>2619</v>
      </c>
      <c r="AY488">
        <v>0.5</v>
      </c>
      <c r="AZ488" t="s">
        <v>3236</v>
      </c>
      <c r="BA488" t="s">
        <v>2759</v>
      </c>
      <c r="BD488" t="s">
        <v>2620</v>
      </c>
      <c r="BE488" t="s">
        <v>2621</v>
      </c>
      <c r="BG488">
        <v>0</v>
      </c>
      <c r="BH488">
        <v>0</v>
      </c>
      <c r="BJ488">
        <v>0</v>
      </c>
    </row>
    <row r="489" spans="1:62" x14ac:dyDescent="0.2">
      <c r="A489" t="s">
        <v>2614</v>
      </c>
      <c r="B489" t="s">
        <v>2614</v>
      </c>
      <c r="C489">
        <v>100093412</v>
      </c>
      <c r="D489" t="s">
        <v>3235</v>
      </c>
      <c r="E489" t="s">
        <v>2439</v>
      </c>
      <c r="F489" t="s">
        <v>2452</v>
      </c>
      <c r="G489" t="s">
        <v>2453</v>
      </c>
      <c r="H489" s="23">
        <v>0.33333333333333331</v>
      </c>
      <c r="I489" t="s">
        <v>2688</v>
      </c>
      <c r="J489" t="s">
        <v>2616</v>
      </c>
      <c r="K489" t="s">
        <v>2680</v>
      </c>
      <c r="L489" t="s">
        <v>2614</v>
      </c>
      <c r="M489" t="s">
        <v>2617</v>
      </c>
      <c r="N489" s="6">
        <v>46008</v>
      </c>
      <c r="O489" t="s">
        <v>2458</v>
      </c>
      <c r="P489" t="s">
        <v>2445</v>
      </c>
      <c r="Q489" s="23">
        <v>0.32719907407407406</v>
      </c>
      <c r="R489" s="23">
        <v>0.54226851851851854</v>
      </c>
      <c r="S489">
        <v>17.87</v>
      </c>
      <c r="T489" t="s">
        <v>2443</v>
      </c>
      <c r="U489" t="s">
        <v>2618</v>
      </c>
      <c r="V489">
        <v>5.16</v>
      </c>
      <c r="W489">
        <v>5.16</v>
      </c>
      <c r="X489" t="s">
        <v>2689</v>
      </c>
      <c r="Y489" t="s">
        <v>2689</v>
      </c>
      <c r="Z489" t="s">
        <v>2689</v>
      </c>
      <c r="AA489" t="s">
        <v>2689</v>
      </c>
      <c r="AC489" t="s">
        <v>2689</v>
      </c>
      <c r="AD489" t="s">
        <v>2689</v>
      </c>
      <c r="AE489" t="s">
        <v>2689</v>
      </c>
      <c r="AF489" t="s">
        <v>2689</v>
      </c>
      <c r="AH489">
        <v>92.21</v>
      </c>
      <c r="AI489" t="s">
        <v>2690</v>
      </c>
      <c r="AJ489" t="s">
        <v>2690</v>
      </c>
      <c r="AK489" t="s">
        <v>2690</v>
      </c>
      <c r="AL489" t="s">
        <v>2690</v>
      </c>
      <c r="AP489">
        <v>92.21</v>
      </c>
      <c r="AR489" s="23">
        <v>0.32719907407407406</v>
      </c>
      <c r="AS489" s="23">
        <v>0.54226851851851854</v>
      </c>
      <c r="AT489" s="23">
        <v>0.33333333333333331</v>
      </c>
      <c r="AU489" s="23">
        <v>0.54166666666666663</v>
      </c>
      <c r="AV489" t="s">
        <v>2619</v>
      </c>
      <c r="BA489" t="s">
        <v>2771</v>
      </c>
      <c r="BD489" t="s">
        <v>2620</v>
      </c>
      <c r="BE489" t="s">
        <v>2621</v>
      </c>
      <c r="BG489">
        <v>0</v>
      </c>
      <c r="BH489">
        <v>0</v>
      </c>
      <c r="BJ489">
        <v>0</v>
      </c>
    </row>
    <row r="490" spans="1:62" x14ac:dyDescent="0.2">
      <c r="A490" t="s">
        <v>2614</v>
      </c>
      <c r="B490" t="s">
        <v>2614</v>
      </c>
      <c r="C490">
        <v>100093428</v>
      </c>
      <c r="D490" t="s">
        <v>3237</v>
      </c>
      <c r="E490" t="s">
        <v>2439</v>
      </c>
      <c r="F490" t="s">
        <v>2452</v>
      </c>
      <c r="G490" t="s">
        <v>2453</v>
      </c>
      <c r="H490" s="23">
        <v>0.33333333333333331</v>
      </c>
      <c r="I490" t="s">
        <v>2688</v>
      </c>
      <c r="J490" t="s">
        <v>2616</v>
      </c>
      <c r="K490" t="s">
        <v>3238</v>
      </c>
      <c r="L490" t="s">
        <v>2614</v>
      </c>
      <c r="M490" t="s">
        <v>2617</v>
      </c>
      <c r="N490" s="6">
        <v>46001</v>
      </c>
      <c r="O490" t="s">
        <v>2458</v>
      </c>
      <c r="P490" t="s">
        <v>2445</v>
      </c>
      <c r="Q490" s="23">
        <v>0.37042824074074077</v>
      </c>
      <c r="R490" s="23">
        <v>0.70324074074074072</v>
      </c>
      <c r="S490">
        <v>17.87</v>
      </c>
      <c r="T490" t="s">
        <v>2443</v>
      </c>
      <c r="U490" t="s">
        <v>2618</v>
      </c>
      <c r="V490">
        <v>7.49</v>
      </c>
      <c r="W490">
        <v>7.49</v>
      </c>
      <c r="X490" t="s">
        <v>2689</v>
      </c>
      <c r="Y490" t="s">
        <v>2689</v>
      </c>
      <c r="Z490" t="s">
        <v>2689</v>
      </c>
      <c r="AA490" t="s">
        <v>2689</v>
      </c>
      <c r="AC490" t="s">
        <v>2689</v>
      </c>
      <c r="AD490" t="s">
        <v>2689</v>
      </c>
      <c r="AE490" t="s">
        <v>2689</v>
      </c>
      <c r="AF490" t="s">
        <v>2689</v>
      </c>
      <c r="AH490">
        <v>133.85</v>
      </c>
      <c r="AI490" t="s">
        <v>2690</v>
      </c>
      <c r="AJ490" t="s">
        <v>2690</v>
      </c>
      <c r="AK490" t="s">
        <v>2690</v>
      </c>
      <c r="AL490" t="s">
        <v>2690</v>
      </c>
      <c r="AP490">
        <v>133.85</v>
      </c>
      <c r="AR490" s="23">
        <v>0.37042824074074077</v>
      </c>
      <c r="AS490" s="23">
        <v>0.70324074074074072</v>
      </c>
      <c r="AT490" s="23">
        <v>0.375</v>
      </c>
      <c r="AU490" s="23">
        <v>0.70833333333333337</v>
      </c>
      <c r="AV490" t="s">
        <v>2619</v>
      </c>
      <c r="AY490">
        <v>0.5</v>
      </c>
      <c r="AZ490" t="s">
        <v>3239</v>
      </c>
      <c r="BA490" t="s">
        <v>2759</v>
      </c>
      <c r="BD490" t="s">
        <v>2620</v>
      </c>
      <c r="BE490" t="s">
        <v>2621</v>
      </c>
      <c r="BG490">
        <v>0</v>
      </c>
      <c r="BH490">
        <v>0</v>
      </c>
      <c r="BJ490">
        <v>0</v>
      </c>
    </row>
    <row r="491" spans="1:62" x14ac:dyDescent="0.2">
      <c r="A491" t="s">
        <v>2614</v>
      </c>
      <c r="B491" t="s">
        <v>2614</v>
      </c>
      <c r="C491">
        <v>100093428</v>
      </c>
      <c r="D491" t="s">
        <v>3237</v>
      </c>
      <c r="E491" t="s">
        <v>2439</v>
      </c>
      <c r="F491" t="s">
        <v>2791</v>
      </c>
      <c r="G491" t="s">
        <v>2792</v>
      </c>
      <c r="H491" s="23">
        <v>0.79166666666666663</v>
      </c>
      <c r="I491" t="s">
        <v>2696</v>
      </c>
      <c r="J491" t="s">
        <v>2616</v>
      </c>
      <c r="K491" t="s">
        <v>2635</v>
      </c>
      <c r="L491" t="s">
        <v>2614</v>
      </c>
      <c r="M491" t="s">
        <v>2617</v>
      </c>
      <c r="N491" s="6">
        <v>46002</v>
      </c>
      <c r="O491" t="s">
        <v>2459</v>
      </c>
      <c r="P491" t="s">
        <v>2445</v>
      </c>
      <c r="Q491" s="23">
        <v>0.66347222222222224</v>
      </c>
      <c r="R491" s="23">
        <v>2.1643518518518517E-2</v>
      </c>
      <c r="S491">
        <v>17.87</v>
      </c>
      <c r="T491" t="s">
        <v>2443</v>
      </c>
      <c r="U491" t="s">
        <v>2618</v>
      </c>
      <c r="V491">
        <v>8.1</v>
      </c>
      <c r="W491">
        <v>8</v>
      </c>
      <c r="X491">
        <v>0.1</v>
      </c>
      <c r="Y491" t="s">
        <v>2689</v>
      </c>
      <c r="Z491" t="s">
        <v>2689</v>
      </c>
      <c r="AA491" t="s">
        <v>2689</v>
      </c>
      <c r="AC491" t="s">
        <v>2689</v>
      </c>
      <c r="AD491" t="s">
        <v>2689</v>
      </c>
      <c r="AE491" t="s">
        <v>2689</v>
      </c>
      <c r="AF491" t="s">
        <v>2689</v>
      </c>
      <c r="AH491">
        <v>142.96</v>
      </c>
      <c r="AI491">
        <v>2.68</v>
      </c>
      <c r="AJ491" t="s">
        <v>2690</v>
      </c>
      <c r="AK491" t="s">
        <v>2690</v>
      </c>
      <c r="AL491" t="s">
        <v>2690</v>
      </c>
      <c r="AP491">
        <v>145.63999999999999</v>
      </c>
      <c r="AR491" s="23">
        <v>0.66347222222222224</v>
      </c>
      <c r="AS491" s="23">
        <v>2.1643518518518517E-2</v>
      </c>
      <c r="AT491" s="23">
        <v>0.66666666666666663</v>
      </c>
      <c r="AU491" s="24">
        <v>1</v>
      </c>
      <c r="AV491" t="s">
        <v>2619</v>
      </c>
      <c r="AY491">
        <v>0.5</v>
      </c>
      <c r="AZ491" t="s">
        <v>3240</v>
      </c>
      <c r="BA491" t="s">
        <v>2759</v>
      </c>
      <c r="BD491" t="s">
        <v>2620</v>
      </c>
      <c r="BE491" t="s">
        <v>2621</v>
      </c>
      <c r="BG491">
        <v>0</v>
      </c>
      <c r="BH491">
        <v>0</v>
      </c>
      <c r="BJ491">
        <v>0</v>
      </c>
    </row>
    <row r="492" spans="1:62" x14ac:dyDescent="0.2">
      <c r="A492" t="s">
        <v>2614</v>
      </c>
      <c r="B492" t="s">
        <v>2614</v>
      </c>
      <c r="C492">
        <v>100093428</v>
      </c>
      <c r="D492" t="s">
        <v>3237</v>
      </c>
      <c r="E492" t="s">
        <v>2439</v>
      </c>
      <c r="F492" t="s">
        <v>2452</v>
      </c>
      <c r="G492" t="s">
        <v>2453</v>
      </c>
      <c r="H492" s="23">
        <v>0.33333333333333331</v>
      </c>
      <c r="I492" t="s">
        <v>2688</v>
      </c>
      <c r="J492" t="s">
        <v>2616</v>
      </c>
      <c r="K492" t="s">
        <v>3228</v>
      </c>
      <c r="L492" t="s">
        <v>2614</v>
      </c>
      <c r="M492" t="s">
        <v>2617</v>
      </c>
      <c r="N492" s="6">
        <v>46009</v>
      </c>
      <c r="O492" t="s">
        <v>2459</v>
      </c>
      <c r="P492" t="s">
        <v>2445</v>
      </c>
      <c r="Q492" s="23">
        <v>0.33842592592592591</v>
      </c>
      <c r="R492" s="23">
        <v>0.54151620370370368</v>
      </c>
      <c r="S492">
        <v>17.87</v>
      </c>
      <c r="T492" t="s">
        <v>2443</v>
      </c>
      <c r="U492" t="s">
        <v>2618</v>
      </c>
      <c r="V492">
        <v>4.87</v>
      </c>
      <c r="W492">
        <v>4.87</v>
      </c>
      <c r="X492" t="s">
        <v>2689</v>
      </c>
      <c r="Y492" t="s">
        <v>2689</v>
      </c>
      <c r="Z492" t="s">
        <v>2689</v>
      </c>
      <c r="AA492" t="s">
        <v>2689</v>
      </c>
      <c r="AC492" t="s">
        <v>2689</v>
      </c>
      <c r="AD492" t="s">
        <v>2689</v>
      </c>
      <c r="AE492" t="s">
        <v>2689</v>
      </c>
      <c r="AF492" t="s">
        <v>2689</v>
      </c>
      <c r="AH492">
        <v>87.03</v>
      </c>
      <c r="AI492" t="s">
        <v>2690</v>
      </c>
      <c r="AJ492" t="s">
        <v>2690</v>
      </c>
      <c r="AK492" t="s">
        <v>2690</v>
      </c>
      <c r="AL492" t="s">
        <v>2690</v>
      </c>
      <c r="AP492">
        <v>87.03</v>
      </c>
      <c r="AR492" s="23">
        <v>0.33842592592592591</v>
      </c>
      <c r="AS492" s="23">
        <v>0.54151620370370368</v>
      </c>
      <c r="AT492" s="23">
        <v>0.33333333333333331</v>
      </c>
      <c r="AU492" s="23">
        <v>0.60416666666666663</v>
      </c>
      <c r="AV492" t="s">
        <v>2619</v>
      </c>
      <c r="BA492" t="s">
        <v>2765</v>
      </c>
      <c r="BD492" t="s">
        <v>2620</v>
      </c>
      <c r="BE492" t="s">
        <v>2621</v>
      </c>
      <c r="BG492">
        <v>0</v>
      </c>
      <c r="BH492">
        <v>0</v>
      </c>
      <c r="BJ492">
        <v>0</v>
      </c>
    </row>
    <row r="493" spans="1:62" x14ac:dyDescent="0.2">
      <c r="A493" t="s">
        <v>2614</v>
      </c>
      <c r="B493" t="s">
        <v>2614</v>
      </c>
      <c r="C493">
        <v>100093443</v>
      </c>
      <c r="D493" t="s">
        <v>2747</v>
      </c>
      <c r="E493" t="s">
        <v>2439</v>
      </c>
      <c r="F493" t="s">
        <v>2452</v>
      </c>
      <c r="G493" t="s">
        <v>2453</v>
      </c>
      <c r="H493" s="23">
        <v>0.33333333333333331</v>
      </c>
      <c r="I493" t="s">
        <v>2688</v>
      </c>
      <c r="J493" t="s">
        <v>2616</v>
      </c>
      <c r="K493" t="s">
        <v>2635</v>
      </c>
      <c r="L493" t="s">
        <v>2614</v>
      </c>
      <c r="M493" t="s">
        <v>2617</v>
      </c>
      <c r="N493" s="6">
        <v>46001</v>
      </c>
      <c r="O493" t="s">
        <v>2458</v>
      </c>
      <c r="P493" t="s">
        <v>2445</v>
      </c>
      <c r="Q493" s="23">
        <v>0.37336805555555558</v>
      </c>
      <c r="R493" s="23">
        <v>0.7056944444444444</v>
      </c>
      <c r="S493">
        <v>17.87</v>
      </c>
      <c r="T493" t="s">
        <v>2443</v>
      </c>
      <c r="U493" t="s">
        <v>2618</v>
      </c>
      <c r="V493">
        <v>7.48</v>
      </c>
      <c r="W493">
        <v>7.48</v>
      </c>
      <c r="X493" t="s">
        <v>2689</v>
      </c>
      <c r="Y493" t="s">
        <v>2689</v>
      </c>
      <c r="Z493" t="s">
        <v>2689</v>
      </c>
      <c r="AA493" t="s">
        <v>2689</v>
      </c>
      <c r="AC493" t="s">
        <v>2689</v>
      </c>
      <c r="AD493" t="s">
        <v>2689</v>
      </c>
      <c r="AE493" t="s">
        <v>2689</v>
      </c>
      <c r="AF493" t="s">
        <v>2689</v>
      </c>
      <c r="AH493">
        <v>133.66999999999999</v>
      </c>
      <c r="AI493" t="s">
        <v>2690</v>
      </c>
      <c r="AJ493" t="s">
        <v>2690</v>
      </c>
      <c r="AK493" t="s">
        <v>2690</v>
      </c>
      <c r="AL493" t="s">
        <v>2690</v>
      </c>
      <c r="AP493">
        <v>133.66999999999999</v>
      </c>
      <c r="AR493" s="23">
        <v>0.37336805555555558</v>
      </c>
      <c r="AS493" s="23">
        <v>0.7056944444444444</v>
      </c>
      <c r="AT493" s="23">
        <v>0.375</v>
      </c>
      <c r="AU493" s="23">
        <v>0.70833333333333337</v>
      </c>
      <c r="AV493" t="s">
        <v>2619</v>
      </c>
      <c r="AY493">
        <v>0.5</v>
      </c>
      <c r="AZ493" t="s">
        <v>3241</v>
      </c>
      <c r="BA493" t="s">
        <v>2759</v>
      </c>
      <c r="BD493" t="s">
        <v>2620</v>
      </c>
      <c r="BE493" t="s">
        <v>2621</v>
      </c>
      <c r="BG493">
        <v>0</v>
      </c>
      <c r="BH493">
        <v>0</v>
      </c>
      <c r="BJ493">
        <v>0</v>
      </c>
    </row>
    <row r="494" spans="1:62" x14ac:dyDescent="0.2">
      <c r="A494" t="s">
        <v>2614</v>
      </c>
      <c r="B494" t="s">
        <v>2614</v>
      </c>
      <c r="C494">
        <v>100093443</v>
      </c>
      <c r="D494" t="s">
        <v>2747</v>
      </c>
      <c r="E494" t="s">
        <v>2439</v>
      </c>
      <c r="F494" t="s">
        <v>2791</v>
      </c>
      <c r="G494" t="s">
        <v>2792</v>
      </c>
      <c r="H494" s="23">
        <v>0.79166666666666663</v>
      </c>
      <c r="I494" t="s">
        <v>2696</v>
      </c>
      <c r="J494" t="s">
        <v>2616</v>
      </c>
      <c r="K494" t="s">
        <v>3238</v>
      </c>
      <c r="L494" t="s">
        <v>2614</v>
      </c>
      <c r="M494" t="s">
        <v>2617</v>
      </c>
      <c r="N494" s="6">
        <v>46002</v>
      </c>
      <c r="O494" t="s">
        <v>2459</v>
      </c>
      <c r="P494" t="s">
        <v>2445</v>
      </c>
      <c r="Q494" s="23">
        <v>0.66630787037037043</v>
      </c>
      <c r="R494" s="23">
        <v>2.3159722222222224E-2</v>
      </c>
      <c r="S494">
        <v>17.87</v>
      </c>
      <c r="T494" t="s">
        <v>2443</v>
      </c>
      <c r="U494" t="s">
        <v>2618</v>
      </c>
      <c r="V494">
        <v>8.06</v>
      </c>
      <c r="W494">
        <v>8</v>
      </c>
      <c r="X494">
        <v>0.06</v>
      </c>
      <c r="Y494" t="s">
        <v>2689</v>
      </c>
      <c r="Z494" t="s">
        <v>2689</v>
      </c>
      <c r="AA494" t="s">
        <v>2689</v>
      </c>
      <c r="AC494" t="s">
        <v>2689</v>
      </c>
      <c r="AD494" t="s">
        <v>2689</v>
      </c>
      <c r="AE494" t="s">
        <v>2689</v>
      </c>
      <c r="AF494" t="s">
        <v>2689</v>
      </c>
      <c r="AH494">
        <v>142.96</v>
      </c>
      <c r="AI494">
        <v>1.61</v>
      </c>
      <c r="AJ494" t="s">
        <v>2690</v>
      </c>
      <c r="AK494" t="s">
        <v>2690</v>
      </c>
      <c r="AL494" t="s">
        <v>2690</v>
      </c>
      <c r="AP494">
        <v>144.57</v>
      </c>
      <c r="AR494" s="23">
        <v>0.66630787037037043</v>
      </c>
      <c r="AS494" s="23">
        <v>2.3159722222222224E-2</v>
      </c>
      <c r="AT494" s="23">
        <v>0.66666666666666663</v>
      </c>
      <c r="AU494" s="24">
        <v>1</v>
      </c>
      <c r="AV494" t="s">
        <v>2619</v>
      </c>
      <c r="AY494">
        <v>0.5</v>
      </c>
      <c r="AZ494" t="s">
        <v>3242</v>
      </c>
      <c r="BA494" t="s">
        <v>2759</v>
      </c>
      <c r="BD494" t="s">
        <v>2620</v>
      </c>
      <c r="BE494" t="s">
        <v>2621</v>
      </c>
      <c r="BG494">
        <v>0</v>
      </c>
      <c r="BH494">
        <v>0</v>
      </c>
      <c r="BJ494">
        <v>0</v>
      </c>
    </row>
    <row r="495" spans="1:62" x14ac:dyDescent="0.2">
      <c r="A495" t="s">
        <v>2492</v>
      </c>
      <c r="B495" t="s">
        <v>2492</v>
      </c>
      <c r="C495">
        <v>100049312</v>
      </c>
      <c r="D495" t="s">
        <v>2748</v>
      </c>
      <c r="E495" t="s">
        <v>2439</v>
      </c>
      <c r="F495" t="s">
        <v>2452</v>
      </c>
      <c r="G495" t="s">
        <v>2453</v>
      </c>
      <c r="H495" s="23">
        <v>0.33333333333333331</v>
      </c>
      <c r="I495" t="s">
        <v>2688</v>
      </c>
      <c r="J495" t="s">
        <v>2638</v>
      </c>
      <c r="K495" t="s">
        <v>2639</v>
      </c>
      <c r="L495" t="s">
        <v>2492</v>
      </c>
      <c r="M495" t="s">
        <v>2503</v>
      </c>
      <c r="N495" s="6">
        <v>45992</v>
      </c>
      <c r="O495" t="s">
        <v>2455</v>
      </c>
      <c r="P495" t="s">
        <v>2445</v>
      </c>
      <c r="Q495" s="23">
        <v>0.33943287037037034</v>
      </c>
      <c r="R495" s="23">
        <v>0.65439814814814812</v>
      </c>
      <c r="S495">
        <v>24</v>
      </c>
      <c r="T495" t="s">
        <v>2443</v>
      </c>
      <c r="U495" t="s">
        <v>2640</v>
      </c>
      <c r="V495">
        <v>7.06</v>
      </c>
      <c r="W495">
        <v>7.06</v>
      </c>
      <c r="X495" t="s">
        <v>2689</v>
      </c>
      <c r="Y495" t="s">
        <v>2689</v>
      </c>
      <c r="Z495" t="s">
        <v>2689</v>
      </c>
      <c r="AA495" t="s">
        <v>2689</v>
      </c>
      <c r="AC495" t="s">
        <v>2689</v>
      </c>
      <c r="AD495" t="s">
        <v>2689</v>
      </c>
      <c r="AE495" t="s">
        <v>2689</v>
      </c>
      <c r="AF495" t="s">
        <v>2689</v>
      </c>
      <c r="AH495">
        <v>169.44</v>
      </c>
      <c r="AI495" t="s">
        <v>2690</v>
      </c>
      <c r="AJ495" t="s">
        <v>2690</v>
      </c>
      <c r="AK495" t="s">
        <v>2690</v>
      </c>
      <c r="AL495" t="s">
        <v>2690</v>
      </c>
      <c r="AP495">
        <v>169.44</v>
      </c>
      <c r="AR495" s="23">
        <v>0.33943287037037034</v>
      </c>
      <c r="AS495" s="23">
        <v>0.65439814814814812</v>
      </c>
      <c r="AT495" s="23">
        <v>0.33943287037037034</v>
      </c>
      <c r="AU495" t="s">
        <v>2689</v>
      </c>
      <c r="AV495" t="s">
        <v>2637</v>
      </c>
      <c r="AY495">
        <v>0.5</v>
      </c>
      <c r="AZ495" t="s">
        <v>3243</v>
      </c>
      <c r="BA495" t="s">
        <v>2692</v>
      </c>
      <c r="BD495" t="s">
        <v>2641</v>
      </c>
      <c r="BE495" t="s">
        <v>2642</v>
      </c>
      <c r="BG495">
        <v>0</v>
      </c>
      <c r="BH495">
        <v>0</v>
      </c>
      <c r="BJ495">
        <v>0</v>
      </c>
    </row>
    <row r="496" spans="1:62" x14ac:dyDescent="0.2">
      <c r="A496" t="s">
        <v>2492</v>
      </c>
      <c r="B496" t="s">
        <v>2492</v>
      </c>
      <c r="C496">
        <v>100049312</v>
      </c>
      <c r="D496" t="s">
        <v>2748</v>
      </c>
      <c r="E496" t="s">
        <v>2439</v>
      </c>
      <c r="F496" t="s">
        <v>2452</v>
      </c>
      <c r="G496" t="s">
        <v>2453</v>
      </c>
      <c r="H496" s="23">
        <v>0.33333333333333331</v>
      </c>
      <c r="I496" t="s">
        <v>2688</v>
      </c>
      <c r="J496" t="s">
        <v>2638</v>
      </c>
      <c r="K496" t="s">
        <v>2639</v>
      </c>
      <c r="L496" t="s">
        <v>2492</v>
      </c>
      <c r="M496" t="s">
        <v>2503</v>
      </c>
      <c r="N496" s="6">
        <v>45993</v>
      </c>
      <c r="O496" t="s">
        <v>2457</v>
      </c>
      <c r="P496" t="s">
        <v>2445</v>
      </c>
      <c r="Q496" s="23">
        <v>0.33982638888888889</v>
      </c>
      <c r="R496" s="23">
        <v>0.62729166666666669</v>
      </c>
      <c r="S496">
        <v>24</v>
      </c>
      <c r="T496" t="s">
        <v>2443</v>
      </c>
      <c r="U496" t="s">
        <v>2640</v>
      </c>
      <c r="V496">
        <v>6.4</v>
      </c>
      <c r="W496">
        <v>6.4</v>
      </c>
      <c r="X496" t="s">
        <v>2689</v>
      </c>
      <c r="Y496" t="s">
        <v>2689</v>
      </c>
      <c r="Z496" t="s">
        <v>2689</v>
      </c>
      <c r="AA496" t="s">
        <v>2689</v>
      </c>
      <c r="AC496" t="s">
        <v>2689</v>
      </c>
      <c r="AD496" t="s">
        <v>2689</v>
      </c>
      <c r="AE496" t="s">
        <v>2689</v>
      </c>
      <c r="AF496" t="s">
        <v>2689</v>
      </c>
      <c r="AH496">
        <v>153.6</v>
      </c>
      <c r="AI496" t="s">
        <v>2690</v>
      </c>
      <c r="AJ496" t="s">
        <v>2690</v>
      </c>
      <c r="AK496" t="s">
        <v>2690</v>
      </c>
      <c r="AL496" t="s">
        <v>2690</v>
      </c>
      <c r="AP496">
        <v>153.6</v>
      </c>
      <c r="AR496" s="23">
        <v>0.33982638888888889</v>
      </c>
      <c r="AS496" s="23">
        <v>0.62729166666666669</v>
      </c>
      <c r="AT496" s="23">
        <v>0.33982638888888889</v>
      </c>
      <c r="AU496" t="s">
        <v>2689</v>
      </c>
      <c r="AV496" t="s">
        <v>2637</v>
      </c>
      <c r="AY496">
        <v>0.5</v>
      </c>
      <c r="AZ496" t="s">
        <v>3244</v>
      </c>
      <c r="BA496" t="s">
        <v>2752</v>
      </c>
      <c r="BD496" t="s">
        <v>2641</v>
      </c>
      <c r="BE496" t="s">
        <v>2642</v>
      </c>
      <c r="BG496">
        <v>0</v>
      </c>
      <c r="BH496">
        <v>0</v>
      </c>
      <c r="BJ496">
        <v>0</v>
      </c>
    </row>
    <row r="497" spans="1:62" x14ac:dyDescent="0.2">
      <c r="A497" t="s">
        <v>2492</v>
      </c>
      <c r="B497" t="s">
        <v>2492</v>
      </c>
      <c r="C497">
        <v>100049312</v>
      </c>
      <c r="D497" t="s">
        <v>2748</v>
      </c>
      <c r="E497" t="s">
        <v>2439</v>
      </c>
      <c r="F497" t="s">
        <v>2452</v>
      </c>
      <c r="G497" t="s">
        <v>2453</v>
      </c>
      <c r="H497" s="23">
        <v>0.33333333333333331</v>
      </c>
      <c r="I497" t="s">
        <v>2688</v>
      </c>
      <c r="J497" t="s">
        <v>2638</v>
      </c>
      <c r="K497" t="s">
        <v>2639</v>
      </c>
      <c r="L497" t="s">
        <v>2492</v>
      </c>
      <c r="M497" t="s">
        <v>2503</v>
      </c>
      <c r="N497" s="6">
        <v>45994</v>
      </c>
      <c r="O497" t="s">
        <v>2458</v>
      </c>
      <c r="P497" t="s">
        <v>2445</v>
      </c>
      <c r="Q497" s="23">
        <v>0.36863425925925924</v>
      </c>
      <c r="R497" s="23">
        <v>0.63223379629629628</v>
      </c>
      <c r="S497">
        <v>24</v>
      </c>
      <c r="T497" t="s">
        <v>2443</v>
      </c>
      <c r="U497" t="s">
        <v>2640</v>
      </c>
      <c r="V497">
        <v>5.83</v>
      </c>
      <c r="W497">
        <v>5.83</v>
      </c>
      <c r="X497" t="s">
        <v>2689</v>
      </c>
      <c r="Y497" t="s">
        <v>2689</v>
      </c>
      <c r="Z497" t="s">
        <v>2689</v>
      </c>
      <c r="AA497" t="s">
        <v>2689</v>
      </c>
      <c r="AC497" t="s">
        <v>2689</v>
      </c>
      <c r="AD497" t="s">
        <v>2689</v>
      </c>
      <c r="AE497" t="s">
        <v>2689</v>
      </c>
      <c r="AF497" t="s">
        <v>2689</v>
      </c>
      <c r="AH497">
        <v>139.91999999999999</v>
      </c>
      <c r="AI497" t="s">
        <v>2690</v>
      </c>
      <c r="AJ497" t="s">
        <v>2690</v>
      </c>
      <c r="AK497" t="s">
        <v>2690</v>
      </c>
      <c r="AL497" t="s">
        <v>2690</v>
      </c>
      <c r="AP497">
        <v>139.91999999999999</v>
      </c>
      <c r="AR497" s="23">
        <v>0.36863425925925924</v>
      </c>
      <c r="AS497" s="23">
        <v>0.63223379629629628</v>
      </c>
      <c r="AT497" s="23">
        <v>0.36863425925925924</v>
      </c>
      <c r="AU497" t="s">
        <v>2689</v>
      </c>
      <c r="AV497" t="s">
        <v>2637</v>
      </c>
      <c r="AY497">
        <v>0.5</v>
      </c>
      <c r="AZ497" t="s">
        <v>3245</v>
      </c>
      <c r="BA497" t="s">
        <v>2754</v>
      </c>
      <c r="BD497" t="s">
        <v>2641</v>
      </c>
      <c r="BE497" t="s">
        <v>2642</v>
      </c>
      <c r="BG497">
        <v>0</v>
      </c>
      <c r="BH497">
        <v>0</v>
      </c>
      <c r="BJ497">
        <v>0</v>
      </c>
    </row>
    <row r="498" spans="1:62" x14ac:dyDescent="0.2">
      <c r="A498" t="s">
        <v>2492</v>
      </c>
      <c r="B498" t="s">
        <v>2492</v>
      </c>
      <c r="C498">
        <v>100049312</v>
      </c>
      <c r="D498" t="s">
        <v>2748</v>
      </c>
      <c r="E498" t="s">
        <v>2439</v>
      </c>
      <c r="F498" t="s">
        <v>2452</v>
      </c>
      <c r="G498" t="s">
        <v>2453</v>
      </c>
      <c r="H498" s="23">
        <v>0.33333333333333331</v>
      </c>
      <c r="I498" t="s">
        <v>2688</v>
      </c>
      <c r="J498" t="s">
        <v>2638</v>
      </c>
      <c r="K498" t="s">
        <v>2639</v>
      </c>
      <c r="L498" t="s">
        <v>2492</v>
      </c>
      <c r="M498" t="s">
        <v>2503</v>
      </c>
      <c r="N498" s="6">
        <v>45995</v>
      </c>
      <c r="O498" t="s">
        <v>2459</v>
      </c>
      <c r="P498" t="s">
        <v>2445</v>
      </c>
      <c r="Q498" s="23">
        <v>0.36667824074074074</v>
      </c>
      <c r="R498" s="23">
        <v>0.68297453703703703</v>
      </c>
      <c r="S498">
        <v>24</v>
      </c>
      <c r="T498" t="s">
        <v>2443</v>
      </c>
      <c r="U498" t="s">
        <v>2640</v>
      </c>
      <c r="V498">
        <v>7.09</v>
      </c>
      <c r="W498">
        <v>7.09</v>
      </c>
      <c r="X498" t="s">
        <v>2689</v>
      </c>
      <c r="Y498" t="s">
        <v>2689</v>
      </c>
      <c r="Z498" t="s">
        <v>2689</v>
      </c>
      <c r="AA498" t="s">
        <v>2689</v>
      </c>
      <c r="AC498" t="s">
        <v>2689</v>
      </c>
      <c r="AD498" t="s">
        <v>2689</v>
      </c>
      <c r="AE498" t="s">
        <v>2689</v>
      </c>
      <c r="AF498" t="s">
        <v>2689</v>
      </c>
      <c r="AH498">
        <v>170.16</v>
      </c>
      <c r="AI498" t="s">
        <v>2690</v>
      </c>
      <c r="AJ498" t="s">
        <v>2690</v>
      </c>
      <c r="AK498" t="s">
        <v>2690</v>
      </c>
      <c r="AL498" t="s">
        <v>2690</v>
      </c>
      <c r="AP498">
        <v>170.16</v>
      </c>
      <c r="AR498" s="23">
        <v>0.36667824074074074</v>
      </c>
      <c r="AS498" s="23">
        <v>0.68297453703703703</v>
      </c>
      <c r="AT498" s="23">
        <v>0.36667824074074074</v>
      </c>
      <c r="AU498" t="s">
        <v>2689</v>
      </c>
      <c r="AV498" t="s">
        <v>2637</v>
      </c>
      <c r="AY498">
        <v>0.5</v>
      </c>
      <c r="AZ498" t="s">
        <v>3246</v>
      </c>
      <c r="BA498" t="s">
        <v>2754</v>
      </c>
      <c r="BD498" t="s">
        <v>2641</v>
      </c>
      <c r="BE498" t="s">
        <v>2642</v>
      </c>
      <c r="BG498">
        <v>0</v>
      </c>
      <c r="BH498">
        <v>0</v>
      </c>
      <c r="BJ498">
        <v>0</v>
      </c>
    </row>
    <row r="499" spans="1:62" x14ac:dyDescent="0.2">
      <c r="A499" t="s">
        <v>2492</v>
      </c>
      <c r="B499" t="s">
        <v>2492</v>
      </c>
      <c r="C499">
        <v>100049312</v>
      </c>
      <c r="D499" t="s">
        <v>2748</v>
      </c>
      <c r="E499" t="s">
        <v>2439</v>
      </c>
      <c r="F499" t="s">
        <v>2452</v>
      </c>
      <c r="G499" t="s">
        <v>2453</v>
      </c>
      <c r="H499" s="23">
        <v>0.33333333333333331</v>
      </c>
      <c r="I499" t="s">
        <v>2688</v>
      </c>
      <c r="J499" t="s">
        <v>2638</v>
      </c>
      <c r="K499" t="s">
        <v>2639</v>
      </c>
      <c r="L499" t="s">
        <v>2492</v>
      </c>
      <c r="M499" t="s">
        <v>2503</v>
      </c>
      <c r="N499" s="6">
        <v>45999</v>
      </c>
      <c r="O499" t="s">
        <v>2455</v>
      </c>
      <c r="P499" t="s">
        <v>2445</v>
      </c>
      <c r="Q499" s="23">
        <v>0.42431712962962964</v>
      </c>
      <c r="R499" s="23">
        <v>0.66158564814814813</v>
      </c>
      <c r="S499">
        <v>24</v>
      </c>
      <c r="T499" t="s">
        <v>2443</v>
      </c>
      <c r="U499" t="s">
        <v>2640</v>
      </c>
      <c r="V499">
        <v>5.19</v>
      </c>
      <c r="W499">
        <v>5.19</v>
      </c>
      <c r="X499" t="s">
        <v>2689</v>
      </c>
      <c r="Y499" t="s">
        <v>2689</v>
      </c>
      <c r="Z499" t="s">
        <v>2689</v>
      </c>
      <c r="AA499" t="s">
        <v>2689</v>
      </c>
      <c r="AC499" t="s">
        <v>2689</v>
      </c>
      <c r="AD499" t="s">
        <v>2689</v>
      </c>
      <c r="AE499" t="s">
        <v>2689</v>
      </c>
      <c r="AF499" t="s">
        <v>2689</v>
      </c>
      <c r="AH499">
        <v>124.56</v>
      </c>
      <c r="AI499" t="s">
        <v>2690</v>
      </c>
      <c r="AJ499" t="s">
        <v>2690</v>
      </c>
      <c r="AK499" t="s">
        <v>2690</v>
      </c>
      <c r="AL499" t="s">
        <v>2690</v>
      </c>
      <c r="AP499">
        <v>124.56</v>
      </c>
      <c r="AR499" s="23">
        <v>0.42431712962962964</v>
      </c>
      <c r="AS499" s="23">
        <v>0.66158564814814813</v>
      </c>
      <c r="AT499" s="23">
        <v>0.42431712962962964</v>
      </c>
      <c r="AU499" t="s">
        <v>2689</v>
      </c>
      <c r="AV499" t="s">
        <v>2637</v>
      </c>
      <c r="AY499">
        <v>0.5</v>
      </c>
      <c r="AZ499" t="s">
        <v>3247</v>
      </c>
      <c r="BA499" t="s">
        <v>2861</v>
      </c>
      <c r="BD499" t="s">
        <v>2641</v>
      </c>
      <c r="BE499" t="s">
        <v>2642</v>
      </c>
      <c r="BG499">
        <v>0</v>
      </c>
      <c r="BH499">
        <v>0</v>
      </c>
      <c r="BJ499">
        <v>0</v>
      </c>
    </row>
    <row r="500" spans="1:62" x14ac:dyDescent="0.2">
      <c r="A500" t="s">
        <v>2492</v>
      </c>
      <c r="B500" t="s">
        <v>2492</v>
      </c>
      <c r="C500">
        <v>100049312</v>
      </c>
      <c r="D500" t="s">
        <v>2748</v>
      </c>
      <c r="E500" t="s">
        <v>2439</v>
      </c>
      <c r="F500" t="s">
        <v>2452</v>
      </c>
      <c r="G500" t="s">
        <v>2453</v>
      </c>
      <c r="H500" s="23">
        <v>0.33333333333333331</v>
      </c>
      <c r="I500" t="s">
        <v>2688</v>
      </c>
      <c r="J500" t="s">
        <v>2638</v>
      </c>
      <c r="K500" t="s">
        <v>2639</v>
      </c>
      <c r="L500" t="s">
        <v>2492</v>
      </c>
      <c r="M500" t="s">
        <v>2503</v>
      </c>
      <c r="N500" s="6">
        <v>46000</v>
      </c>
      <c r="O500" t="s">
        <v>2457</v>
      </c>
      <c r="P500" t="s">
        <v>2445</v>
      </c>
      <c r="Q500" s="23">
        <v>0.34017361111111111</v>
      </c>
      <c r="R500" s="23">
        <v>0.61303240740740739</v>
      </c>
      <c r="S500">
        <v>24</v>
      </c>
      <c r="T500" t="s">
        <v>2443</v>
      </c>
      <c r="U500" t="s">
        <v>2640</v>
      </c>
      <c r="V500">
        <v>6.05</v>
      </c>
      <c r="W500">
        <v>6.05</v>
      </c>
      <c r="X500" t="s">
        <v>2689</v>
      </c>
      <c r="Y500" t="s">
        <v>2689</v>
      </c>
      <c r="Z500" t="s">
        <v>2689</v>
      </c>
      <c r="AA500" t="s">
        <v>2689</v>
      </c>
      <c r="AC500" t="s">
        <v>2689</v>
      </c>
      <c r="AD500" t="s">
        <v>2689</v>
      </c>
      <c r="AE500" t="s">
        <v>2689</v>
      </c>
      <c r="AF500" t="s">
        <v>2689</v>
      </c>
      <c r="AH500">
        <v>145.19999999999999</v>
      </c>
      <c r="AI500" t="s">
        <v>2690</v>
      </c>
      <c r="AJ500" t="s">
        <v>2690</v>
      </c>
      <c r="AK500" t="s">
        <v>2690</v>
      </c>
      <c r="AL500" t="s">
        <v>2690</v>
      </c>
      <c r="AP500">
        <v>145.19999999999999</v>
      </c>
      <c r="AR500" s="23">
        <v>0.34017361111111111</v>
      </c>
      <c r="AS500" s="23">
        <v>0.61303240740740739</v>
      </c>
      <c r="AT500" s="23">
        <v>0.34017361111111111</v>
      </c>
      <c r="AU500" t="s">
        <v>2689</v>
      </c>
      <c r="AV500" t="s">
        <v>2637</v>
      </c>
      <c r="AY500">
        <v>0.5</v>
      </c>
      <c r="AZ500" t="s">
        <v>3248</v>
      </c>
      <c r="BA500" t="s">
        <v>2757</v>
      </c>
      <c r="BD500" t="s">
        <v>2641</v>
      </c>
      <c r="BE500" t="s">
        <v>2642</v>
      </c>
      <c r="BG500">
        <v>0</v>
      </c>
      <c r="BH500">
        <v>0</v>
      </c>
      <c r="BJ500">
        <v>0</v>
      </c>
    </row>
    <row r="501" spans="1:62" x14ac:dyDescent="0.2">
      <c r="A501" t="s">
        <v>2492</v>
      </c>
      <c r="B501" t="s">
        <v>2492</v>
      </c>
      <c r="C501">
        <v>100049312</v>
      </c>
      <c r="D501" t="s">
        <v>2748</v>
      </c>
      <c r="E501" t="s">
        <v>2439</v>
      </c>
      <c r="F501" t="s">
        <v>2452</v>
      </c>
      <c r="G501" t="s">
        <v>2453</v>
      </c>
      <c r="H501" s="23">
        <v>0.33333333333333331</v>
      </c>
      <c r="I501" t="s">
        <v>2688</v>
      </c>
      <c r="J501" t="s">
        <v>2638</v>
      </c>
      <c r="K501" t="s">
        <v>2639</v>
      </c>
      <c r="L501" t="s">
        <v>2492</v>
      </c>
      <c r="M501" t="s">
        <v>2503</v>
      </c>
      <c r="N501" s="6">
        <v>46001</v>
      </c>
      <c r="O501" t="s">
        <v>2458</v>
      </c>
      <c r="P501" t="s">
        <v>2445</v>
      </c>
      <c r="Q501" s="23">
        <v>0.37081018518518516</v>
      </c>
      <c r="R501" s="23">
        <v>0.6693055555555556</v>
      </c>
      <c r="S501">
        <v>24</v>
      </c>
      <c r="T501" t="s">
        <v>2443</v>
      </c>
      <c r="U501" t="s">
        <v>2640</v>
      </c>
      <c r="V501">
        <v>6.66</v>
      </c>
      <c r="W501">
        <v>6.66</v>
      </c>
      <c r="X501" t="s">
        <v>2689</v>
      </c>
      <c r="Y501" t="s">
        <v>2689</v>
      </c>
      <c r="Z501" t="s">
        <v>2689</v>
      </c>
      <c r="AA501" t="s">
        <v>2689</v>
      </c>
      <c r="AC501" t="s">
        <v>2689</v>
      </c>
      <c r="AD501" t="s">
        <v>2689</v>
      </c>
      <c r="AE501" t="s">
        <v>2689</v>
      </c>
      <c r="AF501" t="s">
        <v>2689</v>
      </c>
      <c r="AH501">
        <v>159.84</v>
      </c>
      <c r="AI501" t="s">
        <v>2690</v>
      </c>
      <c r="AJ501" t="s">
        <v>2690</v>
      </c>
      <c r="AK501" t="s">
        <v>2690</v>
      </c>
      <c r="AL501" t="s">
        <v>2690</v>
      </c>
      <c r="AP501">
        <v>159.84</v>
      </c>
      <c r="AR501" s="23">
        <v>0.37081018518518516</v>
      </c>
      <c r="AS501" s="23">
        <v>0.6693055555555556</v>
      </c>
      <c r="AT501" s="23">
        <v>0.37081018518518516</v>
      </c>
      <c r="AU501" t="s">
        <v>2689</v>
      </c>
      <c r="AV501" t="s">
        <v>2637</v>
      </c>
      <c r="AY501">
        <v>0.5</v>
      </c>
      <c r="AZ501" t="s">
        <v>3249</v>
      </c>
      <c r="BA501" t="s">
        <v>2759</v>
      </c>
      <c r="BD501" t="s">
        <v>2641</v>
      </c>
      <c r="BE501" t="s">
        <v>2642</v>
      </c>
      <c r="BG501">
        <v>0</v>
      </c>
      <c r="BH501">
        <v>0</v>
      </c>
      <c r="BJ501">
        <v>0</v>
      </c>
    </row>
    <row r="502" spans="1:62" x14ac:dyDescent="0.2">
      <c r="A502" t="s">
        <v>2492</v>
      </c>
      <c r="B502" t="s">
        <v>2492</v>
      </c>
      <c r="C502">
        <v>100049312</v>
      </c>
      <c r="D502" t="s">
        <v>2748</v>
      </c>
      <c r="E502" t="s">
        <v>2439</v>
      </c>
      <c r="F502" t="s">
        <v>2452</v>
      </c>
      <c r="G502" t="s">
        <v>2453</v>
      </c>
      <c r="H502" s="23">
        <v>0.33333333333333331</v>
      </c>
      <c r="I502" t="s">
        <v>2688</v>
      </c>
      <c r="J502" t="s">
        <v>2638</v>
      </c>
      <c r="K502" t="s">
        <v>2639</v>
      </c>
      <c r="L502" t="s">
        <v>2492</v>
      </c>
      <c r="M502" t="s">
        <v>2503</v>
      </c>
      <c r="N502" s="6">
        <v>46006</v>
      </c>
      <c r="O502" t="s">
        <v>2455</v>
      </c>
      <c r="P502" t="s">
        <v>2445</v>
      </c>
      <c r="Q502" s="23">
        <v>0.34072916666666669</v>
      </c>
      <c r="R502" s="23">
        <v>0.69526620370370373</v>
      </c>
      <c r="S502">
        <v>24</v>
      </c>
      <c r="T502" t="s">
        <v>2443</v>
      </c>
      <c r="U502" t="s">
        <v>2640</v>
      </c>
      <c r="V502">
        <v>8.01</v>
      </c>
      <c r="W502">
        <v>8</v>
      </c>
      <c r="X502">
        <v>0.01</v>
      </c>
      <c r="Y502" t="s">
        <v>2689</v>
      </c>
      <c r="Z502" t="s">
        <v>2689</v>
      </c>
      <c r="AA502" t="s">
        <v>2689</v>
      </c>
      <c r="AC502" t="s">
        <v>2689</v>
      </c>
      <c r="AD502" t="s">
        <v>2689</v>
      </c>
      <c r="AE502" t="s">
        <v>2689</v>
      </c>
      <c r="AF502" t="s">
        <v>2689</v>
      </c>
      <c r="AH502">
        <v>192</v>
      </c>
      <c r="AI502">
        <v>0.36</v>
      </c>
      <c r="AJ502" t="s">
        <v>2690</v>
      </c>
      <c r="AK502" t="s">
        <v>2690</v>
      </c>
      <c r="AL502" t="s">
        <v>2690</v>
      </c>
      <c r="AP502">
        <v>192.36</v>
      </c>
      <c r="AR502" s="23">
        <v>0.34072916666666669</v>
      </c>
      <c r="AS502" s="23">
        <v>0.69526620370370373</v>
      </c>
      <c r="AT502" s="23">
        <v>0.34072916666666669</v>
      </c>
      <c r="AU502" t="s">
        <v>2689</v>
      </c>
      <c r="AV502" t="s">
        <v>2637</v>
      </c>
      <c r="AY502">
        <v>0.5</v>
      </c>
      <c r="AZ502" t="s">
        <v>3250</v>
      </c>
      <c r="BA502" t="s">
        <v>2769</v>
      </c>
      <c r="BD502" t="s">
        <v>2641</v>
      </c>
      <c r="BE502" t="s">
        <v>2642</v>
      </c>
      <c r="BG502">
        <v>0</v>
      </c>
      <c r="BH502">
        <v>0</v>
      </c>
      <c r="BJ502">
        <v>0</v>
      </c>
    </row>
    <row r="503" spans="1:62" x14ac:dyDescent="0.2">
      <c r="A503" t="s">
        <v>2492</v>
      </c>
      <c r="B503" t="s">
        <v>2492</v>
      </c>
      <c r="C503">
        <v>100049312</v>
      </c>
      <c r="D503" t="s">
        <v>2748</v>
      </c>
      <c r="E503" t="s">
        <v>2439</v>
      </c>
      <c r="F503" t="s">
        <v>2452</v>
      </c>
      <c r="G503" t="s">
        <v>2453</v>
      </c>
      <c r="H503" s="23">
        <v>0.33333333333333331</v>
      </c>
      <c r="I503" t="s">
        <v>2688</v>
      </c>
      <c r="J503" t="s">
        <v>2638</v>
      </c>
      <c r="K503" t="s">
        <v>2639</v>
      </c>
      <c r="L503" t="s">
        <v>2492</v>
      </c>
      <c r="M503" t="s">
        <v>2503</v>
      </c>
      <c r="N503" s="6">
        <v>46007</v>
      </c>
      <c r="O503" t="s">
        <v>2457</v>
      </c>
      <c r="P503" t="s">
        <v>2445</v>
      </c>
      <c r="Q503" s="23">
        <v>0.34181712962962962</v>
      </c>
      <c r="R503" s="23">
        <v>0.65789351851851852</v>
      </c>
      <c r="S503">
        <v>24</v>
      </c>
      <c r="T503" t="s">
        <v>2443</v>
      </c>
      <c r="U503" t="s">
        <v>2640</v>
      </c>
      <c r="V503">
        <v>7.09</v>
      </c>
      <c r="W503">
        <v>7.09</v>
      </c>
      <c r="X503" t="s">
        <v>2689</v>
      </c>
      <c r="Y503" t="s">
        <v>2689</v>
      </c>
      <c r="Z503" t="s">
        <v>2689</v>
      </c>
      <c r="AA503" t="s">
        <v>2689</v>
      </c>
      <c r="AC503" t="s">
        <v>2689</v>
      </c>
      <c r="AD503" t="s">
        <v>2689</v>
      </c>
      <c r="AE503" t="s">
        <v>2689</v>
      </c>
      <c r="AF503" t="s">
        <v>2689</v>
      </c>
      <c r="AH503">
        <v>170.16</v>
      </c>
      <c r="AI503" t="s">
        <v>2690</v>
      </c>
      <c r="AJ503" t="s">
        <v>2690</v>
      </c>
      <c r="AK503" t="s">
        <v>2690</v>
      </c>
      <c r="AL503" t="s">
        <v>2690</v>
      </c>
      <c r="AP503">
        <v>170.16</v>
      </c>
      <c r="AR503" s="23">
        <v>0.34181712962962962</v>
      </c>
      <c r="AS503" s="23">
        <v>0.65789351851851852</v>
      </c>
      <c r="AT503" s="23">
        <v>0.34181712962962962</v>
      </c>
      <c r="AU503" t="s">
        <v>2689</v>
      </c>
      <c r="AV503" t="s">
        <v>2637</v>
      </c>
      <c r="AY503">
        <v>0.5</v>
      </c>
      <c r="BA503" t="s">
        <v>2761</v>
      </c>
      <c r="BD503" t="s">
        <v>2641</v>
      </c>
      <c r="BE503" t="s">
        <v>2642</v>
      </c>
      <c r="BF503" t="s">
        <v>2446</v>
      </c>
      <c r="BG503">
        <v>0</v>
      </c>
      <c r="BH503">
        <v>0</v>
      </c>
      <c r="BJ503">
        <v>0</v>
      </c>
    </row>
    <row r="504" spans="1:62" x14ac:dyDescent="0.2">
      <c r="A504" t="s">
        <v>2492</v>
      </c>
      <c r="B504" t="s">
        <v>2492</v>
      </c>
      <c r="C504">
        <v>100049312</v>
      </c>
      <c r="D504" t="s">
        <v>2748</v>
      </c>
      <c r="E504" t="s">
        <v>2439</v>
      </c>
      <c r="F504" t="s">
        <v>2452</v>
      </c>
      <c r="G504" t="s">
        <v>2453</v>
      </c>
      <c r="H504" s="23">
        <v>0.33333333333333331</v>
      </c>
      <c r="I504" t="s">
        <v>2688</v>
      </c>
      <c r="J504" t="s">
        <v>2638</v>
      </c>
      <c r="K504" t="s">
        <v>2639</v>
      </c>
      <c r="L504" t="s">
        <v>2492</v>
      </c>
      <c r="M504" t="s">
        <v>2503</v>
      </c>
      <c r="N504" s="6">
        <v>46008</v>
      </c>
      <c r="O504" t="s">
        <v>2458</v>
      </c>
      <c r="P504" t="s">
        <v>2445</v>
      </c>
      <c r="Q504" s="23">
        <v>0.33333333333333331</v>
      </c>
      <c r="R504" s="23">
        <v>0.6875</v>
      </c>
      <c r="S504">
        <v>24</v>
      </c>
      <c r="T504" t="s">
        <v>2443</v>
      </c>
      <c r="U504" t="s">
        <v>2640</v>
      </c>
      <c r="V504">
        <v>8</v>
      </c>
      <c r="W504">
        <v>8</v>
      </c>
      <c r="X504" t="s">
        <v>2689</v>
      </c>
      <c r="Y504" t="s">
        <v>2689</v>
      </c>
      <c r="Z504" t="s">
        <v>2689</v>
      </c>
      <c r="AA504" t="s">
        <v>2689</v>
      </c>
      <c r="AC504" t="s">
        <v>2689</v>
      </c>
      <c r="AD504" t="s">
        <v>2689</v>
      </c>
      <c r="AE504" t="s">
        <v>2689</v>
      </c>
      <c r="AF504" t="s">
        <v>2689</v>
      </c>
      <c r="AH504">
        <v>192</v>
      </c>
      <c r="AI504" t="s">
        <v>2690</v>
      </c>
      <c r="AJ504" t="s">
        <v>2690</v>
      </c>
      <c r="AK504" t="s">
        <v>2690</v>
      </c>
      <c r="AL504" t="s">
        <v>2690</v>
      </c>
      <c r="AP504">
        <v>192</v>
      </c>
      <c r="AU504" t="s">
        <v>2689</v>
      </c>
      <c r="AV504" t="s">
        <v>2637</v>
      </c>
      <c r="AY504">
        <v>0.5</v>
      </c>
      <c r="AZ504" t="s">
        <v>3251</v>
      </c>
      <c r="BA504" t="s">
        <v>2771</v>
      </c>
      <c r="BD504" t="s">
        <v>2641</v>
      </c>
      <c r="BE504" t="s">
        <v>2642</v>
      </c>
      <c r="BF504" t="s">
        <v>2456</v>
      </c>
      <c r="BG504">
        <v>0</v>
      </c>
      <c r="BH504">
        <v>0</v>
      </c>
      <c r="BJ504">
        <v>0</v>
      </c>
    </row>
    <row r="505" spans="1:62" x14ac:dyDescent="0.2">
      <c r="A505" t="s">
        <v>2492</v>
      </c>
      <c r="B505" t="s">
        <v>2492</v>
      </c>
      <c r="C505">
        <v>100049312</v>
      </c>
      <c r="D505" t="s">
        <v>2748</v>
      </c>
      <c r="E505" t="s">
        <v>2439</v>
      </c>
      <c r="F505" t="s">
        <v>2452</v>
      </c>
      <c r="G505" t="s">
        <v>2453</v>
      </c>
      <c r="H505" s="23">
        <v>0.33333333333333331</v>
      </c>
      <c r="I505" t="s">
        <v>2688</v>
      </c>
      <c r="J505" t="s">
        <v>2638</v>
      </c>
      <c r="K505" t="s">
        <v>2639</v>
      </c>
      <c r="L505" t="s">
        <v>2492</v>
      </c>
      <c r="M505" t="s">
        <v>2503</v>
      </c>
      <c r="N505" s="6">
        <v>46009</v>
      </c>
      <c r="O505" t="s">
        <v>2459</v>
      </c>
      <c r="P505" t="s">
        <v>2445</v>
      </c>
      <c r="Q505" s="23">
        <v>0.37357638888888889</v>
      </c>
      <c r="R505" s="23">
        <v>0.55171296296296302</v>
      </c>
      <c r="S505">
        <v>24</v>
      </c>
      <c r="T505" t="s">
        <v>2443</v>
      </c>
      <c r="U505" t="s">
        <v>2640</v>
      </c>
      <c r="V505">
        <v>4.28</v>
      </c>
      <c r="W505">
        <v>4.28</v>
      </c>
      <c r="X505" t="s">
        <v>2689</v>
      </c>
      <c r="Y505" t="s">
        <v>2689</v>
      </c>
      <c r="Z505" t="s">
        <v>2689</v>
      </c>
      <c r="AA505" t="s">
        <v>2689</v>
      </c>
      <c r="AC505" t="s">
        <v>2689</v>
      </c>
      <c r="AD505" t="s">
        <v>2689</v>
      </c>
      <c r="AE505" t="s">
        <v>2689</v>
      </c>
      <c r="AF505" t="s">
        <v>2689</v>
      </c>
      <c r="AH505">
        <v>102.72</v>
      </c>
      <c r="AI505" t="s">
        <v>2690</v>
      </c>
      <c r="AJ505" t="s">
        <v>2690</v>
      </c>
      <c r="AK505" t="s">
        <v>2690</v>
      </c>
      <c r="AL505" t="s">
        <v>2690</v>
      </c>
      <c r="AP505">
        <v>102.72</v>
      </c>
      <c r="AR505" s="23">
        <v>0.37357638888888889</v>
      </c>
      <c r="AS505" s="23">
        <v>0.55171296296296302</v>
      </c>
      <c r="AT505" s="23">
        <v>0.37357638888888889</v>
      </c>
      <c r="AU505" t="s">
        <v>2689</v>
      </c>
      <c r="AV505" t="s">
        <v>2637</v>
      </c>
      <c r="BA505" t="s">
        <v>2765</v>
      </c>
      <c r="BD505" t="s">
        <v>2641</v>
      </c>
      <c r="BE505" t="s">
        <v>2642</v>
      </c>
      <c r="BG505">
        <v>0</v>
      </c>
      <c r="BH505">
        <v>0</v>
      </c>
      <c r="BJ505">
        <v>0</v>
      </c>
    </row>
    <row r="506" spans="1:62" x14ac:dyDescent="0.2">
      <c r="A506" t="s">
        <v>2492</v>
      </c>
      <c r="B506" t="s">
        <v>2492</v>
      </c>
      <c r="C506">
        <v>100072249</v>
      </c>
      <c r="D506" t="s">
        <v>2644</v>
      </c>
      <c r="E506" t="s">
        <v>2439</v>
      </c>
      <c r="F506" t="s">
        <v>2452</v>
      </c>
      <c r="G506" t="s">
        <v>2453</v>
      </c>
      <c r="H506" s="23">
        <v>0.33333333333333331</v>
      </c>
      <c r="I506" t="s">
        <v>2688</v>
      </c>
      <c r="J506" t="s">
        <v>2645</v>
      </c>
      <c r="K506" t="s">
        <v>2646</v>
      </c>
      <c r="L506" t="s">
        <v>2492</v>
      </c>
      <c r="M506" t="s">
        <v>2493</v>
      </c>
      <c r="N506" s="6">
        <v>46006</v>
      </c>
      <c r="O506" t="s">
        <v>2455</v>
      </c>
      <c r="P506" t="s">
        <v>2445</v>
      </c>
      <c r="Q506" s="23">
        <v>0.42427083333333332</v>
      </c>
      <c r="R506" s="23">
        <v>0.77217592592592588</v>
      </c>
      <c r="S506">
        <v>20</v>
      </c>
      <c r="T506">
        <v>1</v>
      </c>
      <c r="U506" t="s">
        <v>2647</v>
      </c>
      <c r="V506">
        <v>7.85</v>
      </c>
      <c r="W506">
        <v>7.85</v>
      </c>
      <c r="X506" t="s">
        <v>2689</v>
      </c>
      <c r="Y506" t="s">
        <v>2689</v>
      </c>
      <c r="Z506" t="s">
        <v>2689</v>
      </c>
      <c r="AA506" t="s">
        <v>2689</v>
      </c>
      <c r="AC506" t="s">
        <v>2689</v>
      </c>
      <c r="AD506" t="s">
        <v>2689</v>
      </c>
      <c r="AE506" t="s">
        <v>2689</v>
      </c>
      <c r="AF506" t="s">
        <v>2689</v>
      </c>
      <c r="AH506">
        <v>157</v>
      </c>
      <c r="AI506" t="s">
        <v>2690</v>
      </c>
      <c r="AJ506" t="s">
        <v>2690</v>
      </c>
      <c r="AK506" t="s">
        <v>2690</v>
      </c>
      <c r="AL506" t="s">
        <v>2690</v>
      </c>
      <c r="AP506">
        <v>157</v>
      </c>
      <c r="AQ506" t="s">
        <v>2442</v>
      </c>
      <c r="AR506" s="23">
        <v>0.42427083333333332</v>
      </c>
      <c r="AS506" s="23">
        <v>0.77217592592592588</v>
      </c>
      <c r="AT506" s="23">
        <v>0.41666666666666669</v>
      </c>
      <c r="AU506" s="23">
        <v>0.72916666666666663</v>
      </c>
      <c r="AV506" t="s">
        <v>2637</v>
      </c>
      <c r="AY506">
        <v>0.5</v>
      </c>
      <c r="AZ506" t="s">
        <v>3252</v>
      </c>
      <c r="BA506" t="s">
        <v>2769</v>
      </c>
      <c r="BD506" t="s">
        <v>2643</v>
      </c>
      <c r="BE506" t="s">
        <v>2485</v>
      </c>
      <c r="BF506" t="s">
        <v>2446</v>
      </c>
      <c r="BG506">
        <v>0</v>
      </c>
      <c r="BH506">
        <v>0</v>
      </c>
      <c r="BJ506">
        <v>0</v>
      </c>
    </row>
    <row r="507" spans="1:62" x14ac:dyDescent="0.2">
      <c r="A507" t="s">
        <v>2648</v>
      </c>
      <c r="B507" t="s">
        <v>2648</v>
      </c>
      <c r="C507">
        <v>100048102</v>
      </c>
      <c r="D507" t="s">
        <v>2749</v>
      </c>
      <c r="E507" t="s">
        <v>2439</v>
      </c>
      <c r="F507" t="s">
        <v>2452</v>
      </c>
      <c r="G507" t="s">
        <v>2453</v>
      </c>
      <c r="H507" s="23">
        <v>0.33333333333333331</v>
      </c>
      <c r="I507" t="s">
        <v>2688</v>
      </c>
      <c r="J507" t="s">
        <v>2651</v>
      </c>
      <c r="K507" t="s">
        <v>3253</v>
      </c>
      <c r="L507" t="s">
        <v>2648</v>
      </c>
      <c r="M507" t="s">
        <v>2649</v>
      </c>
      <c r="N507" s="6">
        <v>45992</v>
      </c>
      <c r="O507" t="s">
        <v>2455</v>
      </c>
      <c r="P507" t="s">
        <v>2445</v>
      </c>
      <c r="Q507" s="23">
        <v>0.375</v>
      </c>
      <c r="R507" s="23">
        <v>0.58333333333333337</v>
      </c>
      <c r="S507">
        <v>19</v>
      </c>
      <c r="T507" t="s">
        <v>2443</v>
      </c>
      <c r="U507" t="s">
        <v>2652</v>
      </c>
      <c r="V507">
        <v>5</v>
      </c>
      <c r="W507">
        <v>5</v>
      </c>
      <c r="X507" t="s">
        <v>2689</v>
      </c>
      <c r="Y507" t="s">
        <v>2689</v>
      </c>
      <c r="Z507" t="s">
        <v>2689</v>
      </c>
      <c r="AA507" t="s">
        <v>2689</v>
      </c>
      <c r="AC507" t="s">
        <v>2689</v>
      </c>
      <c r="AD507" t="s">
        <v>2689</v>
      </c>
      <c r="AE507" t="s">
        <v>2689</v>
      </c>
      <c r="AF507" t="s">
        <v>2689</v>
      </c>
      <c r="AH507">
        <v>95</v>
      </c>
      <c r="AI507" t="s">
        <v>2690</v>
      </c>
      <c r="AJ507" t="s">
        <v>2690</v>
      </c>
      <c r="AK507" t="s">
        <v>2690</v>
      </c>
      <c r="AL507" t="s">
        <v>2690</v>
      </c>
      <c r="AP507">
        <v>95</v>
      </c>
      <c r="AT507" s="23">
        <v>0.33333333333333331</v>
      </c>
      <c r="AU507" s="23">
        <v>0.70833333333333337</v>
      </c>
      <c r="AV507" t="s">
        <v>2650</v>
      </c>
      <c r="AX507">
        <v>100</v>
      </c>
      <c r="BA507" t="s">
        <v>2692</v>
      </c>
      <c r="BD507" t="s">
        <v>2653</v>
      </c>
      <c r="BE507" t="s">
        <v>2651</v>
      </c>
      <c r="BF507" t="s">
        <v>2682</v>
      </c>
      <c r="BG507">
        <v>0</v>
      </c>
      <c r="BH507">
        <v>0</v>
      </c>
      <c r="BJ507">
        <v>0</v>
      </c>
    </row>
    <row r="508" spans="1:62" x14ac:dyDescent="0.2">
      <c r="A508" t="s">
        <v>2648</v>
      </c>
      <c r="B508" t="s">
        <v>2648</v>
      </c>
      <c r="C508">
        <v>100048102</v>
      </c>
      <c r="D508" t="s">
        <v>2749</v>
      </c>
      <c r="E508" t="s">
        <v>2439</v>
      </c>
      <c r="F508" t="s">
        <v>2452</v>
      </c>
      <c r="G508" t="s">
        <v>2453</v>
      </c>
      <c r="H508" s="23">
        <v>0.33333333333333331</v>
      </c>
      <c r="I508" t="s">
        <v>2688</v>
      </c>
      <c r="J508" t="s">
        <v>2651</v>
      </c>
      <c r="K508" t="s">
        <v>3253</v>
      </c>
      <c r="L508" t="s">
        <v>2648</v>
      </c>
      <c r="M508" t="s">
        <v>2649</v>
      </c>
      <c r="N508" s="6">
        <v>45993</v>
      </c>
      <c r="O508" t="s">
        <v>2457</v>
      </c>
      <c r="P508" t="s">
        <v>2445</v>
      </c>
      <c r="Q508" s="23">
        <v>0.2540162037037037</v>
      </c>
      <c r="R508" s="23">
        <v>0.58936342592592594</v>
      </c>
      <c r="S508">
        <v>19</v>
      </c>
      <c r="T508" t="s">
        <v>2443</v>
      </c>
      <c r="U508" t="s">
        <v>2652</v>
      </c>
      <c r="V508">
        <v>7.55</v>
      </c>
      <c r="W508">
        <v>7.55</v>
      </c>
      <c r="X508" t="s">
        <v>2689</v>
      </c>
      <c r="Y508" t="s">
        <v>2689</v>
      </c>
      <c r="Z508" t="s">
        <v>2689</v>
      </c>
      <c r="AA508" t="s">
        <v>2689</v>
      </c>
      <c r="AC508" t="s">
        <v>2689</v>
      </c>
      <c r="AD508" t="s">
        <v>2689</v>
      </c>
      <c r="AE508" t="s">
        <v>2689</v>
      </c>
      <c r="AF508" t="s">
        <v>2689</v>
      </c>
      <c r="AH508">
        <v>143.44999999999999</v>
      </c>
      <c r="AI508" t="s">
        <v>2690</v>
      </c>
      <c r="AJ508" t="s">
        <v>2690</v>
      </c>
      <c r="AK508" t="s">
        <v>2690</v>
      </c>
      <c r="AL508" t="s">
        <v>2690</v>
      </c>
      <c r="AP508">
        <v>143.44999999999999</v>
      </c>
      <c r="AR508" s="23">
        <v>0.2540162037037037</v>
      </c>
      <c r="AS508" s="23">
        <v>0.58936342592592594</v>
      </c>
      <c r="AT508" s="23">
        <v>0.25</v>
      </c>
      <c r="AU508" s="23">
        <v>0.60416666666666663</v>
      </c>
      <c r="AV508" t="s">
        <v>2650</v>
      </c>
      <c r="AX508">
        <v>100</v>
      </c>
      <c r="AY508">
        <v>0.5</v>
      </c>
      <c r="AZ508" t="s">
        <v>3254</v>
      </c>
      <c r="BA508" t="s">
        <v>2752</v>
      </c>
      <c r="BD508" t="s">
        <v>2653</v>
      </c>
      <c r="BE508" t="s">
        <v>2651</v>
      </c>
      <c r="BG508">
        <v>0</v>
      </c>
      <c r="BH508">
        <v>0</v>
      </c>
      <c r="BJ508">
        <v>0</v>
      </c>
    </row>
    <row r="509" spans="1:62" x14ac:dyDescent="0.2">
      <c r="A509" t="s">
        <v>2648</v>
      </c>
      <c r="B509" t="s">
        <v>2648</v>
      </c>
      <c r="C509">
        <v>100048102</v>
      </c>
      <c r="D509" t="s">
        <v>2749</v>
      </c>
      <c r="E509" t="s">
        <v>2439</v>
      </c>
      <c r="F509" t="s">
        <v>2452</v>
      </c>
      <c r="G509" t="s">
        <v>2453</v>
      </c>
      <c r="H509" s="23">
        <v>0.33333333333333331</v>
      </c>
      <c r="I509" t="s">
        <v>2688</v>
      </c>
      <c r="J509" t="s">
        <v>2651</v>
      </c>
      <c r="K509" t="s">
        <v>3253</v>
      </c>
      <c r="L509" t="s">
        <v>2648</v>
      </c>
      <c r="M509" t="s">
        <v>2649</v>
      </c>
      <c r="N509" s="6">
        <v>45994</v>
      </c>
      <c r="O509" t="s">
        <v>2458</v>
      </c>
      <c r="P509" t="s">
        <v>2445</v>
      </c>
      <c r="Q509" s="23">
        <v>0.25142361111111111</v>
      </c>
      <c r="R509" s="23">
        <v>0.39583333333333331</v>
      </c>
      <c r="S509">
        <v>19</v>
      </c>
      <c r="T509" t="s">
        <v>2443</v>
      </c>
      <c r="U509" t="s">
        <v>2652</v>
      </c>
      <c r="V509">
        <v>3.47</v>
      </c>
      <c r="W509">
        <v>3.47</v>
      </c>
      <c r="X509" t="s">
        <v>2689</v>
      </c>
      <c r="Y509" t="s">
        <v>2689</v>
      </c>
      <c r="Z509" t="s">
        <v>2689</v>
      </c>
      <c r="AA509" t="s">
        <v>2689</v>
      </c>
      <c r="AC509" t="s">
        <v>2689</v>
      </c>
      <c r="AD509" t="s">
        <v>2689</v>
      </c>
      <c r="AE509" t="s">
        <v>2689</v>
      </c>
      <c r="AF509" t="s">
        <v>2689</v>
      </c>
      <c r="AH509">
        <v>65.930000000000007</v>
      </c>
      <c r="AI509" t="s">
        <v>2690</v>
      </c>
      <c r="AJ509" t="s">
        <v>2690</v>
      </c>
      <c r="AK509" t="s">
        <v>2690</v>
      </c>
      <c r="AL509" t="s">
        <v>2690</v>
      </c>
      <c r="AP509">
        <v>65.930000000000007</v>
      </c>
      <c r="AR509" s="23">
        <v>0.25142361111111111</v>
      </c>
      <c r="AT509" s="23">
        <v>0.25</v>
      </c>
      <c r="AU509" s="23">
        <v>0.60416666666666663</v>
      </c>
      <c r="AV509" t="s">
        <v>2650</v>
      </c>
      <c r="AX509">
        <v>100</v>
      </c>
      <c r="BA509" t="s">
        <v>2754</v>
      </c>
      <c r="BD509" t="s">
        <v>2653</v>
      </c>
      <c r="BE509" t="s">
        <v>2651</v>
      </c>
      <c r="BF509" t="s">
        <v>2460</v>
      </c>
      <c r="BG509">
        <v>0</v>
      </c>
      <c r="BH509">
        <v>0</v>
      </c>
      <c r="BJ509">
        <v>0</v>
      </c>
    </row>
    <row r="510" spans="1:62" x14ac:dyDescent="0.2">
      <c r="A510" t="s">
        <v>2648</v>
      </c>
      <c r="B510" t="s">
        <v>2648</v>
      </c>
      <c r="C510">
        <v>100048102</v>
      </c>
      <c r="D510" t="s">
        <v>2749</v>
      </c>
      <c r="E510" t="s">
        <v>2439</v>
      </c>
      <c r="F510" t="s">
        <v>2452</v>
      </c>
      <c r="G510" t="s">
        <v>2453</v>
      </c>
      <c r="H510" s="23">
        <v>0.33333333333333331</v>
      </c>
      <c r="I510" t="s">
        <v>2688</v>
      </c>
      <c r="J510" t="s">
        <v>2651</v>
      </c>
      <c r="K510" t="s">
        <v>3253</v>
      </c>
      <c r="L510" t="s">
        <v>2648</v>
      </c>
      <c r="M510" t="s">
        <v>2649</v>
      </c>
      <c r="N510" s="6">
        <v>45995</v>
      </c>
      <c r="O510" t="s">
        <v>2459</v>
      </c>
      <c r="P510" t="s">
        <v>2445</v>
      </c>
      <c r="Q510" s="23">
        <v>0.25498842592592591</v>
      </c>
      <c r="R510" s="23">
        <v>0.60628472222222218</v>
      </c>
      <c r="S510">
        <v>19</v>
      </c>
      <c r="T510" t="s">
        <v>2443</v>
      </c>
      <c r="U510" t="s">
        <v>2652</v>
      </c>
      <c r="V510">
        <v>7.93</v>
      </c>
      <c r="W510">
        <v>7.93</v>
      </c>
      <c r="X510" t="s">
        <v>2689</v>
      </c>
      <c r="Y510" t="s">
        <v>2689</v>
      </c>
      <c r="Z510" t="s">
        <v>2689</v>
      </c>
      <c r="AA510" t="s">
        <v>2689</v>
      </c>
      <c r="AC510" t="s">
        <v>2689</v>
      </c>
      <c r="AD510" t="s">
        <v>2689</v>
      </c>
      <c r="AE510" t="s">
        <v>2689</v>
      </c>
      <c r="AF510" t="s">
        <v>2689</v>
      </c>
      <c r="AH510">
        <v>150.66999999999999</v>
      </c>
      <c r="AI510" t="s">
        <v>2690</v>
      </c>
      <c r="AJ510" t="s">
        <v>2690</v>
      </c>
      <c r="AK510" t="s">
        <v>2690</v>
      </c>
      <c r="AL510" t="s">
        <v>2690</v>
      </c>
      <c r="AP510">
        <v>150.66999999999999</v>
      </c>
      <c r="AR510" s="23">
        <v>0.25498842592592591</v>
      </c>
      <c r="AS510" s="23">
        <v>0.60628472222222218</v>
      </c>
      <c r="AT510" s="23">
        <v>0.25</v>
      </c>
      <c r="AU510" s="23">
        <v>0.60416666666666663</v>
      </c>
      <c r="AV510" t="s">
        <v>2650</v>
      </c>
      <c r="AX510">
        <v>100</v>
      </c>
      <c r="AY510">
        <v>0.5</v>
      </c>
      <c r="AZ510" t="s">
        <v>3255</v>
      </c>
      <c r="BA510" t="s">
        <v>2754</v>
      </c>
      <c r="BD510" t="s">
        <v>2653</v>
      </c>
      <c r="BE510" t="s">
        <v>2651</v>
      </c>
      <c r="BG510">
        <v>0</v>
      </c>
      <c r="BH510">
        <v>0</v>
      </c>
      <c r="BJ510">
        <v>0</v>
      </c>
    </row>
    <row r="511" spans="1:62" x14ac:dyDescent="0.2">
      <c r="A511" t="s">
        <v>2648</v>
      </c>
      <c r="B511" t="s">
        <v>2648</v>
      </c>
      <c r="C511">
        <v>100048102</v>
      </c>
      <c r="D511" t="s">
        <v>2749</v>
      </c>
      <c r="E511" t="s">
        <v>2439</v>
      </c>
      <c r="F511" t="s">
        <v>2452</v>
      </c>
      <c r="G511" t="s">
        <v>2453</v>
      </c>
      <c r="H511" s="23">
        <v>0.33333333333333331</v>
      </c>
      <c r="I511" t="s">
        <v>2688</v>
      </c>
      <c r="J511" t="s">
        <v>2651</v>
      </c>
      <c r="K511" t="s">
        <v>3253</v>
      </c>
      <c r="L511" t="s">
        <v>2648</v>
      </c>
      <c r="M511" t="s">
        <v>2649</v>
      </c>
      <c r="N511" s="6">
        <v>45996</v>
      </c>
      <c r="O511" t="s">
        <v>2449</v>
      </c>
      <c r="P511" t="s">
        <v>2445</v>
      </c>
      <c r="Q511" s="23">
        <v>0.25305555555555553</v>
      </c>
      <c r="R511" s="23">
        <v>0.50922453703703707</v>
      </c>
      <c r="S511">
        <v>19</v>
      </c>
      <c r="T511" t="s">
        <v>2443</v>
      </c>
      <c r="U511" t="s">
        <v>2652</v>
      </c>
      <c r="V511">
        <v>5.65</v>
      </c>
      <c r="W511">
        <v>5.65</v>
      </c>
      <c r="X511" t="s">
        <v>2689</v>
      </c>
      <c r="Y511" t="s">
        <v>2689</v>
      </c>
      <c r="Z511" t="s">
        <v>2689</v>
      </c>
      <c r="AA511" t="s">
        <v>2689</v>
      </c>
      <c r="AC511" t="s">
        <v>2689</v>
      </c>
      <c r="AD511" t="s">
        <v>2689</v>
      </c>
      <c r="AE511" t="s">
        <v>2689</v>
      </c>
      <c r="AF511" t="s">
        <v>2689</v>
      </c>
      <c r="AH511">
        <v>107.35</v>
      </c>
      <c r="AI511" t="s">
        <v>2690</v>
      </c>
      <c r="AJ511" t="s">
        <v>2690</v>
      </c>
      <c r="AK511" t="s">
        <v>2690</v>
      </c>
      <c r="AL511" t="s">
        <v>2690</v>
      </c>
      <c r="AP511">
        <v>107.35</v>
      </c>
      <c r="AR511" s="23">
        <v>0.25305555555555553</v>
      </c>
      <c r="AS511" s="23">
        <v>0.50922453703703707</v>
      </c>
      <c r="AT511" s="23">
        <v>0.25</v>
      </c>
      <c r="AU511" s="23">
        <v>0.60416666666666663</v>
      </c>
      <c r="AV511" t="s">
        <v>2650</v>
      </c>
      <c r="AX511">
        <v>100</v>
      </c>
      <c r="AY511">
        <v>0.5</v>
      </c>
      <c r="AZ511" t="s">
        <v>3256</v>
      </c>
      <c r="BA511" t="s">
        <v>2754</v>
      </c>
      <c r="BD511" t="s">
        <v>2653</v>
      </c>
      <c r="BE511" t="s">
        <v>2651</v>
      </c>
      <c r="BG511">
        <v>0</v>
      </c>
      <c r="BH511">
        <v>0</v>
      </c>
      <c r="BJ511">
        <v>0</v>
      </c>
    </row>
    <row r="512" spans="1:62" x14ac:dyDescent="0.2">
      <c r="A512" t="s">
        <v>2648</v>
      </c>
      <c r="B512" t="s">
        <v>2648</v>
      </c>
      <c r="C512">
        <v>100048102</v>
      </c>
      <c r="D512" t="s">
        <v>2749</v>
      </c>
      <c r="E512" t="s">
        <v>2439</v>
      </c>
      <c r="F512" t="s">
        <v>2452</v>
      </c>
      <c r="G512" t="s">
        <v>2453</v>
      </c>
      <c r="H512" s="23">
        <v>0.33333333333333331</v>
      </c>
      <c r="I512" t="s">
        <v>2688</v>
      </c>
      <c r="J512" t="s">
        <v>2651</v>
      </c>
      <c r="K512" t="s">
        <v>3253</v>
      </c>
      <c r="L512" t="s">
        <v>2648</v>
      </c>
      <c r="M512" t="s">
        <v>2649</v>
      </c>
      <c r="N512" s="6">
        <v>46000</v>
      </c>
      <c r="O512" t="s">
        <v>2457</v>
      </c>
      <c r="P512" t="s">
        <v>2445</v>
      </c>
      <c r="Q512" s="23">
        <v>0.25253472222222223</v>
      </c>
      <c r="R512" s="23">
        <v>0.60520833333333335</v>
      </c>
      <c r="S512">
        <v>19</v>
      </c>
      <c r="T512" t="s">
        <v>2443</v>
      </c>
      <c r="U512" t="s">
        <v>2652</v>
      </c>
      <c r="V512">
        <v>7.96</v>
      </c>
      <c r="W512">
        <v>7.96</v>
      </c>
      <c r="X512" t="s">
        <v>2689</v>
      </c>
      <c r="Y512" t="s">
        <v>2689</v>
      </c>
      <c r="Z512" t="s">
        <v>2689</v>
      </c>
      <c r="AA512" t="s">
        <v>2689</v>
      </c>
      <c r="AC512" t="s">
        <v>2689</v>
      </c>
      <c r="AD512" t="s">
        <v>2689</v>
      </c>
      <c r="AE512" t="s">
        <v>2689</v>
      </c>
      <c r="AF512" t="s">
        <v>2689</v>
      </c>
      <c r="AH512">
        <v>151.24</v>
      </c>
      <c r="AI512" t="s">
        <v>2690</v>
      </c>
      <c r="AJ512" t="s">
        <v>2690</v>
      </c>
      <c r="AK512" t="s">
        <v>2690</v>
      </c>
      <c r="AL512" t="s">
        <v>2690</v>
      </c>
      <c r="AP512">
        <v>151.24</v>
      </c>
      <c r="AR512" s="23">
        <v>0.25253472222222223</v>
      </c>
      <c r="AS512" s="23">
        <v>0.60520833333333335</v>
      </c>
      <c r="AT512" s="23">
        <v>0.25</v>
      </c>
      <c r="AU512" s="23">
        <v>0.60416666666666663</v>
      </c>
      <c r="AV512" t="s">
        <v>2650</v>
      </c>
      <c r="AX512">
        <v>100</v>
      </c>
      <c r="AY512">
        <v>0.5</v>
      </c>
      <c r="AZ512" t="s">
        <v>3257</v>
      </c>
      <c r="BA512" t="s">
        <v>2757</v>
      </c>
      <c r="BD512" t="s">
        <v>2653</v>
      </c>
      <c r="BE512" t="s">
        <v>2651</v>
      </c>
      <c r="BG512">
        <v>0</v>
      </c>
      <c r="BH512">
        <v>0</v>
      </c>
      <c r="BJ512">
        <v>0</v>
      </c>
    </row>
    <row r="513" spans="1:62" x14ac:dyDescent="0.2">
      <c r="A513" t="s">
        <v>2648</v>
      </c>
      <c r="B513" t="s">
        <v>2648</v>
      </c>
      <c r="C513">
        <v>100048102</v>
      </c>
      <c r="D513" t="s">
        <v>2749</v>
      </c>
      <c r="E513" t="s">
        <v>2439</v>
      </c>
      <c r="F513" t="s">
        <v>2452</v>
      </c>
      <c r="G513" t="s">
        <v>2453</v>
      </c>
      <c r="H513" s="23">
        <v>0.33333333333333331</v>
      </c>
      <c r="I513" t="s">
        <v>2688</v>
      </c>
      <c r="J513" t="s">
        <v>2651</v>
      </c>
      <c r="K513" t="s">
        <v>3253</v>
      </c>
      <c r="L513" t="s">
        <v>2648</v>
      </c>
      <c r="M513" t="s">
        <v>2649</v>
      </c>
      <c r="N513" s="6">
        <v>46001</v>
      </c>
      <c r="O513" t="s">
        <v>2458</v>
      </c>
      <c r="P513" t="s">
        <v>2445</v>
      </c>
      <c r="Q513" s="23">
        <v>0.25296296296296295</v>
      </c>
      <c r="R513" s="23">
        <v>0.61163194444444446</v>
      </c>
      <c r="S513">
        <v>19</v>
      </c>
      <c r="T513" t="s">
        <v>2443</v>
      </c>
      <c r="U513" t="s">
        <v>2652</v>
      </c>
      <c r="V513">
        <v>8.11</v>
      </c>
      <c r="W513">
        <v>8</v>
      </c>
      <c r="X513">
        <v>0.11</v>
      </c>
      <c r="Y513" t="s">
        <v>2689</v>
      </c>
      <c r="Z513" t="s">
        <v>2689</v>
      </c>
      <c r="AA513" t="s">
        <v>2689</v>
      </c>
      <c r="AC513" t="s">
        <v>2689</v>
      </c>
      <c r="AD513" t="s">
        <v>2689</v>
      </c>
      <c r="AE513" t="s">
        <v>2689</v>
      </c>
      <c r="AF513" t="s">
        <v>2689</v>
      </c>
      <c r="AH513">
        <v>152</v>
      </c>
      <c r="AI513">
        <v>3.14</v>
      </c>
      <c r="AJ513" t="s">
        <v>2690</v>
      </c>
      <c r="AK513" t="s">
        <v>2690</v>
      </c>
      <c r="AL513" t="s">
        <v>2690</v>
      </c>
      <c r="AP513">
        <v>155.13999999999999</v>
      </c>
      <c r="AR513" s="23">
        <v>0.25296296296296295</v>
      </c>
      <c r="AS513" s="23">
        <v>0.61163194444444446</v>
      </c>
      <c r="AT513" s="23">
        <v>0.25</v>
      </c>
      <c r="AU513" s="23">
        <v>0.60416666666666663</v>
      </c>
      <c r="AV513" t="s">
        <v>2650</v>
      </c>
      <c r="AX513">
        <v>100</v>
      </c>
      <c r="AY513">
        <v>0.5</v>
      </c>
      <c r="AZ513" t="s">
        <v>3258</v>
      </c>
      <c r="BA513" t="s">
        <v>2759</v>
      </c>
      <c r="BD513" t="s">
        <v>2653</v>
      </c>
      <c r="BE513" t="s">
        <v>2651</v>
      </c>
      <c r="BG513">
        <v>0</v>
      </c>
      <c r="BH513">
        <v>0</v>
      </c>
      <c r="BJ513">
        <v>0</v>
      </c>
    </row>
    <row r="514" spans="1:62" x14ac:dyDescent="0.2">
      <c r="A514" t="s">
        <v>2648</v>
      </c>
      <c r="B514" t="s">
        <v>2648</v>
      </c>
      <c r="C514">
        <v>100048102</v>
      </c>
      <c r="D514" t="s">
        <v>2749</v>
      </c>
      <c r="E514" t="s">
        <v>2439</v>
      </c>
      <c r="F514" t="s">
        <v>2791</v>
      </c>
      <c r="G514" t="s">
        <v>2792</v>
      </c>
      <c r="H514" s="23">
        <v>0.79166666666666663</v>
      </c>
      <c r="I514" t="s">
        <v>2696</v>
      </c>
      <c r="J514" t="s">
        <v>2651</v>
      </c>
      <c r="K514" t="s">
        <v>3253</v>
      </c>
      <c r="L514" t="s">
        <v>2648</v>
      </c>
      <c r="M514" t="s">
        <v>2649</v>
      </c>
      <c r="N514" s="6">
        <v>46002</v>
      </c>
      <c r="O514" t="s">
        <v>2459</v>
      </c>
      <c r="P514" t="s">
        <v>2445</v>
      </c>
      <c r="Q514" s="23">
        <v>0.5801736111111111</v>
      </c>
      <c r="R514" s="23">
        <v>0.94461805555555556</v>
      </c>
      <c r="S514">
        <v>19</v>
      </c>
      <c r="T514" t="s">
        <v>2443</v>
      </c>
      <c r="U514" t="s">
        <v>2652</v>
      </c>
      <c r="V514">
        <v>8.25</v>
      </c>
      <c r="W514">
        <v>8</v>
      </c>
      <c r="X514">
        <v>0.25</v>
      </c>
      <c r="Y514" t="s">
        <v>2689</v>
      </c>
      <c r="Z514" t="s">
        <v>2689</v>
      </c>
      <c r="AA514" t="s">
        <v>2689</v>
      </c>
      <c r="AC514" t="s">
        <v>2689</v>
      </c>
      <c r="AD514" t="s">
        <v>2689</v>
      </c>
      <c r="AE514" t="s">
        <v>2689</v>
      </c>
      <c r="AF514" t="s">
        <v>2689</v>
      </c>
      <c r="AH514">
        <v>152</v>
      </c>
      <c r="AI514">
        <v>7.13</v>
      </c>
      <c r="AJ514" t="s">
        <v>2690</v>
      </c>
      <c r="AK514" t="s">
        <v>2690</v>
      </c>
      <c r="AL514" t="s">
        <v>2690</v>
      </c>
      <c r="AP514">
        <v>159.13</v>
      </c>
      <c r="AR514" s="23">
        <v>0.5801736111111111</v>
      </c>
      <c r="AS514" s="23">
        <v>0.94461805555555556</v>
      </c>
      <c r="AT514" s="23">
        <v>0.58333333333333337</v>
      </c>
      <c r="AU514" s="23">
        <v>0.91666666666666663</v>
      </c>
      <c r="AV514" t="s">
        <v>2650</v>
      </c>
      <c r="AX514">
        <v>100</v>
      </c>
      <c r="AY514">
        <v>0.5</v>
      </c>
      <c r="AZ514" t="s">
        <v>3259</v>
      </c>
      <c r="BA514" t="s">
        <v>2759</v>
      </c>
      <c r="BD514" t="s">
        <v>2653</v>
      </c>
      <c r="BE514" t="s">
        <v>2651</v>
      </c>
      <c r="BG514">
        <v>0</v>
      </c>
      <c r="BH514">
        <v>0</v>
      </c>
      <c r="BJ514">
        <v>0</v>
      </c>
    </row>
    <row r="515" spans="1:62" x14ac:dyDescent="0.2">
      <c r="A515" t="s">
        <v>2648</v>
      </c>
      <c r="B515" t="s">
        <v>2648</v>
      </c>
      <c r="C515">
        <v>100048102</v>
      </c>
      <c r="D515" t="s">
        <v>2749</v>
      </c>
      <c r="E515" t="s">
        <v>2439</v>
      </c>
      <c r="F515" t="s">
        <v>2452</v>
      </c>
      <c r="G515" t="s">
        <v>2453</v>
      </c>
      <c r="H515" s="23">
        <v>0.33333333333333331</v>
      </c>
      <c r="I515" t="s">
        <v>2688</v>
      </c>
      <c r="J515" t="s">
        <v>2651</v>
      </c>
      <c r="K515" t="s">
        <v>3253</v>
      </c>
      <c r="L515" t="s">
        <v>2648</v>
      </c>
      <c r="M515" t="s">
        <v>2649</v>
      </c>
      <c r="N515" s="6">
        <v>46003</v>
      </c>
      <c r="O515" t="s">
        <v>2449</v>
      </c>
      <c r="P515" t="s">
        <v>2445</v>
      </c>
      <c r="Q515" s="23">
        <v>0.25537037037037036</v>
      </c>
      <c r="R515" s="23">
        <v>0.60153935185185181</v>
      </c>
      <c r="S515">
        <v>19</v>
      </c>
      <c r="T515" t="s">
        <v>2443</v>
      </c>
      <c r="U515" t="s">
        <v>2652</v>
      </c>
      <c r="V515">
        <v>7.81</v>
      </c>
      <c r="W515">
        <v>7.81</v>
      </c>
      <c r="X515" t="s">
        <v>2689</v>
      </c>
      <c r="Y515" t="s">
        <v>2689</v>
      </c>
      <c r="Z515" t="s">
        <v>2689</v>
      </c>
      <c r="AA515" t="s">
        <v>2689</v>
      </c>
      <c r="AC515" t="s">
        <v>2689</v>
      </c>
      <c r="AD515" t="s">
        <v>2689</v>
      </c>
      <c r="AE515" t="s">
        <v>2689</v>
      </c>
      <c r="AF515" t="s">
        <v>2689</v>
      </c>
      <c r="AH515">
        <v>148.38999999999999</v>
      </c>
      <c r="AI515" t="s">
        <v>2690</v>
      </c>
      <c r="AJ515" t="s">
        <v>2690</v>
      </c>
      <c r="AK515" t="s">
        <v>2690</v>
      </c>
      <c r="AL515" t="s">
        <v>2690</v>
      </c>
      <c r="AP515">
        <v>148.38999999999999</v>
      </c>
      <c r="AR515" s="23">
        <v>0.25537037037037036</v>
      </c>
      <c r="AS515" s="23">
        <v>0.60153935185185181</v>
      </c>
      <c r="AT515" s="23">
        <v>0.25</v>
      </c>
      <c r="AU515" s="23">
        <v>0.60416666666666663</v>
      </c>
      <c r="AV515" t="s">
        <v>2650</v>
      </c>
      <c r="AX515">
        <v>100</v>
      </c>
      <c r="AY515">
        <v>0.5</v>
      </c>
      <c r="AZ515" t="s">
        <v>3260</v>
      </c>
      <c r="BA515" t="s">
        <v>2798</v>
      </c>
      <c r="BD515" t="s">
        <v>2653</v>
      </c>
      <c r="BE515" t="s">
        <v>2651</v>
      </c>
      <c r="BG515">
        <v>0</v>
      </c>
      <c r="BH515">
        <v>0</v>
      </c>
      <c r="BJ515">
        <v>0</v>
      </c>
    </row>
    <row r="516" spans="1:62" x14ac:dyDescent="0.2">
      <c r="A516" t="s">
        <v>2648</v>
      </c>
      <c r="B516" t="s">
        <v>2648</v>
      </c>
      <c r="C516">
        <v>100048102</v>
      </c>
      <c r="D516" t="s">
        <v>2749</v>
      </c>
      <c r="E516" t="s">
        <v>2439</v>
      </c>
      <c r="F516" t="s">
        <v>2452</v>
      </c>
      <c r="G516" t="s">
        <v>2453</v>
      </c>
      <c r="H516" s="23">
        <v>0.33333333333333331</v>
      </c>
      <c r="I516" t="s">
        <v>2688</v>
      </c>
      <c r="J516" t="s">
        <v>2651</v>
      </c>
      <c r="K516" t="s">
        <v>3253</v>
      </c>
      <c r="L516" t="s">
        <v>2648</v>
      </c>
      <c r="M516" t="s">
        <v>2649</v>
      </c>
      <c r="N516" s="6">
        <v>46006</v>
      </c>
      <c r="O516" t="s">
        <v>2455</v>
      </c>
      <c r="P516" t="s">
        <v>2445</v>
      </c>
      <c r="Q516" s="23">
        <v>0.2528125</v>
      </c>
      <c r="R516" s="23">
        <v>0.60496527777777775</v>
      </c>
      <c r="S516">
        <v>19</v>
      </c>
      <c r="T516" t="s">
        <v>2443</v>
      </c>
      <c r="U516" t="s">
        <v>2652</v>
      </c>
      <c r="V516">
        <v>7.95</v>
      </c>
      <c r="W516">
        <v>7.95</v>
      </c>
      <c r="X516" t="s">
        <v>2689</v>
      </c>
      <c r="Y516" t="s">
        <v>2689</v>
      </c>
      <c r="Z516" t="s">
        <v>2689</v>
      </c>
      <c r="AA516" t="s">
        <v>2689</v>
      </c>
      <c r="AC516" t="s">
        <v>2689</v>
      </c>
      <c r="AD516" t="s">
        <v>2689</v>
      </c>
      <c r="AE516" t="s">
        <v>2689</v>
      </c>
      <c r="AF516" t="s">
        <v>2689</v>
      </c>
      <c r="AH516">
        <v>151.05000000000001</v>
      </c>
      <c r="AI516" t="s">
        <v>2690</v>
      </c>
      <c r="AJ516" t="s">
        <v>2690</v>
      </c>
      <c r="AK516" t="s">
        <v>2690</v>
      </c>
      <c r="AL516" t="s">
        <v>2690</v>
      </c>
      <c r="AP516">
        <v>151.05000000000001</v>
      </c>
      <c r="AR516" s="23">
        <v>0.2528125</v>
      </c>
      <c r="AS516" s="23">
        <v>0.60496527777777775</v>
      </c>
      <c r="AT516" s="23">
        <v>0.25</v>
      </c>
      <c r="AU516" s="23">
        <v>0.60416666666666663</v>
      </c>
      <c r="AV516" t="s">
        <v>2650</v>
      </c>
      <c r="AX516">
        <v>100</v>
      </c>
      <c r="AY516">
        <v>0.5</v>
      </c>
      <c r="AZ516" t="s">
        <v>3261</v>
      </c>
      <c r="BA516" t="s">
        <v>2769</v>
      </c>
      <c r="BD516" t="s">
        <v>2653</v>
      </c>
      <c r="BE516" t="s">
        <v>2651</v>
      </c>
      <c r="BG516">
        <v>0</v>
      </c>
      <c r="BH516">
        <v>0</v>
      </c>
      <c r="BJ516">
        <v>0</v>
      </c>
    </row>
    <row r="517" spans="1:62" x14ac:dyDescent="0.2">
      <c r="A517" t="s">
        <v>2648</v>
      </c>
      <c r="B517" t="s">
        <v>2648</v>
      </c>
      <c r="C517">
        <v>100048102</v>
      </c>
      <c r="D517" t="s">
        <v>2749</v>
      </c>
      <c r="E517" t="s">
        <v>2439</v>
      </c>
      <c r="F517" t="s">
        <v>2452</v>
      </c>
      <c r="G517" t="s">
        <v>2453</v>
      </c>
      <c r="H517" s="23">
        <v>0.33333333333333331</v>
      </c>
      <c r="I517" t="s">
        <v>2688</v>
      </c>
      <c r="J517" t="s">
        <v>2651</v>
      </c>
      <c r="K517" t="s">
        <v>3253</v>
      </c>
      <c r="L517" t="s">
        <v>2648</v>
      </c>
      <c r="M517" t="s">
        <v>2649</v>
      </c>
      <c r="N517" s="6">
        <v>46007</v>
      </c>
      <c r="O517" t="s">
        <v>2457</v>
      </c>
      <c r="P517" t="s">
        <v>2445</v>
      </c>
      <c r="Q517" s="23">
        <v>0.25319444444444444</v>
      </c>
      <c r="R517" s="23">
        <v>0.60520833333333335</v>
      </c>
      <c r="S517">
        <v>19</v>
      </c>
      <c r="T517" t="s">
        <v>2443</v>
      </c>
      <c r="U517" t="s">
        <v>2652</v>
      </c>
      <c r="V517">
        <v>7.95</v>
      </c>
      <c r="W517">
        <v>7.95</v>
      </c>
      <c r="X517" t="s">
        <v>2689</v>
      </c>
      <c r="Y517" t="s">
        <v>2689</v>
      </c>
      <c r="Z517" t="s">
        <v>2689</v>
      </c>
      <c r="AA517" t="s">
        <v>2689</v>
      </c>
      <c r="AC517" t="s">
        <v>2689</v>
      </c>
      <c r="AD517" t="s">
        <v>2689</v>
      </c>
      <c r="AE517" t="s">
        <v>2689</v>
      </c>
      <c r="AF517" t="s">
        <v>2689</v>
      </c>
      <c r="AH517">
        <v>151.05000000000001</v>
      </c>
      <c r="AI517" t="s">
        <v>2690</v>
      </c>
      <c r="AJ517" t="s">
        <v>2690</v>
      </c>
      <c r="AK517" t="s">
        <v>2690</v>
      </c>
      <c r="AL517" t="s">
        <v>2690</v>
      </c>
      <c r="AP517">
        <v>151.05000000000001</v>
      </c>
      <c r="AR517" s="23">
        <v>0.25319444444444444</v>
      </c>
      <c r="AS517" s="23">
        <v>0.60520833333333335</v>
      </c>
      <c r="AT517" s="23">
        <v>0.25</v>
      </c>
      <c r="AU517" s="23">
        <v>0.60416666666666663</v>
      </c>
      <c r="AV517" t="s">
        <v>2650</v>
      </c>
      <c r="AX517">
        <v>100</v>
      </c>
      <c r="AY517">
        <v>0.5</v>
      </c>
      <c r="AZ517" t="s">
        <v>3262</v>
      </c>
      <c r="BA517" t="s">
        <v>2761</v>
      </c>
      <c r="BD517" t="s">
        <v>2653</v>
      </c>
      <c r="BE517" t="s">
        <v>2651</v>
      </c>
      <c r="BG517">
        <v>0</v>
      </c>
      <c r="BH517">
        <v>0</v>
      </c>
      <c r="BJ517">
        <v>0</v>
      </c>
    </row>
    <row r="518" spans="1:62" x14ac:dyDescent="0.2">
      <c r="A518" t="s">
        <v>2648</v>
      </c>
      <c r="B518" t="s">
        <v>2648</v>
      </c>
      <c r="C518">
        <v>100048102</v>
      </c>
      <c r="D518" t="s">
        <v>2749</v>
      </c>
      <c r="E518" t="s">
        <v>2439</v>
      </c>
      <c r="F518" t="s">
        <v>2452</v>
      </c>
      <c r="G518" t="s">
        <v>2453</v>
      </c>
      <c r="H518" s="23">
        <v>0.33333333333333331</v>
      </c>
      <c r="I518" t="s">
        <v>2688</v>
      </c>
      <c r="J518" t="s">
        <v>2651</v>
      </c>
      <c r="K518" t="s">
        <v>3253</v>
      </c>
      <c r="L518" t="s">
        <v>2648</v>
      </c>
      <c r="M518" t="s">
        <v>2649</v>
      </c>
      <c r="N518" s="6">
        <v>46008</v>
      </c>
      <c r="O518" t="s">
        <v>2458</v>
      </c>
      <c r="P518" t="s">
        <v>2445</v>
      </c>
      <c r="Q518" s="23">
        <v>0.25131944444444443</v>
      </c>
      <c r="R518" s="23">
        <v>0.55466435185185181</v>
      </c>
      <c r="S518">
        <v>19</v>
      </c>
      <c r="T518" t="s">
        <v>2443</v>
      </c>
      <c r="U518" t="s">
        <v>2652</v>
      </c>
      <c r="V518">
        <v>6.78</v>
      </c>
      <c r="W518">
        <v>6.78</v>
      </c>
      <c r="X518" t="s">
        <v>2689</v>
      </c>
      <c r="Y518" t="s">
        <v>2689</v>
      </c>
      <c r="Z518" t="s">
        <v>2689</v>
      </c>
      <c r="AA518" t="s">
        <v>2689</v>
      </c>
      <c r="AC518" t="s">
        <v>2689</v>
      </c>
      <c r="AD518" t="s">
        <v>2689</v>
      </c>
      <c r="AE518" t="s">
        <v>2689</v>
      </c>
      <c r="AF518" t="s">
        <v>2689</v>
      </c>
      <c r="AH518">
        <v>128.82</v>
      </c>
      <c r="AI518" t="s">
        <v>2690</v>
      </c>
      <c r="AJ518" t="s">
        <v>2690</v>
      </c>
      <c r="AK518" t="s">
        <v>2690</v>
      </c>
      <c r="AL518" t="s">
        <v>2690</v>
      </c>
      <c r="AP518">
        <v>128.82</v>
      </c>
      <c r="AR518" s="23">
        <v>0.25131944444444443</v>
      </c>
      <c r="AS518" s="23">
        <v>0.55466435185185181</v>
      </c>
      <c r="AT518" s="23">
        <v>0.25</v>
      </c>
      <c r="AU518" s="23">
        <v>0.60416666666666663</v>
      </c>
      <c r="AV518" t="s">
        <v>2650</v>
      </c>
      <c r="AX518">
        <v>100</v>
      </c>
      <c r="AY518">
        <v>0.5</v>
      </c>
      <c r="AZ518" t="s">
        <v>3263</v>
      </c>
      <c r="BA518" t="s">
        <v>2771</v>
      </c>
      <c r="BD518" t="s">
        <v>2653</v>
      </c>
      <c r="BE518" t="s">
        <v>2651</v>
      </c>
      <c r="BG518">
        <v>0</v>
      </c>
      <c r="BH518">
        <v>0</v>
      </c>
      <c r="BJ518">
        <v>0</v>
      </c>
    </row>
    <row r="519" spans="1:62" x14ac:dyDescent="0.2">
      <c r="A519" t="s">
        <v>2648</v>
      </c>
      <c r="B519" t="s">
        <v>2648</v>
      </c>
      <c r="C519">
        <v>100048102</v>
      </c>
      <c r="D519" t="s">
        <v>2749</v>
      </c>
      <c r="E519" t="s">
        <v>2439</v>
      </c>
      <c r="F519" t="s">
        <v>2452</v>
      </c>
      <c r="G519" t="s">
        <v>2453</v>
      </c>
      <c r="H519" s="23">
        <v>0.33333333333333331</v>
      </c>
      <c r="I519" t="s">
        <v>2688</v>
      </c>
      <c r="J519" t="s">
        <v>2651</v>
      </c>
      <c r="K519" t="s">
        <v>3253</v>
      </c>
      <c r="L519" t="s">
        <v>2648</v>
      </c>
      <c r="M519" t="s">
        <v>2649</v>
      </c>
      <c r="N519" s="6">
        <v>46009</v>
      </c>
      <c r="O519" t="s">
        <v>2459</v>
      </c>
      <c r="P519" t="s">
        <v>2445</v>
      </c>
      <c r="Q519" s="23">
        <v>0.25473379629629628</v>
      </c>
      <c r="R519" s="23">
        <v>0.51570601851851849</v>
      </c>
      <c r="S519">
        <v>19</v>
      </c>
      <c r="T519" t="s">
        <v>2443</v>
      </c>
      <c r="U519" t="s">
        <v>2652</v>
      </c>
      <c r="V519">
        <v>7.26</v>
      </c>
      <c r="W519">
        <v>6.26</v>
      </c>
      <c r="X519" t="s">
        <v>2689</v>
      </c>
      <c r="Y519" t="s">
        <v>2689</v>
      </c>
      <c r="Z519" t="s">
        <v>2689</v>
      </c>
      <c r="AA519">
        <v>1</v>
      </c>
      <c r="AC519" t="s">
        <v>2689</v>
      </c>
      <c r="AD519" t="s">
        <v>2689</v>
      </c>
      <c r="AE519" t="s">
        <v>2689</v>
      </c>
      <c r="AF519" t="s">
        <v>2689</v>
      </c>
      <c r="AH519">
        <v>118.94</v>
      </c>
      <c r="AI519" t="s">
        <v>2690</v>
      </c>
      <c r="AJ519" t="s">
        <v>2690</v>
      </c>
      <c r="AK519" t="s">
        <v>2690</v>
      </c>
      <c r="AL519">
        <v>19</v>
      </c>
      <c r="AP519">
        <v>137.94</v>
      </c>
      <c r="AR519" s="23">
        <v>0.25473379629629628</v>
      </c>
      <c r="AS519" s="23">
        <v>0.51570601851851849</v>
      </c>
      <c r="AT519" s="23">
        <v>0.25</v>
      </c>
      <c r="AU519" s="23">
        <v>0.60416666666666663</v>
      </c>
      <c r="AV519" t="s">
        <v>2650</v>
      </c>
      <c r="AX519">
        <v>100</v>
      </c>
      <c r="BA519" t="s">
        <v>2765</v>
      </c>
      <c r="BD519" t="s">
        <v>2653</v>
      </c>
      <c r="BE519" t="s">
        <v>2651</v>
      </c>
      <c r="BF519" t="s">
        <v>2516</v>
      </c>
      <c r="BG519">
        <v>0</v>
      </c>
      <c r="BH519">
        <v>0</v>
      </c>
      <c r="BJ519">
        <v>0</v>
      </c>
    </row>
    <row r="1048513" customFormat="1" x14ac:dyDescent="0.2"/>
    <row r="1048514" customFormat="1" x14ac:dyDescent="0.2"/>
    <row r="1048515" customFormat="1" x14ac:dyDescent="0.2"/>
    <row r="1048516" customFormat="1" x14ac:dyDescent="0.2"/>
    <row r="1048517" customFormat="1" x14ac:dyDescent="0.2"/>
    <row r="1048518" customFormat="1" x14ac:dyDescent="0.2"/>
    <row r="1048519" customFormat="1" x14ac:dyDescent="0.2"/>
    <row r="1048520" customFormat="1" x14ac:dyDescent="0.2"/>
    <row r="1048521" customFormat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8349-8405-4573-86A2-0D0A6039AA52}">
  <dimension ref="A1:E155"/>
  <sheetViews>
    <sheetView topLeftCell="A153" workbookViewId="0">
      <selection activeCell="F168" sqref="F168"/>
    </sheetView>
  </sheetViews>
  <sheetFormatPr defaultRowHeight="12.75" x14ac:dyDescent="0.2"/>
  <cols>
    <col min="1" max="1" width="10" bestFit="1" customWidth="1"/>
    <col min="2" max="2" width="15.85546875" bestFit="1" customWidth="1"/>
    <col min="3" max="3" width="5.85546875" bestFit="1" customWidth="1"/>
    <col min="4" max="4" width="14.5703125" bestFit="1" customWidth="1"/>
    <col min="5" max="5" width="11.42578125" bestFit="1" customWidth="1"/>
  </cols>
  <sheetData>
    <row r="1" spans="1:5" x14ac:dyDescent="0.2">
      <c r="A1">
        <v>100047412</v>
      </c>
      <c r="B1" t="s">
        <v>1083</v>
      </c>
      <c r="C1" t="s">
        <v>39</v>
      </c>
      <c r="D1" t="s">
        <v>34</v>
      </c>
      <c r="E1" t="s">
        <v>205</v>
      </c>
    </row>
    <row r="2" spans="1:5" x14ac:dyDescent="0.2">
      <c r="A2">
        <v>100087214</v>
      </c>
      <c r="B2" t="s">
        <v>1426</v>
      </c>
      <c r="C2" t="s">
        <v>39</v>
      </c>
      <c r="D2" t="s">
        <v>26</v>
      </c>
      <c r="E2" t="s">
        <v>1427</v>
      </c>
    </row>
    <row r="3" spans="1:5" x14ac:dyDescent="0.2">
      <c r="A3">
        <v>100084264</v>
      </c>
      <c r="B3" t="s">
        <v>1267</v>
      </c>
      <c r="C3" t="s">
        <v>39</v>
      </c>
      <c r="D3" t="s">
        <v>29</v>
      </c>
      <c r="E3" t="s">
        <v>1268</v>
      </c>
    </row>
    <row r="4" spans="1:5" x14ac:dyDescent="0.2">
      <c r="A4">
        <v>100074398</v>
      </c>
      <c r="B4" t="s">
        <v>906</v>
      </c>
      <c r="C4" t="s">
        <v>39</v>
      </c>
      <c r="D4" t="s">
        <v>36</v>
      </c>
      <c r="E4" t="s">
        <v>907</v>
      </c>
    </row>
    <row r="5" spans="1:5" x14ac:dyDescent="0.2">
      <c r="A5">
        <v>100084247</v>
      </c>
      <c r="B5" t="s">
        <v>1273</v>
      </c>
      <c r="C5" t="s">
        <v>39</v>
      </c>
      <c r="D5" t="s">
        <v>47</v>
      </c>
      <c r="E5" t="s">
        <v>1274</v>
      </c>
    </row>
    <row r="6" spans="1:5" x14ac:dyDescent="0.2">
      <c r="A6">
        <v>100087233</v>
      </c>
      <c r="B6" t="s">
        <v>1513</v>
      </c>
      <c r="C6" t="s">
        <v>39</v>
      </c>
      <c r="D6" t="s">
        <v>60</v>
      </c>
      <c r="E6" t="s">
        <v>1514</v>
      </c>
    </row>
    <row r="7" spans="1:5" x14ac:dyDescent="0.2">
      <c r="A7">
        <v>100087231</v>
      </c>
      <c r="B7" t="s">
        <v>1515</v>
      </c>
      <c r="C7" t="s">
        <v>39</v>
      </c>
      <c r="D7" t="s">
        <v>60</v>
      </c>
      <c r="E7" t="s">
        <v>1516</v>
      </c>
    </row>
    <row r="8" spans="1:5" x14ac:dyDescent="0.2">
      <c r="A8">
        <v>100054473</v>
      </c>
      <c r="B8" t="s">
        <v>274</v>
      </c>
      <c r="C8" t="s">
        <v>39</v>
      </c>
      <c r="D8" t="s">
        <v>23</v>
      </c>
      <c r="E8" t="s">
        <v>275</v>
      </c>
    </row>
    <row r="9" spans="1:5" x14ac:dyDescent="0.2">
      <c r="A9">
        <v>100054474</v>
      </c>
      <c r="B9" t="s">
        <v>276</v>
      </c>
      <c r="C9" t="s">
        <v>39</v>
      </c>
      <c r="D9" t="s">
        <v>26</v>
      </c>
      <c r="E9" t="s">
        <v>277</v>
      </c>
    </row>
    <row r="10" spans="1:5" x14ac:dyDescent="0.2">
      <c r="A10">
        <v>100062557</v>
      </c>
      <c r="B10" t="s">
        <v>337</v>
      </c>
      <c r="C10" t="s">
        <v>39</v>
      </c>
      <c r="D10" t="s">
        <v>25</v>
      </c>
      <c r="E10" t="s">
        <v>338</v>
      </c>
    </row>
    <row r="11" spans="1:5" x14ac:dyDescent="0.2">
      <c r="A11">
        <v>100074375</v>
      </c>
      <c r="B11" t="s">
        <v>922</v>
      </c>
      <c r="C11" t="s">
        <v>39</v>
      </c>
      <c r="D11" t="s">
        <v>25</v>
      </c>
      <c r="E11" t="s">
        <v>923</v>
      </c>
    </row>
    <row r="12" spans="1:5" x14ac:dyDescent="0.2">
      <c r="A12">
        <v>100059517</v>
      </c>
      <c r="B12" t="s">
        <v>1096</v>
      </c>
      <c r="C12" t="s">
        <v>39</v>
      </c>
      <c r="D12" t="s">
        <v>32</v>
      </c>
      <c r="E12" t="s">
        <v>307</v>
      </c>
    </row>
    <row r="13" spans="1:5" x14ac:dyDescent="0.2">
      <c r="A13">
        <v>100084229</v>
      </c>
      <c r="B13" t="s">
        <v>1293</v>
      </c>
      <c r="C13" t="s">
        <v>39</v>
      </c>
      <c r="D13" t="s">
        <v>36</v>
      </c>
      <c r="E13" t="s">
        <v>1294</v>
      </c>
    </row>
    <row r="14" spans="1:5" x14ac:dyDescent="0.2">
      <c r="A14">
        <v>100077550</v>
      </c>
      <c r="B14" t="s">
        <v>999</v>
      </c>
      <c r="C14" t="s">
        <v>39</v>
      </c>
      <c r="D14" t="s">
        <v>30</v>
      </c>
      <c r="E14" t="s">
        <v>1000</v>
      </c>
    </row>
    <row r="15" spans="1:5" x14ac:dyDescent="0.2">
      <c r="A15">
        <v>100077553</v>
      </c>
      <c r="B15" t="s">
        <v>1003</v>
      </c>
      <c r="C15" t="s">
        <v>39</v>
      </c>
      <c r="D15" t="s">
        <v>36</v>
      </c>
      <c r="E15" t="s">
        <v>1004</v>
      </c>
    </row>
    <row r="16" spans="1:5" x14ac:dyDescent="0.2">
      <c r="A16">
        <v>100077502</v>
      </c>
      <c r="B16" t="s">
        <v>1009</v>
      </c>
      <c r="C16" t="s">
        <v>39</v>
      </c>
      <c r="D16" t="s">
        <v>36</v>
      </c>
      <c r="E16" t="s">
        <v>1010</v>
      </c>
    </row>
    <row r="17" spans="1:5" x14ac:dyDescent="0.2">
      <c r="A17">
        <v>100075520</v>
      </c>
      <c r="B17" t="s">
        <v>947</v>
      </c>
      <c r="C17" t="s">
        <v>39</v>
      </c>
      <c r="D17" t="s">
        <v>34</v>
      </c>
      <c r="E17" t="s">
        <v>948</v>
      </c>
    </row>
    <row r="18" spans="1:5" x14ac:dyDescent="0.2">
      <c r="A18">
        <v>100075521</v>
      </c>
      <c r="B18" t="s">
        <v>949</v>
      </c>
      <c r="C18" t="s">
        <v>39</v>
      </c>
      <c r="D18" t="s">
        <v>25</v>
      </c>
      <c r="E18" t="s">
        <v>950</v>
      </c>
    </row>
    <row r="19" spans="1:5" x14ac:dyDescent="0.2">
      <c r="A19">
        <v>100032303</v>
      </c>
      <c r="B19" t="s">
        <v>116</v>
      </c>
      <c r="C19" t="s">
        <v>39</v>
      </c>
      <c r="D19" t="s">
        <v>47</v>
      </c>
      <c r="E19" t="s">
        <v>117</v>
      </c>
    </row>
    <row r="20" spans="1:5" x14ac:dyDescent="0.2">
      <c r="A20">
        <v>100087243</v>
      </c>
      <c r="B20" t="s">
        <v>1443</v>
      </c>
      <c r="C20" t="s">
        <v>39</v>
      </c>
      <c r="D20" t="s">
        <v>26</v>
      </c>
      <c r="E20" t="s">
        <v>1444</v>
      </c>
    </row>
    <row r="21" spans="1:5" x14ac:dyDescent="0.2">
      <c r="A21">
        <v>100073319</v>
      </c>
      <c r="B21" t="s">
        <v>846</v>
      </c>
      <c r="C21" t="s">
        <v>39</v>
      </c>
      <c r="D21" t="s">
        <v>34</v>
      </c>
      <c r="E21" t="s">
        <v>847</v>
      </c>
    </row>
    <row r="22" spans="1:5" x14ac:dyDescent="0.2">
      <c r="A22">
        <v>100077549</v>
      </c>
      <c r="B22" t="s">
        <v>957</v>
      </c>
      <c r="C22" t="s">
        <v>39</v>
      </c>
      <c r="D22" t="s">
        <v>135</v>
      </c>
      <c r="E22" t="s">
        <v>958</v>
      </c>
    </row>
    <row r="23" spans="1:5" x14ac:dyDescent="0.2">
      <c r="A23">
        <v>100077559</v>
      </c>
      <c r="B23" t="s">
        <v>959</v>
      </c>
      <c r="C23" t="s">
        <v>39</v>
      </c>
      <c r="D23" t="s">
        <v>47</v>
      </c>
      <c r="E23" t="s">
        <v>960</v>
      </c>
    </row>
    <row r="24" spans="1:5" x14ac:dyDescent="0.2">
      <c r="A24">
        <v>100082230</v>
      </c>
      <c r="B24" t="s">
        <v>1175</v>
      </c>
      <c r="C24" t="s">
        <v>39</v>
      </c>
      <c r="D24" t="s">
        <v>23</v>
      </c>
      <c r="E24" t="s">
        <v>1176</v>
      </c>
    </row>
    <row r="25" spans="1:5" x14ac:dyDescent="0.2">
      <c r="A25">
        <v>100084227</v>
      </c>
      <c r="B25" t="s">
        <v>1275</v>
      </c>
      <c r="C25" t="s">
        <v>39</v>
      </c>
      <c r="D25" t="s">
        <v>36</v>
      </c>
      <c r="E25" t="s">
        <v>1276</v>
      </c>
    </row>
    <row r="26" spans="1:5" x14ac:dyDescent="0.2">
      <c r="A26">
        <v>100087216</v>
      </c>
      <c r="B26" t="s">
        <v>1401</v>
      </c>
      <c r="C26" t="s">
        <v>39</v>
      </c>
      <c r="D26" t="s">
        <v>47</v>
      </c>
      <c r="E26" t="s">
        <v>1402</v>
      </c>
    </row>
    <row r="27" spans="1:5" x14ac:dyDescent="0.2">
      <c r="A27">
        <v>100077533</v>
      </c>
      <c r="B27" t="s">
        <v>973</v>
      </c>
      <c r="C27" t="s">
        <v>39</v>
      </c>
      <c r="D27" t="s">
        <v>47</v>
      </c>
      <c r="E27" t="s">
        <v>974</v>
      </c>
    </row>
    <row r="28" spans="1:5" x14ac:dyDescent="0.2">
      <c r="A28">
        <v>100077492</v>
      </c>
      <c r="B28" t="s">
        <v>975</v>
      </c>
      <c r="C28" t="s">
        <v>39</v>
      </c>
      <c r="D28" t="s">
        <v>47</v>
      </c>
      <c r="E28" t="s">
        <v>976</v>
      </c>
    </row>
    <row r="29" spans="1:5" x14ac:dyDescent="0.2">
      <c r="A29">
        <v>100084232</v>
      </c>
      <c r="B29" t="s">
        <v>1283</v>
      </c>
      <c r="C29" t="s">
        <v>39</v>
      </c>
      <c r="D29" t="s">
        <v>60</v>
      </c>
      <c r="E29" t="s">
        <v>1284</v>
      </c>
    </row>
    <row r="30" spans="1:5" x14ac:dyDescent="0.2">
      <c r="A30">
        <v>100084249</v>
      </c>
      <c r="B30" t="s">
        <v>1287</v>
      </c>
      <c r="C30" t="s">
        <v>39</v>
      </c>
      <c r="D30" t="s">
        <v>60</v>
      </c>
      <c r="E30" t="s">
        <v>1288</v>
      </c>
    </row>
    <row r="31" spans="1:5" x14ac:dyDescent="0.2">
      <c r="A31">
        <v>100082236</v>
      </c>
      <c r="B31" t="s">
        <v>1193</v>
      </c>
      <c r="C31" t="s">
        <v>39</v>
      </c>
      <c r="D31" t="s">
        <v>27</v>
      </c>
      <c r="E31" t="s">
        <v>1194</v>
      </c>
    </row>
    <row r="32" spans="1:5" x14ac:dyDescent="0.2">
      <c r="A32">
        <v>100048023</v>
      </c>
      <c r="B32" t="s">
        <v>213</v>
      </c>
      <c r="C32" t="s">
        <v>39</v>
      </c>
      <c r="D32" t="s">
        <v>47</v>
      </c>
      <c r="E32" t="s">
        <v>214</v>
      </c>
    </row>
    <row r="33" spans="1:5" x14ac:dyDescent="0.2">
      <c r="A33" t="s">
        <v>1617</v>
      </c>
      <c r="B33" t="s">
        <v>1669</v>
      </c>
      <c r="C33" t="s">
        <v>39</v>
      </c>
      <c r="D33" t="s">
        <v>26</v>
      </c>
      <c r="E33" t="s">
        <v>1721</v>
      </c>
    </row>
    <row r="34" spans="1:5" x14ac:dyDescent="0.2">
      <c r="A34">
        <v>100060728</v>
      </c>
      <c r="B34" t="s">
        <v>329</v>
      </c>
      <c r="C34" t="s">
        <v>39</v>
      </c>
      <c r="D34" t="s">
        <v>60</v>
      </c>
      <c r="E34" t="s">
        <v>330</v>
      </c>
    </row>
    <row r="35" spans="1:5" x14ac:dyDescent="0.2">
      <c r="A35">
        <v>100087215</v>
      </c>
      <c r="B35" t="s">
        <v>1475</v>
      </c>
      <c r="C35" t="s">
        <v>39</v>
      </c>
      <c r="D35" t="s">
        <v>23</v>
      </c>
      <c r="E35" t="s">
        <v>1476</v>
      </c>
    </row>
    <row r="36" spans="1:5" x14ac:dyDescent="0.2">
      <c r="A36">
        <v>100087282</v>
      </c>
      <c r="B36" t="s">
        <v>1477</v>
      </c>
      <c r="C36" t="s">
        <v>39</v>
      </c>
      <c r="D36" t="s">
        <v>23</v>
      </c>
      <c r="E36" t="s">
        <v>1478</v>
      </c>
    </row>
    <row r="37" spans="1:5" x14ac:dyDescent="0.2">
      <c r="A37">
        <v>100030337</v>
      </c>
      <c r="B37" t="s">
        <v>1069</v>
      </c>
      <c r="C37" t="s">
        <v>39</v>
      </c>
      <c r="D37" t="s">
        <v>34</v>
      </c>
      <c r="E37" t="s">
        <v>93</v>
      </c>
    </row>
    <row r="38" spans="1:5" x14ac:dyDescent="0.2">
      <c r="A38">
        <v>100049325</v>
      </c>
      <c r="B38" t="s">
        <v>232</v>
      </c>
      <c r="C38" t="s">
        <v>39</v>
      </c>
      <c r="D38" t="s">
        <v>23</v>
      </c>
      <c r="E38" t="s">
        <v>233</v>
      </c>
    </row>
    <row r="39" spans="1:5" x14ac:dyDescent="0.2">
      <c r="A39">
        <v>100073366</v>
      </c>
      <c r="B39" t="s">
        <v>848</v>
      </c>
      <c r="C39" t="s">
        <v>39</v>
      </c>
      <c r="D39" t="s">
        <v>30</v>
      </c>
      <c r="E39" t="s">
        <v>849</v>
      </c>
    </row>
    <row r="40" spans="1:5" x14ac:dyDescent="0.2">
      <c r="A40">
        <v>100073274</v>
      </c>
      <c r="B40" t="s">
        <v>1106</v>
      </c>
      <c r="C40" t="s">
        <v>39</v>
      </c>
      <c r="D40" t="s">
        <v>30</v>
      </c>
      <c r="E40" t="s">
        <v>845</v>
      </c>
    </row>
    <row r="41" spans="1:5" x14ac:dyDescent="0.2">
      <c r="A41">
        <v>100036391</v>
      </c>
      <c r="B41" t="s">
        <v>143</v>
      </c>
      <c r="C41" t="s">
        <v>39</v>
      </c>
      <c r="D41" t="s">
        <v>31</v>
      </c>
      <c r="E41" t="s">
        <v>144</v>
      </c>
    </row>
    <row r="42" spans="1:5" x14ac:dyDescent="0.2">
      <c r="A42" t="s">
        <v>1990</v>
      </c>
      <c r="B42" t="s">
        <v>1991</v>
      </c>
      <c r="C42" t="s">
        <v>39</v>
      </c>
      <c r="D42" t="s">
        <v>23</v>
      </c>
      <c r="E42" t="s">
        <v>1992</v>
      </c>
    </row>
    <row r="43" spans="1:5" x14ac:dyDescent="0.2">
      <c r="A43">
        <v>100029832</v>
      </c>
      <c r="B43" t="s">
        <v>81</v>
      </c>
      <c r="C43" t="s">
        <v>39</v>
      </c>
      <c r="D43" t="s">
        <v>47</v>
      </c>
      <c r="E43" t="s">
        <v>82</v>
      </c>
    </row>
    <row r="44" spans="1:5" x14ac:dyDescent="0.2">
      <c r="A44">
        <v>100053192</v>
      </c>
      <c r="B44" t="s">
        <v>251</v>
      </c>
      <c r="C44" t="s">
        <v>39</v>
      </c>
      <c r="D44" t="s">
        <v>47</v>
      </c>
      <c r="E44" t="s">
        <v>252</v>
      </c>
    </row>
    <row r="45" spans="1:5" x14ac:dyDescent="0.2">
      <c r="A45">
        <v>100077499</v>
      </c>
      <c r="B45" t="s">
        <v>981</v>
      </c>
      <c r="C45" t="s">
        <v>39</v>
      </c>
      <c r="D45" t="s">
        <v>47</v>
      </c>
      <c r="E45" t="s">
        <v>982</v>
      </c>
    </row>
    <row r="46" spans="1:5" x14ac:dyDescent="0.2">
      <c r="A46">
        <v>100087286</v>
      </c>
      <c r="B46" t="s">
        <v>1456</v>
      </c>
      <c r="C46" t="s">
        <v>39</v>
      </c>
      <c r="D46" t="s">
        <v>27</v>
      </c>
      <c r="E46" t="s">
        <v>1457</v>
      </c>
    </row>
    <row r="47" spans="1:5" x14ac:dyDescent="0.2">
      <c r="A47" t="s">
        <v>1998</v>
      </c>
      <c r="B47" t="s">
        <v>1999</v>
      </c>
      <c r="C47" t="s">
        <v>39</v>
      </c>
      <c r="D47" t="s">
        <v>47</v>
      </c>
      <c r="E47" t="s">
        <v>2000</v>
      </c>
    </row>
    <row r="48" spans="1:5" x14ac:dyDescent="0.2">
      <c r="A48">
        <v>100067131</v>
      </c>
      <c r="B48" t="s">
        <v>406</v>
      </c>
      <c r="C48" t="s">
        <v>39</v>
      </c>
      <c r="D48" t="s">
        <v>35</v>
      </c>
      <c r="E48" t="s">
        <v>407</v>
      </c>
    </row>
    <row r="49" spans="1:5" x14ac:dyDescent="0.2">
      <c r="A49">
        <v>100077488</v>
      </c>
      <c r="B49" t="s">
        <v>1033</v>
      </c>
      <c r="C49" t="s">
        <v>39</v>
      </c>
      <c r="D49" t="s">
        <v>47</v>
      </c>
      <c r="E49" t="s">
        <v>1034</v>
      </c>
    </row>
    <row r="50" spans="1:5" x14ac:dyDescent="0.2">
      <c r="A50">
        <v>100087276</v>
      </c>
      <c r="B50" t="s">
        <v>1445</v>
      </c>
      <c r="C50" t="s">
        <v>39</v>
      </c>
      <c r="D50" t="s">
        <v>26</v>
      </c>
      <c r="E50" t="s">
        <v>1446</v>
      </c>
    </row>
    <row r="51" spans="1:5" x14ac:dyDescent="0.2">
      <c r="A51">
        <v>100087255</v>
      </c>
      <c r="B51" t="s">
        <v>1505</v>
      </c>
      <c r="C51" t="s">
        <v>39</v>
      </c>
      <c r="D51" t="s">
        <v>30</v>
      </c>
      <c r="E51" t="s">
        <v>1506</v>
      </c>
    </row>
    <row r="52" spans="1:5" x14ac:dyDescent="0.2">
      <c r="A52">
        <v>100077562</v>
      </c>
      <c r="B52" t="s">
        <v>951</v>
      </c>
      <c r="C52" t="s">
        <v>39</v>
      </c>
      <c r="D52" t="s">
        <v>27</v>
      </c>
      <c r="E52" t="s">
        <v>952</v>
      </c>
    </row>
    <row r="53" spans="1:5" x14ac:dyDescent="0.2">
      <c r="A53">
        <v>100077524</v>
      </c>
      <c r="B53" t="s">
        <v>953</v>
      </c>
      <c r="C53" t="s">
        <v>39</v>
      </c>
      <c r="D53" t="s">
        <v>47</v>
      </c>
      <c r="E53" t="s">
        <v>954</v>
      </c>
    </row>
    <row r="54" spans="1:5" x14ac:dyDescent="0.2">
      <c r="A54">
        <v>100077561</v>
      </c>
      <c r="B54" t="s">
        <v>955</v>
      </c>
      <c r="C54" t="s">
        <v>39</v>
      </c>
      <c r="D54" t="s">
        <v>47</v>
      </c>
      <c r="E54" t="s">
        <v>956</v>
      </c>
    </row>
    <row r="55" spans="1:5" x14ac:dyDescent="0.2">
      <c r="A55">
        <v>100082246</v>
      </c>
      <c r="B55" t="s">
        <v>1165</v>
      </c>
      <c r="C55" t="s">
        <v>39</v>
      </c>
      <c r="D55" t="s">
        <v>27</v>
      </c>
      <c r="E55" t="s">
        <v>1166</v>
      </c>
    </row>
    <row r="56" spans="1:5" x14ac:dyDescent="0.2">
      <c r="A56">
        <v>100082258</v>
      </c>
      <c r="B56" t="s">
        <v>1167</v>
      </c>
      <c r="C56" t="s">
        <v>39</v>
      </c>
      <c r="D56" t="s">
        <v>27</v>
      </c>
      <c r="E56" t="s">
        <v>1168</v>
      </c>
    </row>
    <row r="57" spans="1:5" x14ac:dyDescent="0.2">
      <c r="A57">
        <v>100087246</v>
      </c>
      <c r="B57" t="s">
        <v>1491</v>
      </c>
      <c r="C57" t="s">
        <v>39</v>
      </c>
      <c r="D57" t="s">
        <v>30</v>
      </c>
      <c r="E57" t="s">
        <v>1492</v>
      </c>
    </row>
    <row r="58" spans="1:5" x14ac:dyDescent="0.2">
      <c r="A58">
        <v>100077548</v>
      </c>
      <c r="B58" t="s">
        <v>1015</v>
      </c>
      <c r="C58" t="s">
        <v>39</v>
      </c>
      <c r="D58" t="s">
        <v>47</v>
      </c>
      <c r="E58" t="s">
        <v>1016</v>
      </c>
    </row>
    <row r="59" spans="1:5" x14ac:dyDescent="0.2">
      <c r="A59">
        <v>100087261</v>
      </c>
      <c r="B59" t="s">
        <v>1465</v>
      </c>
      <c r="C59" t="s">
        <v>39</v>
      </c>
      <c r="D59" t="s">
        <v>27</v>
      </c>
      <c r="E59" t="s">
        <v>1466</v>
      </c>
    </row>
    <row r="60" spans="1:5" x14ac:dyDescent="0.2">
      <c r="A60">
        <v>100077531</v>
      </c>
      <c r="B60" t="s">
        <v>1017</v>
      </c>
      <c r="C60" t="s">
        <v>39</v>
      </c>
      <c r="D60" t="s">
        <v>47</v>
      </c>
      <c r="E60" t="s">
        <v>1018</v>
      </c>
    </row>
    <row r="61" spans="1:5" x14ac:dyDescent="0.2">
      <c r="A61">
        <v>100064791</v>
      </c>
      <c r="B61" t="s">
        <v>375</v>
      </c>
      <c r="C61" t="s">
        <v>39</v>
      </c>
      <c r="D61" t="s">
        <v>30</v>
      </c>
      <c r="E61" t="s">
        <v>376</v>
      </c>
    </row>
    <row r="62" spans="1:5" x14ac:dyDescent="0.2">
      <c r="A62">
        <v>100084267</v>
      </c>
      <c r="B62" t="s">
        <v>1279</v>
      </c>
      <c r="C62" t="s">
        <v>39</v>
      </c>
      <c r="D62" t="s">
        <v>29</v>
      </c>
      <c r="E62" t="s">
        <v>1280</v>
      </c>
    </row>
    <row r="63" spans="1:5" x14ac:dyDescent="0.2">
      <c r="A63">
        <v>100048105</v>
      </c>
      <c r="B63" t="s">
        <v>1084</v>
      </c>
      <c r="C63" t="s">
        <v>39</v>
      </c>
      <c r="D63" t="s">
        <v>32</v>
      </c>
      <c r="E63" t="s">
        <v>212</v>
      </c>
    </row>
    <row r="64" spans="1:5" x14ac:dyDescent="0.2">
      <c r="A64">
        <v>100077554</v>
      </c>
      <c r="B64" t="s">
        <v>979</v>
      </c>
      <c r="C64" t="s">
        <v>39</v>
      </c>
      <c r="D64" t="s">
        <v>30</v>
      </c>
      <c r="E64" t="s">
        <v>980</v>
      </c>
    </row>
    <row r="65" spans="1:5" x14ac:dyDescent="0.2">
      <c r="A65">
        <v>100064796</v>
      </c>
      <c r="B65" t="s">
        <v>368</v>
      </c>
      <c r="C65" t="s">
        <v>39</v>
      </c>
      <c r="D65" t="s">
        <v>26</v>
      </c>
      <c r="E65" t="s">
        <v>369</v>
      </c>
    </row>
    <row r="66" spans="1:5" x14ac:dyDescent="0.2">
      <c r="A66">
        <v>100073269</v>
      </c>
      <c r="B66" t="s">
        <v>1108</v>
      </c>
      <c r="C66" t="s">
        <v>39</v>
      </c>
      <c r="D66" t="s">
        <v>35</v>
      </c>
      <c r="E66" t="s">
        <v>857</v>
      </c>
    </row>
    <row r="67" spans="1:5" x14ac:dyDescent="0.2">
      <c r="A67">
        <v>100071815</v>
      </c>
      <c r="B67" t="s">
        <v>1136</v>
      </c>
      <c r="C67" t="s">
        <v>39</v>
      </c>
      <c r="D67" t="s">
        <v>30</v>
      </c>
      <c r="E67" t="s">
        <v>1137</v>
      </c>
    </row>
    <row r="68" spans="1:5" x14ac:dyDescent="0.2">
      <c r="A68">
        <v>100064786</v>
      </c>
      <c r="B68" t="s">
        <v>1100</v>
      </c>
      <c r="C68" t="s">
        <v>39</v>
      </c>
      <c r="D68" t="s">
        <v>26</v>
      </c>
      <c r="E68" t="s">
        <v>370</v>
      </c>
    </row>
    <row r="69" spans="1:5" x14ac:dyDescent="0.2">
      <c r="A69">
        <v>100087219</v>
      </c>
      <c r="B69" t="s">
        <v>1405</v>
      </c>
      <c r="C69" t="s">
        <v>39</v>
      </c>
      <c r="D69" t="s">
        <v>47</v>
      </c>
      <c r="E69" t="s">
        <v>1406</v>
      </c>
    </row>
    <row r="70" spans="1:5" x14ac:dyDescent="0.2">
      <c r="A70">
        <v>100064588</v>
      </c>
      <c r="B70" t="s">
        <v>363</v>
      </c>
      <c r="C70" t="s">
        <v>39</v>
      </c>
      <c r="D70" t="s">
        <v>26</v>
      </c>
      <c r="E70" t="s">
        <v>364</v>
      </c>
    </row>
    <row r="71" spans="1:5" x14ac:dyDescent="0.2">
      <c r="A71">
        <v>100084240</v>
      </c>
      <c r="B71" t="s">
        <v>1315</v>
      </c>
      <c r="C71" t="s">
        <v>39</v>
      </c>
      <c r="D71" t="s">
        <v>47</v>
      </c>
      <c r="E71" t="s">
        <v>1316</v>
      </c>
    </row>
    <row r="72" spans="1:5" x14ac:dyDescent="0.2">
      <c r="A72">
        <v>100059849</v>
      </c>
      <c r="B72" t="s">
        <v>327</v>
      </c>
      <c r="C72" t="s">
        <v>39</v>
      </c>
      <c r="D72" t="s">
        <v>47</v>
      </c>
      <c r="E72" t="s">
        <v>328</v>
      </c>
    </row>
    <row r="73" spans="1:5" x14ac:dyDescent="0.2">
      <c r="A73">
        <v>100067128</v>
      </c>
      <c r="B73" t="s">
        <v>404</v>
      </c>
      <c r="C73" t="s">
        <v>39</v>
      </c>
      <c r="D73" t="s">
        <v>60</v>
      </c>
      <c r="E73" t="s">
        <v>405</v>
      </c>
    </row>
    <row r="74" spans="1:5" x14ac:dyDescent="0.2">
      <c r="A74">
        <v>100090857</v>
      </c>
      <c r="B74" t="s">
        <v>1861</v>
      </c>
      <c r="C74" t="s">
        <v>39</v>
      </c>
      <c r="D74" t="s">
        <v>60</v>
      </c>
      <c r="E74" t="s">
        <v>1878</v>
      </c>
    </row>
    <row r="75" spans="1:5" x14ac:dyDescent="0.2">
      <c r="A75">
        <v>100082241</v>
      </c>
      <c r="B75" t="s">
        <v>1213</v>
      </c>
      <c r="C75" t="s">
        <v>39</v>
      </c>
      <c r="D75" t="s">
        <v>27</v>
      </c>
      <c r="E75" t="s">
        <v>1214</v>
      </c>
    </row>
    <row r="76" spans="1:5" x14ac:dyDescent="0.2">
      <c r="A76">
        <v>100077558</v>
      </c>
      <c r="B76" t="s">
        <v>1027</v>
      </c>
      <c r="C76" t="s">
        <v>39</v>
      </c>
      <c r="D76" t="s">
        <v>135</v>
      </c>
      <c r="E76" t="s">
        <v>1028</v>
      </c>
    </row>
    <row r="77" spans="1:5" x14ac:dyDescent="0.2">
      <c r="A77">
        <v>100077494</v>
      </c>
      <c r="B77" t="s">
        <v>1023</v>
      </c>
      <c r="C77" t="s">
        <v>39</v>
      </c>
      <c r="D77" t="s">
        <v>47</v>
      </c>
      <c r="E77" t="s">
        <v>1024</v>
      </c>
    </row>
    <row r="78" spans="1:5" x14ac:dyDescent="0.2">
      <c r="A78">
        <v>100040083</v>
      </c>
      <c r="B78" t="s">
        <v>182</v>
      </c>
      <c r="C78" t="s">
        <v>39</v>
      </c>
      <c r="D78" t="s">
        <v>31</v>
      </c>
      <c r="E78" t="s">
        <v>183</v>
      </c>
    </row>
    <row r="79" spans="1:5" x14ac:dyDescent="0.2">
      <c r="A79">
        <v>100087265</v>
      </c>
      <c r="B79" t="s">
        <v>1542</v>
      </c>
      <c r="C79" t="s">
        <v>39</v>
      </c>
      <c r="D79" t="s">
        <v>135</v>
      </c>
      <c r="E79" t="s">
        <v>1543</v>
      </c>
    </row>
    <row r="80" spans="1:5" x14ac:dyDescent="0.2">
      <c r="A80">
        <v>100084223</v>
      </c>
      <c r="B80" t="s">
        <v>1309</v>
      </c>
      <c r="C80" t="s">
        <v>39</v>
      </c>
      <c r="D80" t="s">
        <v>47</v>
      </c>
      <c r="E80" t="s">
        <v>1310</v>
      </c>
    </row>
    <row r="81" spans="1:5" x14ac:dyDescent="0.2">
      <c r="A81">
        <v>100054563</v>
      </c>
      <c r="B81" t="s">
        <v>292</v>
      </c>
      <c r="C81" t="s">
        <v>39</v>
      </c>
      <c r="D81" t="s">
        <v>26</v>
      </c>
      <c r="E81" t="s">
        <v>293</v>
      </c>
    </row>
    <row r="82" spans="1:5" x14ac:dyDescent="0.2">
      <c r="A82">
        <v>100087226</v>
      </c>
      <c r="B82" t="s">
        <v>1441</v>
      </c>
      <c r="C82" t="s">
        <v>39</v>
      </c>
      <c r="D82" t="s">
        <v>26</v>
      </c>
      <c r="E82" t="s">
        <v>1442</v>
      </c>
    </row>
    <row r="83" spans="1:5" x14ac:dyDescent="0.2">
      <c r="A83">
        <v>100084260</v>
      </c>
      <c r="B83" t="s">
        <v>1307</v>
      </c>
      <c r="C83" t="s">
        <v>39</v>
      </c>
      <c r="D83" t="s">
        <v>29</v>
      </c>
      <c r="E83" t="s">
        <v>1308</v>
      </c>
    </row>
    <row r="84" spans="1:5" x14ac:dyDescent="0.2">
      <c r="A84">
        <v>100077555</v>
      </c>
      <c r="B84" t="s">
        <v>1019</v>
      </c>
      <c r="C84" t="s">
        <v>39</v>
      </c>
      <c r="D84" t="s">
        <v>47</v>
      </c>
      <c r="E84" t="s">
        <v>1020</v>
      </c>
    </row>
    <row r="85" spans="1:5" x14ac:dyDescent="0.2">
      <c r="A85">
        <v>100071803</v>
      </c>
      <c r="B85" t="s">
        <v>1157</v>
      </c>
      <c r="C85" t="s">
        <v>39</v>
      </c>
      <c r="D85" t="s">
        <v>36</v>
      </c>
      <c r="E85" t="s">
        <v>1158</v>
      </c>
    </row>
    <row r="86" spans="1:5" x14ac:dyDescent="0.2">
      <c r="A86">
        <v>100084239</v>
      </c>
      <c r="B86" t="s">
        <v>1301</v>
      </c>
      <c r="C86" t="s">
        <v>39</v>
      </c>
      <c r="D86" t="s">
        <v>26</v>
      </c>
      <c r="E86" t="s">
        <v>1302</v>
      </c>
    </row>
    <row r="87" spans="1:5" x14ac:dyDescent="0.2">
      <c r="A87">
        <v>100067157</v>
      </c>
      <c r="B87" t="s">
        <v>1103</v>
      </c>
      <c r="C87" t="s">
        <v>39</v>
      </c>
      <c r="D87" t="s">
        <v>30</v>
      </c>
      <c r="E87" t="s">
        <v>399</v>
      </c>
    </row>
    <row r="88" spans="1:5" x14ac:dyDescent="0.2">
      <c r="A88">
        <v>100084268</v>
      </c>
      <c r="B88" t="s">
        <v>1299</v>
      </c>
      <c r="C88" t="s">
        <v>39</v>
      </c>
      <c r="D88" t="s">
        <v>47</v>
      </c>
      <c r="E88" t="s">
        <v>1300</v>
      </c>
    </row>
    <row r="89" spans="1:5" x14ac:dyDescent="0.2">
      <c r="A89">
        <v>100077518</v>
      </c>
      <c r="B89" t="s">
        <v>1011</v>
      </c>
      <c r="C89" t="s">
        <v>39</v>
      </c>
      <c r="D89" t="s">
        <v>47</v>
      </c>
      <c r="E89" t="s">
        <v>1012</v>
      </c>
    </row>
    <row r="90" spans="1:5" x14ac:dyDescent="0.2">
      <c r="A90">
        <v>100071826</v>
      </c>
      <c r="B90" t="s">
        <v>1155</v>
      </c>
      <c r="C90" t="s">
        <v>39</v>
      </c>
      <c r="D90" t="s">
        <v>30</v>
      </c>
      <c r="E90" t="s">
        <v>1156</v>
      </c>
    </row>
    <row r="91" spans="1:5" x14ac:dyDescent="0.2">
      <c r="A91">
        <v>100082248</v>
      </c>
      <c r="B91" t="s">
        <v>1205</v>
      </c>
      <c r="C91" t="s">
        <v>39</v>
      </c>
      <c r="D91" t="s">
        <v>135</v>
      </c>
      <c r="E91" t="s">
        <v>1206</v>
      </c>
    </row>
    <row r="92" spans="1:5" x14ac:dyDescent="0.2">
      <c r="A92">
        <v>100082253</v>
      </c>
      <c r="B92" t="s">
        <v>1203</v>
      </c>
      <c r="C92" t="s">
        <v>39</v>
      </c>
      <c r="D92" t="s">
        <v>135</v>
      </c>
      <c r="E92" t="s">
        <v>1204</v>
      </c>
    </row>
    <row r="93" spans="1:5" x14ac:dyDescent="0.2">
      <c r="A93">
        <v>100087213</v>
      </c>
      <c r="B93" t="s">
        <v>1540</v>
      </c>
      <c r="C93" t="s">
        <v>39</v>
      </c>
      <c r="D93" t="s">
        <v>135</v>
      </c>
      <c r="E93" t="s">
        <v>1541</v>
      </c>
    </row>
    <row r="94" spans="1:5" x14ac:dyDescent="0.2">
      <c r="A94">
        <v>100084219</v>
      </c>
      <c r="B94" t="s">
        <v>1297</v>
      </c>
      <c r="C94" t="s">
        <v>39</v>
      </c>
      <c r="D94" t="s">
        <v>31</v>
      </c>
      <c r="E94" t="s">
        <v>1298</v>
      </c>
    </row>
    <row r="95" spans="1:5" x14ac:dyDescent="0.2">
      <c r="A95">
        <v>100064581</v>
      </c>
      <c r="B95" t="s">
        <v>355</v>
      </c>
      <c r="C95" t="s">
        <v>39</v>
      </c>
      <c r="D95" t="s">
        <v>47</v>
      </c>
      <c r="E95" t="s">
        <v>356</v>
      </c>
    </row>
    <row r="96" spans="1:5" x14ac:dyDescent="0.2">
      <c r="A96">
        <v>100087225</v>
      </c>
      <c r="B96" t="s">
        <v>1435</v>
      </c>
      <c r="C96" t="s">
        <v>39</v>
      </c>
      <c r="D96" t="s">
        <v>26</v>
      </c>
      <c r="E96" t="s">
        <v>1436</v>
      </c>
    </row>
    <row r="97" spans="1:5" x14ac:dyDescent="0.2">
      <c r="A97">
        <v>100077506</v>
      </c>
      <c r="B97" t="s">
        <v>1005</v>
      </c>
      <c r="C97" t="s">
        <v>39</v>
      </c>
      <c r="D97" t="s">
        <v>47</v>
      </c>
      <c r="E97" t="s">
        <v>1006</v>
      </c>
    </row>
    <row r="98" spans="1:5" x14ac:dyDescent="0.2">
      <c r="A98">
        <v>100082260</v>
      </c>
      <c r="B98" t="s">
        <v>1199</v>
      </c>
      <c r="C98" t="s">
        <v>39</v>
      </c>
      <c r="D98" t="s">
        <v>23</v>
      </c>
      <c r="E98" t="s">
        <v>1200</v>
      </c>
    </row>
    <row r="99" spans="1:5" x14ac:dyDescent="0.2">
      <c r="A99">
        <v>100077520</v>
      </c>
      <c r="B99" t="s">
        <v>995</v>
      </c>
      <c r="C99" t="s">
        <v>39</v>
      </c>
      <c r="D99" t="s">
        <v>47</v>
      </c>
      <c r="E99" t="s">
        <v>996</v>
      </c>
    </row>
    <row r="100" spans="1:5" x14ac:dyDescent="0.2">
      <c r="A100">
        <v>100032208</v>
      </c>
      <c r="B100" t="s">
        <v>110</v>
      </c>
      <c r="C100" t="s">
        <v>39</v>
      </c>
      <c r="D100" t="s">
        <v>31</v>
      </c>
      <c r="E100" t="s">
        <v>111</v>
      </c>
    </row>
    <row r="101" spans="1:5" x14ac:dyDescent="0.2">
      <c r="A101">
        <v>100077601</v>
      </c>
      <c r="B101" t="s">
        <v>997</v>
      </c>
      <c r="C101" t="s">
        <v>39</v>
      </c>
      <c r="D101" t="s">
        <v>47</v>
      </c>
      <c r="E101" t="s">
        <v>998</v>
      </c>
    </row>
    <row r="102" spans="1:5" x14ac:dyDescent="0.2">
      <c r="A102">
        <v>100077509</v>
      </c>
      <c r="B102" t="s">
        <v>993</v>
      </c>
      <c r="C102" t="s">
        <v>39</v>
      </c>
      <c r="D102" t="s">
        <v>29</v>
      </c>
      <c r="E102" t="s">
        <v>994</v>
      </c>
    </row>
    <row r="103" spans="1:5" x14ac:dyDescent="0.2">
      <c r="A103">
        <v>100071580</v>
      </c>
      <c r="B103" t="s">
        <v>931</v>
      </c>
      <c r="C103" t="s">
        <v>39</v>
      </c>
      <c r="D103" t="s">
        <v>25</v>
      </c>
      <c r="E103" t="s">
        <v>932</v>
      </c>
    </row>
    <row r="104" spans="1:5" x14ac:dyDescent="0.2">
      <c r="A104">
        <v>100064572</v>
      </c>
      <c r="B104" t="s">
        <v>349</v>
      </c>
      <c r="C104" t="s">
        <v>39</v>
      </c>
      <c r="D104" t="s">
        <v>23</v>
      </c>
      <c r="E104" t="s">
        <v>350</v>
      </c>
    </row>
    <row r="105" spans="1:5" x14ac:dyDescent="0.2">
      <c r="A105">
        <v>100073285</v>
      </c>
      <c r="B105" t="s">
        <v>872</v>
      </c>
      <c r="C105" t="s">
        <v>39</v>
      </c>
      <c r="D105" t="s">
        <v>35</v>
      </c>
      <c r="E105" t="s">
        <v>873</v>
      </c>
    </row>
    <row r="106" spans="1:5" x14ac:dyDescent="0.2">
      <c r="A106">
        <v>100077486</v>
      </c>
      <c r="B106" t="s">
        <v>989</v>
      </c>
      <c r="C106" t="s">
        <v>39</v>
      </c>
      <c r="D106" t="s">
        <v>27</v>
      </c>
      <c r="E106" t="s">
        <v>990</v>
      </c>
    </row>
    <row r="107" spans="1:5" x14ac:dyDescent="0.2">
      <c r="A107">
        <v>100077567</v>
      </c>
      <c r="B107" t="s">
        <v>987</v>
      </c>
      <c r="C107" t="s">
        <v>39</v>
      </c>
      <c r="D107" t="s">
        <v>47</v>
      </c>
      <c r="E107" t="s">
        <v>988</v>
      </c>
    </row>
    <row r="108" spans="1:5" x14ac:dyDescent="0.2">
      <c r="A108">
        <v>100087278</v>
      </c>
      <c r="B108" t="s">
        <v>1433</v>
      </c>
      <c r="C108" t="s">
        <v>39</v>
      </c>
      <c r="D108" t="s">
        <v>26</v>
      </c>
      <c r="E108" t="s">
        <v>1434</v>
      </c>
    </row>
    <row r="109" spans="1:5" x14ac:dyDescent="0.2">
      <c r="A109">
        <v>100067129</v>
      </c>
      <c r="B109" t="s">
        <v>389</v>
      </c>
      <c r="C109" t="s">
        <v>39</v>
      </c>
      <c r="D109" t="s">
        <v>30</v>
      </c>
      <c r="E109" t="s">
        <v>390</v>
      </c>
    </row>
    <row r="110" spans="1:5" x14ac:dyDescent="0.2">
      <c r="A110">
        <v>100071711</v>
      </c>
      <c r="B110" t="s">
        <v>1138</v>
      </c>
      <c r="C110" t="s">
        <v>39</v>
      </c>
      <c r="D110" t="s">
        <v>30</v>
      </c>
      <c r="E110" t="s">
        <v>1139</v>
      </c>
    </row>
    <row r="111" spans="1:5" x14ac:dyDescent="0.2">
      <c r="A111">
        <v>100082251</v>
      </c>
      <c r="B111" t="s">
        <v>1189</v>
      </c>
      <c r="C111" t="s">
        <v>39</v>
      </c>
      <c r="D111" t="s">
        <v>47</v>
      </c>
      <c r="E111" t="s">
        <v>1190</v>
      </c>
    </row>
    <row r="112" spans="1:5" x14ac:dyDescent="0.2">
      <c r="A112">
        <v>100054475</v>
      </c>
      <c r="B112" t="s">
        <v>278</v>
      </c>
      <c r="C112" t="s">
        <v>39</v>
      </c>
      <c r="D112" t="s">
        <v>47</v>
      </c>
      <c r="E112" t="s">
        <v>279</v>
      </c>
    </row>
    <row r="113" spans="1:5" x14ac:dyDescent="0.2">
      <c r="A113">
        <v>100084253</v>
      </c>
      <c r="B113" t="s">
        <v>1289</v>
      </c>
      <c r="C113" t="s">
        <v>39</v>
      </c>
      <c r="D113" t="s">
        <v>29</v>
      </c>
      <c r="E113" t="s">
        <v>1290</v>
      </c>
    </row>
    <row r="114" spans="1:5" x14ac:dyDescent="0.2">
      <c r="A114">
        <v>100074380</v>
      </c>
      <c r="B114" t="s">
        <v>924</v>
      </c>
      <c r="C114" t="s">
        <v>39</v>
      </c>
      <c r="D114" t="s">
        <v>29</v>
      </c>
      <c r="E114" t="s">
        <v>925</v>
      </c>
    </row>
    <row r="115" spans="1:5" x14ac:dyDescent="0.2">
      <c r="A115">
        <v>100084225</v>
      </c>
      <c r="B115" t="s">
        <v>1291</v>
      </c>
      <c r="C115" t="s">
        <v>39</v>
      </c>
      <c r="D115" t="s">
        <v>26</v>
      </c>
      <c r="E115" t="s">
        <v>1292</v>
      </c>
    </row>
    <row r="116" spans="1:5" x14ac:dyDescent="0.2">
      <c r="A116">
        <v>100073275</v>
      </c>
      <c r="B116" t="s">
        <v>870</v>
      </c>
      <c r="C116" t="s">
        <v>39</v>
      </c>
      <c r="D116" t="s">
        <v>30</v>
      </c>
      <c r="E116" t="s">
        <v>871</v>
      </c>
    </row>
    <row r="117" spans="1:5" x14ac:dyDescent="0.2">
      <c r="A117">
        <v>100067144</v>
      </c>
      <c r="B117" t="s">
        <v>379</v>
      </c>
      <c r="C117" t="s">
        <v>39</v>
      </c>
      <c r="D117" t="s">
        <v>60</v>
      </c>
      <c r="E117" t="s">
        <v>380</v>
      </c>
    </row>
    <row r="118" spans="1:5" x14ac:dyDescent="0.2">
      <c r="A118">
        <v>100084269</v>
      </c>
      <c r="B118" t="s">
        <v>1261</v>
      </c>
      <c r="C118" t="s">
        <v>39</v>
      </c>
      <c r="D118" t="s">
        <v>26</v>
      </c>
      <c r="E118" t="s">
        <v>1262</v>
      </c>
    </row>
    <row r="119" spans="1:5" x14ac:dyDescent="0.2">
      <c r="A119">
        <v>100062549</v>
      </c>
      <c r="B119" t="s">
        <v>335</v>
      </c>
      <c r="C119" t="s">
        <v>39</v>
      </c>
      <c r="D119" t="s">
        <v>26</v>
      </c>
      <c r="E119" t="s">
        <v>336</v>
      </c>
    </row>
    <row r="120" spans="1:5" x14ac:dyDescent="0.2">
      <c r="A120">
        <v>100082240</v>
      </c>
      <c r="B120" t="s">
        <v>1173</v>
      </c>
      <c r="C120" t="s">
        <v>39</v>
      </c>
      <c r="D120" t="s">
        <v>47</v>
      </c>
      <c r="E120" t="s">
        <v>1174</v>
      </c>
    </row>
    <row r="121" spans="1:5" x14ac:dyDescent="0.2">
      <c r="A121">
        <v>100049342</v>
      </c>
      <c r="B121" t="s">
        <v>1085</v>
      </c>
      <c r="C121" t="s">
        <v>39</v>
      </c>
      <c r="D121" t="s">
        <v>23</v>
      </c>
      <c r="E121" t="s">
        <v>217</v>
      </c>
    </row>
    <row r="122" spans="1:5" x14ac:dyDescent="0.2">
      <c r="A122">
        <v>100074411</v>
      </c>
      <c r="B122" t="s">
        <v>890</v>
      </c>
      <c r="C122" t="s">
        <v>39</v>
      </c>
      <c r="D122" t="s">
        <v>29</v>
      </c>
      <c r="E122" t="s">
        <v>891</v>
      </c>
    </row>
    <row r="123" spans="1:5" x14ac:dyDescent="0.2">
      <c r="A123">
        <v>100090869</v>
      </c>
      <c r="B123" t="s">
        <v>1847</v>
      </c>
      <c r="C123" t="s">
        <v>39</v>
      </c>
      <c r="D123" t="s">
        <v>26</v>
      </c>
      <c r="E123" t="s">
        <v>1864</v>
      </c>
    </row>
    <row r="124" spans="1:5" x14ac:dyDescent="0.2">
      <c r="A124">
        <v>100049311</v>
      </c>
      <c r="B124" t="s">
        <v>218</v>
      </c>
      <c r="C124" t="s">
        <v>39</v>
      </c>
      <c r="D124" t="s">
        <v>47</v>
      </c>
      <c r="E124" t="s">
        <v>219</v>
      </c>
    </row>
    <row r="125" spans="1:5" x14ac:dyDescent="0.2">
      <c r="A125">
        <v>100087247</v>
      </c>
      <c r="B125" t="s">
        <v>1389</v>
      </c>
      <c r="C125" t="s">
        <v>39</v>
      </c>
      <c r="D125" t="s">
        <v>47</v>
      </c>
      <c r="E125" t="s">
        <v>1390</v>
      </c>
    </row>
    <row r="126" spans="1:5" x14ac:dyDescent="0.2">
      <c r="A126">
        <v>100082233</v>
      </c>
      <c r="B126" t="s">
        <v>1177</v>
      </c>
      <c r="C126" t="s">
        <v>39</v>
      </c>
      <c r="D126" t="s">
        <v>60</v>
      </c>
      <c r="E126" t="s">
        <v>1178</v>
      </c>
    </row>
    <row r="127" spans="1:5" x14ac:dyDescent="0.2">
      <c r="A127">
        <v>100074393</v>
      </c>
      <c r="B127" t="s">
        <v>897</v>
      </c>
      <c r="C127" t="s">
        <v>39</v>
      </c>
      <c r="D127" t="s">
        <v>30</v>
      </c>
      <c r="E127" t="s">
        <v>898</v>
      </c>
    </row>
    <row r="128" spans="1:5" x14ac:dyDescent="0.2">
      <c r="A128">
        <v>100090860</v>
      </c>
      <c r="B128" t="s">
        <v>1849</v>
      </c>
      <c r="C128" t="s">
        <v>39</v>
      </c>
      <c r="D128" t="s">
        <v>60</v>
      </c>
      <c r="E128" t="s">
        <v>1866</v>
      </c>
    </row>
    <row r="129" spans="1:5" x14ac:dyDescent="0.2">
      <c r="A129">
        <v>100077566</v>
      </c>
      <c r="B129" t="s">
        <v>963</v>
      </c>
      <c r="C129" t="s">
        <v>39</v>
      </c>
      <c r="D129" t="s">
        <v>47</v>
      </c>
      <c r="E129" t="s">
        <v>964</v>
      </c>
    </row>
    <row r="130" spans="1:5" x14ac:dyDescent="0.2">
      <c r="A130">
        <v>100074367</v>
      </c>
      <c r="B130" t="s">
        <v>908</v>
      </c>
      <c r="C130" t="s">
        <v>39</v>
      </c>
      <c r="D130" t="s">
        <v>29</v>
      </c>
      <c r="E130" t="s">
        <v>909</v>
      </c>
    </row>
    <row r="131" spans="1:5" x14ac:dyDescent="0.2">
      <c r="A131">
        <v>100067139</v>
      </c>
      <c r="B131" t="s">
        <v>382</v>
      </c>
      <c r="C131" t="s">
        <v>39</v>
      </c>
      <c r="D131" t="s">
        <v>32</v>
      </c>
      <c r="E131" t="s">
        <v>383</v>
      </c>
    </row>
    <row r="132" spans="1:5" x14ac:dyDescent="0.2">
      <c r="A132">
        <v>100087272</v>
      </c>
      <c r="B132" t="s">
        <v>1395</v>
      </c>
      <c r="C132" t="s">
        <v>39</v>
      </c>
      <c r="D132" t="s">
        <v>47</v>
      </c>
      <c r="E132" t="s">
        <v>1396</v>
      </c>
    </row>
    <row r="133" spans="1:5" x14ac:dyDescent="0.2">
      <c r="A133">
        <v>100077508</v>
      </c>
      <c r="B133" t="s">
        <v>967</v>
      </c>
      <c r="C133" t="s">
        <v>39</v>
      </c>
      <c r="D133" t="s">
        <v>26</v>
      </c>
      <c r="E133" t="s">
        <v>968</v>
      </c>
    </row>
    <row r="134" spans="1:5" x14ac:dyDescent="0.2">
      <c r="A134">
        <v>100082256</v>
      </c>
      <c r="B134" t="s">
        <v>1179</v>
      </c>
      <c r="C134" t="s">
        <v>39</v>
      </c>
      <c r="D134" t="s">
        <v>27</v>
      </c>
      <c r="E134" t="s">
        <v>1180</v>
      </c>
    </row>
    <row r="135" spans="1:5" x14ac:dyDescent="0.2">
      <c r="A135">
        <v>100090859</v>
      </c>
      <c r="B135" t="s">
        <v>1851</v>
      </c>
      <c r="C135" t="s">
        <v>39</v>
      </c>
      <c r="D135" t="s">
        <v>26</v>
      </c>
      <c r="E135" t="s">
        <v>1868</v>
      </c>
    </row>
    <row r="136" spans="1:5" x14ac:dyDescent="0.2">
      <c r="A136">
        <v>100087206</v>
      </c>
      <c r="B136" t="s">
        <v>1458</v>
      </c>
      <c r="C136" t="s">
        <v>39</v>
      </c>
      <c r="D136" t="s">
        <v>27</v>
      </c>
      <c r="E136" t="s">
        <v>1459</v>
      </c>
    </row>
    <row r="137" spans="1:5" x14ac:dyDescent="0.2">
      <c r="A137">
        <v>100074406</v>
      </c>
      <c r="B137" t="s">
        <v>915</v>
      </c>
      <c r="C137" t="s">
        <v>39</v>
      </c>
      <c r="D137" t="s">
        <v>30</v>
      </c>
      <c r="E137" t="s">
        <v>916</v>
      </c>
    </row>
    <row r="138" spans="1:5" x14ac:dyDescent="0.2">
      <c r="A138">
        <v>100082229</v>
      </c>
      <c r="B138" t="s">
        <v>1183</v>
      </c>
      <c r="C138" t="s">
        <v>39</v>
      </c>
      <c r="D138" t="s">
        <v>60</v>
      </c>
      <c r="E138" t="s">
        <v>1184</v>
      </c>
    </row>
    <row r="139" spans="1:5" x14ac:dyDescent="0.2">
      <c r="A139">
        <v>100077485</v>
      </c>
      <c r="B139" t="s">
        <v>969</v>
      </c>
      <c r="C139" t="s">
        <v>39</v>
      </c>
      <c r="D139" t="s">
        <v>27</v>
      </c>
      <c r="E139" t="s">
        <v>970</v>
      </c>
    </row>
    <row r="140" spans="1:5" x14ac:dyDescent="0.2">
      <c r="A140">
        <v>100077563</v>
      </c>
      <c r="B140" t="s">
        <v>971</v>
      </c>
      <c r="C140" t="s">
        <v>39</v>
      </c>
      <c r="D140" t="s">
        <v>47</v>
      </c>
      <c r="E140" t="s">
        <v>972</v>
      </c>
    </row>
    <row r="141" spans="1:5" x14ac:dyDescent="0.2">
      <c r="A141">
        <v>100077533</v>
      </c>
      <c r="B141" t="s">
        <v>973</v>
      </c>
      <c r="C141" t="s">
        <v>39</v>
      </c>
      <c r="D141" t="s">
        <v>47</v>
      </c>
      <c r="E141" t="s">
        <v>974</v>
      </c>
    </row>
    <row r="142" spans="1:5" x14ac:dyDescent="0.2">
      <c r="A142">
        <v>100074379</v>
      </c>
      <c r="B142" t="s">
        <v>917</v>
      </c>
      <c r="C142" t="s">
        <v>39</v>
      </c>
      <c r="D142" t="s">
        <v>30</v>
      </c>
      <c r="E142" t="s">
        <v>918</v>
      </c>
    </row>
    <row r="143" spans="1:5" x14ac:dyDescent="0.2">
      <c r="A143">
        <v>100075514</v>
      </c>
      <c r="B143" t="s">
        <v>945</v>
      </c>
      <c r="C143" t="s">
        <v>39</v>
      </c>
      <c r="D143" t="s">
        <v>35</v>
      </c>
      <c r="E143" t="s">
        <v>946</v>
      </c>
    </row>
    <row r="144" spans="1:5" x14ac:dyDescent="0.2">
      <c r="A144">
        <v>100087268</v>
      </c>
      <c r="B144" t="s">
        <v>1403</v>
      </c>
      <c r="C144" t="s">
        <v>39</v>
      </c>
      <c r="D144" t="s">
        <v>47</v>
      </c>
      <c r="E144" t="s">
        <v>1404</v>
      </c>
    </row>
    <row r="145" spans="1:5" x14ac:dyDescent="0.2">
      <c r="A145">
        <v>100031562</v>
      </c>
      <c r="B145" t="s">
        <v>100</v>
      </c>
      <c r="C145" t="s">
        <v>39</v>
      </c>
      <c r="D145" t="s">
        <v>33</v>
      </c>
      <c r="E145" t="s">
        <v>101</v>
      </c>
    </row>
    <row r="146" spans="1:5" x14ac:dyDescent="0.2">
      <c r="A146">
        <v>100087240</v>
      </c>
      <c r="B146" t="s">
        <v>1407</v>
      </c>
      <c r="C146" t="s">
        <v>39</v>
      </c>
      <c r="D146" t="s">
        <v>47</v>
      </c>
      <c r="E146" t="s">
        <v>1408</v>
      </c>
    </row>
    <row r="147" spans="1:5" x14ac:dyDescent="0.2">
      <c r="A147" t="s">
        <v>2311</v>
      </c>
      <c r="B147" t="s">
        <v>2320</v>
      </c>
      <c r="C147" t="s">
        <v>39</v>
      </c>
      <c r="D147" t="s">
        <v>47</v>
      </c>
      <c r="E147" t="s">
        <v>2329</v>
      </c>
    </row>
    <row r="148" spans="1:5" x14ac:dyDescent="0.2">
      <c r="A148" t="s">
        <v>2119</v>
      </c>
      <c r="B148" t="s">
        <v>2120</v>
      </c>
      <c r="C148" t="s">
        <v>39</v>
      </c>
      <c r="D148" t="s">
        <v>47</v>
      </c>
      <c r="E148" t="s">
        <v>2121</v>
      </c>
    </row>
    <row r="149" spans="1:5" x14ac:dyDescent="0.2">
      <c r="A149" t="s">
        <v>1605</v>
      </c>
      <c r="B149" t="s">
        <v>1657</v>
      </c>
      <c r="C149" t="s">
        <v>39</v>
      </c>
      <c r="D149" t="s">
        <v>30</v>
      </c>
      <c r="E149" t="s">
        <v>1709</v>
      </c>
    </row>
    <row r="150" spans="1:5" x14ac:dyDescent="0.2">
      <c r="A150">
        <v>100077512</v>
      </c>
      <c r="B150" t="s">
        <v>1001</v>
      </c>
      <c r="C150" t="s">
        <v>39</v>
      </c>
      <c r="D150" t="s">
        <v>47</v>
      </c>
      <c r="E150" t="s">
        <v>1002</v>
      </c>
    </row>
    <row r="151" spans="1:5" x14ac:dyDescent="0.2">
      <c r="A151">
        <v>100052656</v>
      </c>
      <c r="B151" t="s">
        <v>242</v>
      </c>
      <c r="C151" t="s">
        <v>39</v>
      </c>
      <c r="D151" t="s">
        <v>32</v>
      </c>
      <c r="E151" t="s">
        <v>243</v>
      </c>
    </row>
    <row r="152" spans="1:5" x14ac:dyDescent="0.2">
      <c r="A152">
        <v>100087251</v>
      </c>
      <c r="B152" t="s">
        <v>1418</v>
      </c>
      <c r="C152" t="s">
        <v>39</v>
      </c>
      <c r="D152" t="s">
        <v>47</v>
      </c>
      <c r="E152" t="s">
        <v>1419</v>
      </c>
    </row>
    <row r="153" spans="1:5" x14ac:dyDescent="0.2">
      <c r="A153">
        <v>100049981</v>
      </c>
      <c r="B153" t="s">
        <v>234</v>
      </c>
      <c r="C153" t="s">
        <v>39</v>
      </c>
      <c r="D153" t="s">
        <v>47</v>
      </c>
      <c r="E153" t="s">
        <v>235</v>
      </c>
    </row>
    <row r="154" spans="1:5" x14ac:dyDescent="0.2">
      <c r="A154" t="s">
        <v>1596</v>
      </c>
      <c r="B154" t="s">
        <v>1648</v>
      </c>
      <c r="C154" t="s">
        <v>39</v>
      </c>
      <c r="D154" t="s">
        <v>29</v>
      </c>
      <c r="E154" t="s">
        <v>1700</v>
      </c>
    </row>
    <row r="155" spans="1:5" x14ac:dyDescent="0.2">
      <c r="A155" t="s">
        <v>1595</v>
      </c>
      <c r="B155" t="s">
        <v>1647</v>
      </c>
      <c r="C155" t="s">
        <v>39</v>
      </c>
      <c r="D155" t="s">
        <v>29</v>
      </c>
      <c r="E155" t="s">
        <v>1699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96BA-1819-4F76-B44E-6C5D4D0C535A}">
  <dimension ref="H6:AU1271"/>
  <sheetViews>
    <sheetView workbookViewId="0">
      <selection sqref="A1:XFD1048576"/>
    </sheetView>
  </sheetViews>
  <sheetFormatPr defaultRowHeight="12.75" x14ac:dyDescent="0.2"/>
  <cols>
    <col min="1" max="1" width="38.7109375" bestFit="1" customWidth="1"/>
    <col min="2" max="2" width="12" bestFit="1" customWidth="1"/>
    <col min="3" max="3" width="10" bestFit="1" customWidth="1"/>
    <col min="4" max="4" width="36.7109375" bestFit="1" customWidth="1"/>
    <col min="5" max="5" width="10.5703125" bestFit="1" customWidth="1"/>
    <col min="6" max="6" width="7.7109375" bestFit="1" customWidth="1"/>
    <col min="7" max="7" width="41" bestFit="1" customWidth="1"/>
    <col min="8" max="8" width="10" bestFit="1" customWidth="1"/>
    <col min="9" max="9" width="6.5703125" bestFit="1" customWidth="1"/>
    <col min="10" max="10" width="33.28515625" bestFit="1" customWidth="1"/>
    <col min="11" max="11" width="10.28515625" bestFit="1" customWidth="1"/>
    <col min="13" max="13" width="10.28515625" bestFit="1" customWidth="1"/>
    <col min="14" max="14" width="10.42578125" bestFit="1" customWidth="1"/>
    <col min="15" max="15" width="11.28515625" bestFit="1" customWidth="1"/>
    <col min="16" max="16" width="13.7109375" bestFit="1" customWidth="1"/>
    <col min="17" max="17" width="8.42578125" bestFit="1" customWidth="1"/>
    <col min="18" max="18" width="9.28515625" bestFit="1" customWidth="1"/>
    <col min="19" max="19" width="6" bestFit="1" customWidth="1"/>
    <col min="20" max="20" width="8.7109375" bestFit="1" customWidth="1"/>
    <col min="21" max="21" width="8" bestFit="1" customWidth="1"/>
    <col min="22" max="22" width="8.42578125" bestFit="1" customWidth="1"/>
    <col min="23" max="23" width="7.42578125" bestFit="1" customWidth="1"/>
    <col min="24" max="24" width="6.7109375" bestFit="1" customWidth="1"/>
    <col min="25" max="25" width="6.5703125" bestFit="1" customWidth="1"/>
    <col min="26" max="26" width="8.7109375" bestFit="1" customWidth="1"/>
    <col min="27" max="27" width="14.42578125" bestFit="1" customWidth="1"/>
    <col min="28" max="28" width="14.28515625" bestFit="1" customWidth="1"/>
    <col min="29" max="29" width="13.28515625" bestFit="1" customWidth="1"/>
    <col min="30" max="30" width="10.7109375" bestFit="1" customWidth="1"/>
    <col min="31" max="31" width="8" bestFit="1" customWidth="1"/>
    <col min="32" max="32" width="14" bestFit="1" customWidth="1"/>
    <col min="33" max="33" width="13.5703125" bestFit="1" customWidth="1"/>
    <col min="34" max="34" width="11.7109375" bestFit="1" customWidth="1"/>
    <col min="35" max="35" width="11" bestFit="1" customWidth="1"/>
    <col min="36" max="36" width="10.7109375" bestFit="1" customWidth="1"/>
    <col min="37" max="37" width="13.28515625" bestFit="1" customWidth="1"/>
    <col min="38" max="38" width="18.7109375" bestFit="1" customWidth="1"/>
    <col min="39" max="39" width="18.5703125" bestFit="1" customWidth="1"/>
    <col min="40" max="40" width="10.28515625" bestFit="1" customWidth="1"/>
    <col min="41" max="41" width="9.7109375" bestFit="1" customWidth="1"/>
    <col min="42" max="42" width="12.7109375" bestFit="1" customWidth="1"/>
    <col min="43" max="43" width="6.42578125" bestFit="1" customWidth="1"/>
    <col min="44" max="44" width="8.42578125" bestFit="1" customWidth="1"/>
    <col min="45" max="45" width="10.28515625" bestFit="1" customWidth="1"/>
    <col min="46" max="46" width="8.42578125" bestFit="1" customWidth="1"/>
    <col min="47" max="47" width="10.7109375" bestFit="1" customWidth="1"/>
    <col min="48" max="48" width="39.28515625" bestFit="1" customWidth="1"/>
    <col min="49" max="49" width="15.28515625" bestFit="1" customWidth="1"/>
    <col min="50" max="50" width="14" bestFit="1" customWidth="1"/>
    <col min="51" max="51" width="8.28515625" bestFit="1" customWidth="1"/>
    <col min="52" max="52" width="44" bestFit="1" customWidth="1"/>
    <col min="53" max="53" width="12.7109375" bestFit="1" customWidth="1"/>
    <col min="54" max="54" width="16.7109375" bestFit="1" customWidth="1"/>
    <col min="55" max="55" width="21.28515625" bestFit="1" customWidth="1"/>
    <col min="56" max="56" width="17" bestFit="1" customWidth="1"/>
    <col min="57" max="57" width="12.7109375" bestFit="1" customWidth="1"/>
    <col min="58" max="58" width="11.5703125" bestFit="1" customWidth="1"/>
    <col min="59" max="59" width="32.28515625" bestFit="1" customWidth="1"/>
    <col min="60" max="60" width="95.5703125" bestFit="1" customWidth="1"/>
    <col min="61" max="61" width="15.7109375" bestFit="1" customWidth="1"/>
    <col min="62" max="63" width="24.7109375" bestFit="1" customWidth="1"/>
    <col min="64" max="64" width="19.28515625" bestFit="1" customWidth="1"/>
    <col min="65" max="65" width="26.28515625" bestFit="1" customWidth="1"/>
  </cols>
  <sheetData>
    <row r="6" spans="8:47" x14ac:dyDescent="0.2">
      <c r="H6" s="23"/>
      <c r="N6" s="6"/>
      <c r="Q6" s="23"/>
      <c r="R6" s="23"/>
      <c r="AR6" s="23"/>
      <c r="AS6" s="23"/>
      <c r="AT6" s="23"/>
      <c r="AU6" s="23"/>
    </row>
    <row r="7" spans="8:47" x14ac:dyDescent="0.2">
      <c r="H7" s="23"/>
      <c r="N7" s="6"/>
      <c r="Q7" s="23"/>
      <c r="R7" s="23"/>
      <c r="AR7" s="23"/>
      <c r="AS7" s="23"/>
      <c r="AT7" s="23"/>
      <c r="AU7" s="23"/>
    </row>
    <row r="8" spans="8:47" x14ac:dyDescent="0.2">
      <c r="H8" s="23"/>
      <c r="N8" s="6"/>
      <c r="Q8" s="23"/>
      <c r="R8" s="23"/>
      <c r="AR8" s="23"/>
      <c r="AS8" s="23"/>
      <c r="AT8" s="23"/>
      <c r="AU8" s="23"/>
    </row>
    <row r="9" spans="8:47" x14ac:dyDescent="0.2">
      <c r="H9" s="23"/>
      <c r="N9" s="6"/>
      <c r="Q9" s="23"/>
      <c r="R9" s="23"/>
      <c r="AR9" s="23"/>
      <c r="AS9" s="23"/>
      <c r="AT9" s="23"/>
      <c r="AU9" s="23"/>
    </row>
    <row r="10" spans="8:47" x14ac:dyDescent="0.2">
      <c r="H10" s="23"/>
      <c r="N10" s="6"/>
      <c r="Q10" s="23"/>
      <c r="R10" s="23"/>
      <c r="AR10" s="23"/>
      <c r="AS10" s="23"/>
      <c r="AT10" s="23"/>
      <c r="AU10" s="23"/>
    </row>
    <row r="11" spans="8:47" x14ac:dyDescent="0.2">
      <c r="H11" s="23"/>
      <c r="N11" s="6"/>
      <c r="Q11" s="23"/>
      <c r="R11" s="23"/>
      <c r="AR11" s="23"/>
      <c r="AS11" s="23"/>
      <c r="AT11" s="23"/>
      <c r="AU11" s="23"/>
    </row>
    <row r="12" spans="8:47" x14ac:dyDescent="0.2">
      <c r="H12" s="23"/>
      <c r="N12" s="6"/>
      <c r="Q12" s="23"/>
      <c r="R12" s="23"/>
      <c r="AR12" s="23"/>
      <c r="AS12" s="23"/>
      <c r="AT12" s="23"/>
      <c r="AU12" s="23"/>
    </row>
    <row r="13" spans="8:47" x14ac:dyDescent="0.2">
      <c r="H13" s="23"/>
      <c r="N13" s="6"/>
      <c r="Q13" s="23"/>
      <c r="R13" s="23"/>
      <c r="AR13" s="23"/>
      <c r="AS13" s="23"/>
      <c r="AT13" s="23"/>
      <c r="AU13" s="23"/>
    </row>
    <row r="14" spans="8:47" x14ac:dyDescent="0.2">
      <c r="H14" s="23"/>
      <c r="N14" s="6"/>
      <c r="Q14" s="23"/>
      <c r="R14" s="23"/>
      <c r="AR14" s="23"/>
      <c r="AS14" s="23"/>
      <c r="AT14" s="23"/>
    </row>
    <row r="15" spans="8:47" x14ac:dyDescent="0.2">
      <c r="H15" s="23"/>
      <c r="N15" s="6"/>
      <c r="Q15" s="23"/>
      <c r="R15" s="23"/>
      <c r="AR15" s="23"/>
      <c r="AS15" s="23"/>
      <c r="AT15" s="23"/>
      <c r="AU15" s="23"/>
    </row>
    <row r="16" spans="8:47" x14ac:dyDescent="0.2">
      <c r="H16" s="23"/>
      <c r="N16" s="6"/>
      <c r="Q16" s="23"/>
      <c r="R16" s="23"/>
      <c r="AR16" s="23"/>
      <c r="AS16" s="23"/>
      <c r="AT16" s="23"/>
      <c r="AU16" s="23"/>
    </row>
    <row r="17" spans="8:47" x14ac:dyDescent="0.2">
      <c r="H17" s="23"/>
      <c r="N17" s="6"/>
      <c r="Q17" s="23"/>
      <c r="R17" s="23"/>
      <c r="AR17" s="23"/>
      <c r="AS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  <c r="AR21" s="23"/>
      <c r="AS21" s="23"/>
      <c r="AT21" s="23"/>
      <c r="AU21" s="23"/>
    </row>
    <row r="22" spans="8:47" x14ac:dyDescent="0.2">
      <c r="H22" s="23"/>
      <c r="N22" s="6"/>
      <c r="Q22" s="23"/>
      <c r="R22" s="23"/>
      <c r="AR22" s="23"/>
      <c r="AS22" s="23"/>
      <c r="AT22" s="23"/>
      <c r="AU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</row>
    <row r="25" spans="8:47" x14ac:dyDescent="0.2">
      <c r="H25" s="23"/>
      <c r="N25" s="6"/>
      <c r="Q25" s="23"/>
      <c r="R25" s="23"/>
      <c r="AR25" s="23"/>
      <c r="AS25" s="23"/>
      <c r="AT25" s="23"/>
      <c r="AU25" s="23"/>
    </row>
    <row r="26" spans="8:47" x14ac:dyDescent="0.2">
      <c r="H26" s="23"/>
      <c r="N26" s="6"/>
      <c r="Q26" s="23"/>
      <c r="R26" s="23"/>
      <c r="AR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  <c r="AU27" s="23"/>
    </row>
    <row r="28" spans="8:47" x14ac:dyDescent="0.2">
      <c r="H28" s="23"/>
      <c r="N28" s="6"/>
      <c r="Q28" s="23"/>
      <c r="R28" s="23"/>
      <c r="AT28" s="23"/>
      <c r="AU28" s="23"/>
    </row>
    <row r="29" spans="8:47" x14ac:dyDescent="0.2">
      <c r="H29" s="23"/>
      <c r="N29" s="6"/>
      <c r="Q29" s="23"/>
      <c r="R29" s="23"/>
      <c r="AR29" s="23"/>
      <c r="AT29" s="23"/>
      <c r="AU29" s="23"/>
    </row>
    <row r="30" spans="8:47" x14ac:dyDescent="0.2">
      <c r="H30" s="23"/>
      <c r="N30" s="6"/>
      <c r="Q30" s="23"/>
      <c r="R30" s="23"/>
      <c r="AT30" s="23"/>
      <c r="AU30" s="24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  <c r="AU38" s="23"/>
    </row>
    <row r="39" spans="8:47" x14ac:dyDescent="0.2">
      <c r="H39" s="23"/>
      <c r="N39" s="6"/>
      <c r="Q39" s="23"/>
      <c r="R39" s="23"/>
      <c r="AR39" s="23"/>
      <c r="AS39" s="23"/>
      <c r="AT39" s="23"/>
      <c r="AU39" s="23"/>
    </row>
    <row r="40" spans="8:47" x14ac:dyDescent="0.2">
      <c r="H40" s="23"/>
      <c r="N40" s="6"/>
      <c r="Q40" s="23"/>
      <c r="R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</row>
    <row r="48" spans="8:47" x14ac:dyDescent="0.2">
      <c r="H48" s="23"/>
      <c r="N48" s="6"/>
      <c r="Q48" s="23"/>
      <c r="R48" s="23"/>
      <c r="AR48" s="23"/>
      <c r="AS48" s="23"/>
      <c r="AT48" s="23"/>
      <c r="AU48" s="23"/>
    </row>
    <row r="49" spans="8:47" x14ac:dyDescent="0.2">
      <c r="H49" s="23"/>
      <c r="N49" s="6"/>
      <c r="Q49" s="23"/>
      <c r="R49" s="23"/>
      <c r="AR49" s="23"/>
      <c r="AS49" s="23"/>
      <c r="AT49" s="23"/>
      <c r="AU49" s="23"/>
    </row>
    <row r="50" spans="8:47" x14ac:dyDescent="0.2">
      <c r="H50" s="23"/>
      <c r="N50" s="6"/>
      <c r="Q50" s="23"/>
      <c r="R50" s="23"/>
      <c r="AR50" s="23"/>
      <c r="AS50" s="23"/>
      <c r="AT50" s="23"/>
      <c r="AU50" s="23"/>
    </row>
    <row r="51" spans="8:47" x14ac:dyDescent="0.2">
      <c r="H51" s="23"/>
      <c r="N51" s="6"/>
      <c r="Q51" s="23"/>
      <c r="R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  <c r="AU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  <c r="AU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  <c r="AR59" s="23"/>
      <c r="AS59" s="23"/>
      <c r="AT59" s="23"/>
      <c r="AU59" s="23"/>
    </row>
    <row r="60" spans="8:47" x14ac:dyDescent="0.2">
      <c r="H60" s="23"/>
      <c r="N60" s="6"/>
      <c r="Q60" s="23"/>
      <c r="R60" s="23"/>
      <c r="AR60" s="23"/>
      <c r="AS60" s="23"/>
      <c r="AT60" s="23"/>
      <c r="AU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R62" s="23"/>
      <c r="AS62" s="23"/>
      <c r="AT62" s="23"/>
      <c r="AU62" s="23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R69" s="23"/>
      <c r="AS69" s="23"/>
      <c r="AT69" s="23"/>
      <c r="AU69" s="23"/>
    </row>
    <row r="70" spans="8:47" x14ac:dyDescent="0.2">
      <c r="H70" s="23"/>
      <c r="N70" s="6"/>
      <c r="Q70" s="23"/>
      <c r="R70" s="23"/>
    </row>
    <row r="71" spans="8:47" x14ac:dyDescent="0.2">
      <c r="H71" s="23"/>
      <c r="N71" s="6"/>
      <c r="Q71" s="23"/>
      <c r="R71" s="23"/>
      <c r="AR71" s="23"/>
      <c r="AS71" s="23"/>
      <c r="AT71" s="23"/>
      <c r="AU71" s="23"/>
    </row>
    <row r="72" spans="8:47" x14ac:dyDescent="0.2">
      <c r="H72" s="23"/>
      <c r="N72" s="6"/>
      <c r="Q72" s="23"/>
      <c r="R72" s="23"/>
      <c r="AR72" s="23"/>
      <c r="AS72" s="23"/>
      <c r="AT72" s="23"/>
      <c r="AU72" s="23"/>
    </row>
    <row r="73" spans="8:47" x14ac:dyDescent="0.2">
      <c r="H73" s="23"/>
      <c r="N73" s="6"/>
      <c r="Q73" s="23"/>
      <c r="R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  <c r="AU75" s="23"/>
    </row>
    <row r="76" spans="8:47" x14ac:dyDescent="0.2">
      <c r="H76" s="23"/>
      <c r="N76" s="6"/>
      <c r="Q76" s="23"/>
      <c r="R76" s="23"/>
    </row>
    <row r="77" spans="8:47" x14ac:dyDescent="0.2">
      <c r="H77" s="23"/>
      <c r="N77" s="6"/>
      <c r="Q77" s="23"/>
      <c r="R77" s="23"/>
      <c r="AR77" s="23"/>
      <c r="AS77" s="23"/>
      <c r="AT77" s="23"/>
    </row>
    <row r="78" spans="8:47" x14ac:dyDescent="0.2">
      <c r="H78" s="23"/>
      <c r="N78" s="6"/>
      <c r="Q78" s="23"/>
      <c r="R78" s="23"/>
      <c r="AR78" s="23"/>
      <c r="AS78" s="23"/>
      <c r="AT78" s="23"/>
      <c r="AU78" s="23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R81" s="23"/>
      <c r="AS81" s="23"/>
      <c r="AT81" s="23"/>
      <c r="AU81" s="23"/>
    </row>
    <row r="82" spans="8:47" x14ac:dyDescent="0.2">
      <c r="H82" s="23"/>
      <c r="N82" s="6"/>
      <c r="Q82" s="23"/>
      <c r="R82" s="23"/>
      <c r="AR82" s="23"/>
      <c r="AS82" s="23"/>
      <c r="AT82" s="23"/>
      <c r="AU82" s="23"/>
    </row>
    <row r="83" spans="8:47" x14ac:dyDescent="0.2">
      <c r="H83" s="23"/>
      <c r="N83" s="6"/>
      <c r="Q83" s="23"/>
      <c r="R83" s="23"/>
      <c r="AR83" s="23"/>
      <c r="AS83" s="23"/>
      <c r="AT83" s="23"/>
      <c r="AU83" s="23"/>
    </row>
    <row r="84" spans="8:47" x14ac:dyDescent="0.2">
      <c r="H84" s="23"/>
      <c r="N84" s="6"/>
      <c r="Q84" s="23"/>
      <c r="R84" s="23"/>
      <c r="AR84" s="23"/>
      <c r="AT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</row>
    <row r="88" spans="8:47" x14ac:dyDescent="0.2">
      <c r="H88" s="23"/>
      <c r="N88" s="6"/>
      <c r="Q88" s="23"/>
      <c r="R88" s="23"/>
      <c r="AR88" s="23"/>
      <c r="AS88" s="23"/>
      <c r="AT88" s="23"/>
      <c r="AU88" s="23"/>
    </row>
    <row r="89" spans="8:47" x14ac:dyDescent="0.2">
      <c r="H89" s="23"/>
      <c r="N89" s="6"/>
      <c r="Q89" s="23"/>
      <c r="R89" s="23"/>
      <c r="AR89" s="23"/>
      <c r="AT89" s="23"/>
      <c r="AU89" s="23"/>
    </row>
    <row r="90" spans="8:47" x14ac:dyDescent="0.2">
      <c r="H90" s="23"/>
      <c r="N90" s="6"/>
      <c r="Q90" s="23"/>
      <c r="R90" s="23"/>
      <c r="AR90" s="23"/>
      <c r="AS90" s="23"/>
      <c r="AT90" s="23"/>
      <c r="AU90" s="23"/>
    </row>
    <row r="91" spans="8:47" x14ac:dyDescent="0.2">
      <c r="H91" s="23"/>
      <c r="N91" s="6"/>
      <c r="Q91" s="23"/>
      <c r="R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T97" s="23"/>
      <c r="AU97" s="23"/>
    </row>
    <row r="98" spans="8:47" x14ac:dyDescent="0.2">
      <c r="H98" s="23"/>
      <c r="N98" s="6"/>
      <c r="Q98" s="23"/>
      <c r="R98" s="23"/>
      <c r="AR98" s="23"/>
      <c r="AS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R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T102" s="23"/>
      <c r="AU102" s="23"/>
    </row>
    <row r="103" spans="8:47" x14ac:dyDescent="0.2">
      <c r="H103" s="23"/>
      <c r="N103" s="6"/>
      <c r="Q103" s="23"/>
      <c r="R103" s="23"/>
    </row>
    <row r="104" spans="8:47" x14ac:dyDescent="0.2">
      <c r="H104" s="23"/>
      <c r="N104" s="6"/>
      <c r="Q104" s="23"/>
      <c r="R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R106" s="23"/>
      <c r="AS106" s="23"/>
      <c r="AT106" s="23"/>
      <c r="AU106" s="23"/>
    </row>
    <row r="107" spans="8:47" x14ac:dyDescent="0.2">
      <c r="H107" s="23"/>
      <c r="N107" s="6"/>
      <c r="Q107" s="23"/>
      <c r="R107" s="23"/>
      <c r="AR107" s="23"/>
      <c r="AS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  <c r="AU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R115" s="23"/>
      <c r="AS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S117" s="23"/>
      <c r="AT117" s="23"/>
      <c r="AU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3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R125" s="23"/>
      <c r="AS125" s="23"/>
      <c r="AT125" s="23"/>
      <c r="AU125" s="23"/>
    </row>
    <row r="126" spans="8:47" x14ac:dyDescent="0.2">
      <c r="H126" s="23"/>
      <c r="N126" s="6"/>
      <c r="Q126" s="23"/>
      <c r="R126" s="23"/>
      <c r="AR126" s="23"/>
      <c r="AS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  <c r="AU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S135" s="23"/>
      <c r="AT135" s="23"/>
      <c r="AU135" s="23"/>
    </row>
    <row r="136" spans="8:47" x14ac:dyDescent="0.2">
      <c r="H136" s="23"/>
      <c r="N136" s="6"/>
      <c r="Q136" s="23"/>
      <c r="R136" s="23"/>
      <c r="AR136" s="23"/>
      <c r="AS136" s="23"/>
      <c r="AT136" s="23"/>
      <c r="AU136" s="23"/>
    </row>
    <row r="137" spans="8:47" x14ac:dyDescent="0.2">
      <c r="H137" s="23"/>
      <c r="N137" s="6"/>
      <c r="Q137" s="23"/>
      <c r="R137" s="23"/>
      <c r="AR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S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</row>
    <row r="141" spans="8:47" x14ac:dyDescent="0.2">
      <c r="H141" s="23"/>
      <c r="N141" s="6"/>
      <c r="Q141" s="23"/>
      <c r="R141" s="23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R147" s="23"/>
      <c r="AS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R150" s="23"/>
      <c r="AS150" s="23"/>
      <c r="AT150" s="23"/>
      <c r="AU150" s="23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</row>
    <row r="154" spans="8:47" x14ac:dyDescent="0.2">
      <c r="H154" s="23"/>
      <c r="N154" s="6"/>
      <c r="Q154" s="23"/>
      <c r="R154" s="23"/>
      <c r="AR154" s="23"/>
      <c r="AS154" s="23"/>
      <c r="AT154" s="23"/>
      <c r="AU154" s="23"/>
    </row>
    <row r="155" spans="8:47" x14ac:dyDescent="0.2">
      <c r="H155" s="23"/>
      <c r="N155" s="6"/>
      <c r="Q155" s="23"/>
      <c r="R155" s="23"/>
      <c r="AR155" s="23"/>
      <c r="AS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S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T160" s="23"/>
      <c r="AU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</row>
    <row r="163" spans="8:47" x14ac:dyDescent="0.2">
      <c r="H163" s="23"/>
      <c r="N163" s="6"/>
      <c r="Q163" s="23"/>
      <c r="R163" s="23"/>
      <c r="AR163" s="23"/>
      <c r="AS163" s="23"/>
      <c r="AT163" s="23"/>
      <c r="AU163" s="23"/>
    </row>
    <row r="164" spans="8:47" x14ac:dyDescent="0.2">
      <c r="H164" s="23"/>
      <c r="N164" s="6"/>
      <c r="Q164" s="23"/>
      <c r="R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R170" s="23"/>
      <c r="AS170" s="23"/>
      <c r="AT170" s="23"/>
      <c r="AU170" s="23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R172" s="23"/>
      <c r="AS172" s="23"/>
      <c r="AT172" s="23"/>
      <c r="AU172" s="23"/>
    </row>
    <row r="173" spans="8:47" x14ac:dyDescent="0.2">
      <c r="H173" s="23"/>
      <c r="N173" s="6"/>
      <c r="Q173" s="23"/>
      <c r="R173" s="23"/>
      <c r="AR173" s="23"/>
      <c r="AS173" s="23"/>
      <c r="AT173" s="23"/>
      <c r="AU173" s="23"/>
    </row>
    <row r="174" spans="8:47" x14ac:dyDescent="0.2">
      <c r="H174" s="23"/>
      <c r="N174" s="6"/>
      <c r="Q174" s="23"/>
      <c r="R174" s="23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R181" s="23"/>
      <c r="AS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T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</row>
    <row r="185" spans="8:47" x14ac:dyDescent="0.2">
      <c r="H185" s="23"/>
      <c r="N185" s="6"/>
      <c r="Q185" s="23"/>
      <c r="R185" s="23"/>
      <c r="AR185" s="23"/>
      <c r="AS185" s="23"/>
      <c r="AT185" s="23"/>
      <c r="AU185" s="23"/>
    </row>
    <row r="186" spans="8:47" x14ac:dyDescent="0.2">
      <c r="H186" s="23"/>
      <c r="N186" s="6"/>
      <c r="Q186" s="23"/>
      <c r="R186" s="23"/>
    </row>
    <row r="187" spans="8:47" x14ac:dyDescent="0.2">
      <c r="H187" s="23"/>
      <c r="N187" s="6"/>
      <c r="Q187" s="23"/>
      <c r="R187" s="23"/>
      <c r="AR187" s="23"/>
      <c r="AS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R190" s="23"/>
      <c r="AS190" s="23"/>
      <c r="AT190" s="23"/>
      <c r="AU190" s="23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R192" s="23"/>
      <c r="AS192" s="23"/>
      <c r="AT192" s="23"/>
      <c r="AU192" s="23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R200" s="23"/>
      <c r="AS200" s="23"/>
      <c r="AT200" s="23"/>
      <c r="AU200" s="23"/>
    </row>
    <row r="201" spans="8:47" x14ac:dyDescent="0.2">
      <c r="H201" s="23"/>
      <c r="N201" s="6"/>
      <c r="Q201" s="23"/>
      <c r="R201" s="23"/>
      <c r="AR201" s="23"/>
      <c r="AS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S202" s="23"/>
      <c r="AT202" s="23"/>
      <c r="AU202" s="23"/>
    </row>
    <row r="203" spans="8:47" x14ac:dyDescent="0.2">
      <c r="H203" s="23"/>
      <c r="N203" s="6"/>
      <c r="Q203" s="23"/>
      <c r="R203" s="23"/>
      <c r="AR203" s="23"/>
      <c r="AS203" s="23"/>
      <c r="AT203" s="23"/>
      <c r="AU203" s="23"/>
    </row>
    <row r="204" spans="8:47" x14ac:dyDescent="0.2">
      <c r="H204" s="23"/>
      <c r="N204" s="6"/>
      <c r="Q204" s="23"/>
      <c r="R204" s="23"/>
    </row>
    <row r="205" spans="8:47" x14ac:dyDescent="0.2">
      <c r="H205" s="23"/>
      <c r="N205" s="6"/>
      <c r="Q205" s="23"/>
      <c r="R205" s="23"/>
      <c r="AR205" s="23"/>
      <c r="AT205" s="23"/>
      <c r="AU205" s="23"/>
    </row>
    <row r="206" spans="8:47" x14ac:dyDescent="0.2">
      <c r="H206" s="23"/>
      <c r="N206" s="6"/>
      <c r="Q206" s="23"/>
      <c r="R206" s="23"/>
      <c r="AR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S207" s="23"/>
      <c r="AT207" s="23"/>
      <c r="AU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T210" s="23"/>
      <c r="AU210" s="23"/>
    </row>
    <row r="211" spans="8:47" x14ac:dyDescent="0.2">
      <c r="H211" s="23"/>
      <c r="N211" s="6"/>
      <c r="Q211" s="23"/>
      <c r="R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R213" s="23"/>
      <c r="AS213" s="23"/>
      <c r="AT213" s="23"/>
      <c r="AU213" s="23"/>
    </row>
    <row r="214" spans="8:47" x14ac:dyDescent="0.2">
      <c r="H214" s="23"/>
      <c r="N214" s="6"/>
      <c r="Q214" s="23"/>
      <c r="R214" s="23"/>
      <c r="AR214" s="23"/>
      <c r="AS214" s="23"/>
      <c r="AT214" s="23"/>
      <c r="AU214" s="23"/>
    </row>
    <row r="215" spans="8:47" x14ac:dyDescent="0.2">
      <c r="H215" s="23"/>
      <c r="N215" s="6"/>
      <c r="Q215" s="23"/>
      <c r="R215" s="23"/>
    </row>
    <row r="216" spans="8:47" x14ac:dyDescent="0.2">
      <c r="H216" s="23"/>
      <c r="N216" s="6"/>
      <c r="Q216" s="23"/>
      <c r="R216" s="23"/>
      <c r="AR216" s="23"/>
      <c r="AS216" s="23"/>
      <c r="AT216" s="23"/>
      <c r="AU216" s="23"/>
    </row>
    <row r="217" spans="8:47" x14ac:dyDescent="0.2">
      <c r="H217" s="23"/>
      <c r="N217" s="6"/>
      <c r="Q217" s="23"/>
      <c r="R217" s="23"/>
      <c r="AR217" s="23"/>
      <c r="AS217" s="23"/>
      <c r="AT217" s="23"/>
      <c r="AU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4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S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S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R228" s="23"/>
      <c r="AT228" s="23"/>
      <c r="AU228" s="23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T230" s="23"/>
      <c r="AU230" s="23"/>
    </row>
    <row r="231" spans="8:47" x14ac:dyDescent="0.2">
      <c r="H231" s="23"/>
      <c r="N231" s="6"/>
      <c r="Q231" s="23"/>
      <c r="R231" s="23"/>
      <c r="AR231" s="23"/>
      <c r="AS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R233" s="23"/>
      <c r="AS233" s="23"/>
      <c r="AT233" s="23"/>
      <c r="AU233" s="23"/>
    </row>
    <row r="234" spans="8:47" x14ac:dyDescent="0.2">
      <c r="H234" s="23"/>
      <c r="N234" s="6"/>
      <c r="Q234" s="23"/>
      <c r="R234" s="23"/>
      <c r="AR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R240" s="23"/>
      <c r="AT240" s="23"/>
      <c r="AU240" s="23"/>
    </row>
    <row r="241" spans="8:47" x14ac:dyDescent="0.2">
      <c r="H241" s="23"/>
      <c r="N241" s="6"/>
      <c r="Q241" s="23"/>
      <c r="R241" s="23"/>
      <c r="AR241" s="23"/>
      <c r="AS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S242" s="23"/>
      <c r="AT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R244" s="23"/>
      <c r="AS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R252" s="23"/>
      <c r="AS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R256" s="23"/>
      <c r="AS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</row>
    <row r="263" spans="8:47" x14ac:dyDescent="0.2">
      <c r="H263" s="23"/>
      <c r="N263" s="6"/>
      <c r="Q263" s="23"/>
      <c r="R263" s="23"/>
      <c r="AT263" s="23"/>
      <c r="AU263" s="23"/>
    </row>
    <row r="264" spans="8:47" x14ac:dyDescent="0.2">
      <c r="H264" s="23"/>
      <c r="N264" s="6"/>
      <c r="Q264" s="23"/>
      <c r="R264" s="23"/>
      <c r="AT264" s="23"/>
      <c r="AU264" s="23"/>
    </row>
    <row r="265" spans="8:47" x14ac:dyDescent="0.2">
      <c r="H265" s="23"/>
      <c r="N265" s="6"/>
      <c r="Q265" s="23"/>
      <c r="R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S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S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R286" s="23"/>
      <c r="AS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S292" s="23"/>
      <c r="AT292" s="23"/>
      <c r="AU292" s="23"/>
    </row>
    <row r="293" spans="8:47" x14ac:dyDescent="0.2">
      <c r="H293" s="23"/>
      <c r="N293" s="6"/>
      <c r="Q293" s="23"/>
      <c r="R293" s="23"/>
      <c r="AR293" s="23"/>
      <c r="AS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S294" s="23"/>
      <c r="AT294" s="23"/>
      <c r="AU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S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  <c r="AR310" s="23"/>
      <c r="AS310" s="23"/>
      <c r="AT310" s="23"/>
      <c r="AU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R316" s="23"/>
      <c r="AS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S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S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S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</row>
    <row r="364" spans="8:47" x14ac:dyDescent="0.2">
      <c r="H364" s="23"/>
      <c r="N364" s="6"/>
      <c r="Q364" s="23"/>
      <c r="R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S366" s="23"/>
      <c r="AT366" s="23"/>
      <c r="AU366" s="23"/>
    </row>
    <row r="367" spans="8:47" x14ac:dyDescent="0.2">
      <c r="H367" s="23"/>
      <c r="N367" s="6"/>
      <c r="Q367" s="23"/>
      <c r="R367" s="23"/>
      <c r="AR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S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S375" s="23"/>
      <c r="AT375" s="23"/>
      <c r="AU375" s="23"/>
    </row>
    <row r="376" spans="8:47" x14ac:dyDescent="0.2">
      <c r="H376" s="23"/>
      <c r="N376" s="6"/>
      <c r="Q376" s="23"/>
      <c r="R376" s="23"/>
      <c r="AR376" s="23"/>
      <c r="AS376" s="23"/>
      <c r="AT376" s="23"/>
      <c r="AU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S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R413" s="23"/>
      <c r="AS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S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R416" s="23"/>
      <c r="AS416" s="23"/>
      <c r="AT416" s="23"/>
      <c r="AU416" s="23"/>
    </row>
    <row r="417" spans="8:47" x14ac:dyDescent="0.2">
      <c r="H417" s="23"/>
      <c r="N417" s="6"/>
      <c r="Q417" s="23"/>
      <c r="R417" s="23"/>
      <c r="AR417" s="23"/>
      <c r="AS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S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</row>
    <row r="425" spans="8:47" x14ac:dyDescent="0.2">
      <c r="H425" s="23"/>
      <c r="N425" s="6"/>
      <c r="Q425" s="23"/>
      <c r="R425" s="23"/>
      <c r="AR425" s="23"/>
      <c r="AS425" s="23"/>
      <c r="AT425" s="23"/>
      <c r="AU425" s="23"/>
    </row>
    <row r="426" spans="8:47" x14ac:dyDescent="0.2">
      <c r="H426" s="23"/>
      <c r="N426" s="6"/>
      <c r="Q426" s="23"/>
      <c r="R426" s="23"/>
    </row>
    <row r="427" spans="8:47" x14ac:dyDescent="0.2">
      <c r="H427" s="23"/>
      <c r="N427" s="6"/>
      <c r="Q427" s="23"/>
      <c r="R427" s="23"/>
      <c r="AR427" s="23"/>
      <c r="AT427" s="23"/>
      <c r="AU427" s="23"/>
    </row>
    <row r="428" spans="8:47" x14ac:dyDescent="0.2">
      <c r="H428" s="23"/>
      <c r="N428" s="6"/>
      <c r="Q428" s="23"/>
      <c r="R428" s="23"/>
      <c r="AR428" s="23"/>
      <c r="AS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R431" s="23"/>
      <c r="AS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S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S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</row>
    <row r="440" spans="8:47" x14ac:dyDescent="0.2">
      <c r="H440" s="23"/>
      <c r="N440" s="6"/>
      <c r="Q440" s="23"/>
      <c r="R440" s="23"/>
      <c r="AR440" s="23"/>
      <c r="AS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R451" s="23"/>
      <c r="AS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S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R462" s="23"/>
      <c r="AS462" s="23"/>
      <c r="AT462" s="23"/>
      <c r="AU462" s="23"/>
    </row>
    <row r="463" spans="8:47" x14ac:dyDescent="0.2">
      <c r="H463" s="23"/>
      <c r="N463" s="6"/>
      <c r="Q463" s="23"/>
      <c r="R463" s="23"/>
      <c r="AR463" s="23"/>
      <c r="AS463" s="23"/>
      <c r="AT463" s="23"/>
      <c r="AU463" s="23"/>
    </row>
    <row r="464" spans="8:47" x14ac:dyDescent="0.2">
      <c r="H464" s="23"/>
      <c r="N464" s="6"/>
      <c r="Q464" s="23"/>
      <c r="R464" s="23"/>
      <c r="AR464" s="23"/>
      <c r="AS464" s="23"/>
      <c r="AT464" s="23"/>
      <c r="AU464" s="23"/>
    </row>
    <row r="465" spans="8:47" x14ac:dyDescent="0.2">
      <c r="H465" s="23"/>
      <c r="N465" s="6"/>
      <c r="Q465" s="23"/>
      <c r="R465" s="23"/>
      <c r="AR465" s="23"/>
      <c r="AS465" s="23"/>
      <c r="AT465" s="23"/>
      <c r="AU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</row>
    <row r="468" spans="8:47" x14ac:dyDescent="0.2">
      <c r="H468" s="23"/>
      <c r="N468" s="6"/>
      <c r="Q468" s="23"/>
      <c r="R468" s="23"/>
      <c r="AR468" s="23"/>
      <c r="AS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  <c r="AR471" s="23"/>
      <c r="AS471" s="23"/>
      <c r="AT471" s="23"/>
      <c r="AU471" s="23"/>
    </row>
    <row r="472" spans="8:47" x14ac:dyDescent="0.2">
      <c r="H472" s="23"/>
      <c r="N472" s="6"/>
      <c r="Q472" s="23"/>
      <c r="R472" s="23"/>
      <c r="AR472" s="23"/>
      <c r="AS472" s="23"/>
      <c r="AT472" s="23"/>
      <c r="AU472" s="23"/>
    </row>
    <row r="473" spans="8:47" x14ac:dyDescent="0.2">
      <c r="H473" s="23"/>
      <c r="N473" s="6"/>
      <c r="Q473" s="23"/>
      <c r="R473" s="23"/>
      <c r="AR473" s="23"/>
      <c r="AS473" s="23"/>
      <c r="AT473" s="23"/>
      <c r="AU473" s="23"/>
    </row>
    <row r="474" spans="8:47" x14ac:dyDescent="0.2">
      <c r="H474" s="23"/>
      <c r="N474" s="6"/>
      <c r="Q474" s="23"/>
      <c r="R474" s="23"/>
      <c r="AR474" s="23"/>
      <c r="AS474" s="23"/>
      <c r="AT474" s="23"/>
      <c r="AU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S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  <c r="AR478" s="23"/>
      <c r="AS478" s="23"/>
      <c r="AT478" s="23"/>
      <c r="AU478" s="23"/>
    </row>
    <row r="479" spans="8:47" x14ac:dyDescent="0.2">
      <c r="H479" s="23"/>
      <c r="N479" s="6"/>
      <c r="Q479" s="23"/>
      <c r="R479" s="23"/>
      <c r="AR479" s="23"/>
      <c r="AS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S481" s="23"/>
      <c r="AT481" s="23"/>
      <c r="AU481" s="23"/>
    </row>
    <row r="482" spans="8:47" x14ac:dyDescent="0.2">
      <c r="H482" s="23"/>
      <c r="N482" s="6"/>
      <c r="Q482" s="23"/>
      <c r="R482" s="23"/>
      <c r="AR482" s="23"/>
      <c r="AS482" s="23"/>
      <c r="AT482" s="23"/>
      <c r="AU482" s="23"/>
    </row>
    <row r="483" spans="8:47" x14ac:dyDescent="0.2">
      <c r="H483" s="23"/>
      <c r="N483" s="6"/>
      <c r="Q483" s="23"/>
      <c r="R483" s="23"/>
      <c r="AR483" s="23"/>
      <c r="AS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S484" s="23"/>
      <c r="AT484" s="23"/>
      <c r="AU484" s="23"/>
    </row>
    <row r="485" spans="8:47" x14ac:dyDescent="0.2">
      <c r="H485" s="23"/>
      <c r="N485" s="6"/>
      <c r="Q485" s="23"/>
      <c r="R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R491" s="23"/>
      <c r="AS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  <c r="AR500" s="23"/>
      <c r="AS500" s="23"/>
      <c r="AT500" s="23"/>
      <c r="AU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</row>
    <row r="505" spans="8:47" x14ac:dyDescent="0.2">
      <c r="H505" s="23"/>
      <c r="N505" s="6"/>
      <c r="Q505" s="23"/>
      <c r="R505" s="23"/>
      <c r="AR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S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S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S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R515" s="23"/>
      <c r="AS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</row>
    <row r="518" spans="8:47" x14ac:dyDescent="0.2">
      <c r="H518" s="23"/>
      <c r="N518" s="6"/>
      <c r="Q518" s="23"/>
      <c r="R518" s="23"/>
      <c r="AR518" s="23"/>
      <c r="AS518" s="23"/>
      <c r="AT518" s="23"/>
      <c r="AU518" s="23"/>
    </row>
    <row r="519" spans="8:47" x14ac:dyDescent="0.2">
      <c r="H519" s="23"/>
      <c r="N519" s="6"/>
      <c r="Q519" s="23"/>
      <c r="R519" s="23"/>
      <c r="AR519" s="23"/>
      <c r="AS519" s="23"/>
      <c r="AT519" s="23"/>
      <c r="AU519" s="23"/>
    </row>
    <row r="520" spans="8:47" x14ac:dyDescent="0.2">
      <c r="H520" s="23"/>
      <c r="N520" s="6"/>
      <c r="Q520" s="23"/>
      <c r="R520" s="23"/>
      <c r="AR520" s="23"/>
      <c r="AS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S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S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S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S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S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S538" s="23"/>
      <c r="AT538" s="23"/>
      <c r="AU538" s="23"/>
    </row>
    <row r="539" spans="8:47" x14ac:dyDescent="0.2">
      <c r="H539" s="23"/>
      <c r="N539" s="6"/>
      <c r="Q539" s="23"/>
      <c r="R539" s="23"/>
      <c r="AR539" s="23"/>
      <c r="AS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S540" s="23"/>
      <c r="AT540" s="23"/>
      <c r="AU540" s="23"/>
    </row>
    <row r="541" spans="8:47" x14ac:dyDescent="0.2">
      <c r="H541" s="23"/>
      <c r="N541" s="6"/>
      <c r="Q541" s="23"/>
      <c r="R541" s="23"/>
      <c r="AR541" s="23"/>
      <c r="AS541" s="23"/>
      <c r="AT541" s="23"/>
      <c r="AU541" s="23"/>
    </row>
    <row r="542" spans="8:47" x14ac:dyDescent="0.2">
      <c r="H542" s="23"/>
      <c r="N542" s="6"/>
      <c r="Q542" s="23"/>
      <c r="R542" s="23"/>
    </row>
    <row r="543" spans="8:47" x14ac:dyDescent="0.2">
      <c r="H543" s="23"/>
      <c r="N543" s="6"/>
      <c r="Q543" s="23"/>
      <c r="R543" s="23"/>
      <c r="AR543" s="23"/>
      <c r="AS543" s="23"/>
      <c r="AT543" s="23"/>
      <c r="AU543" s="23"/>
    </row>
    <row r="544" spans="8:47" x14ac:dyDescent="0.2">
      <c r="H544" s="23"/>
      <c r="N544" s="6"/>
      <c r="Q544" s="23"/>
      <c r="R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S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S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</row>
    <row r="557" spans="8:47" x14ac:dyDescent="0.2">
      <c r="H557" s="23"/>
      <c r="N557" s="6"/>
      <c r="Q557" s="23"/>
      <c r="R557" s="23"/>
      <c r="AR557" s="23"/>
      <c r="AS557" s="23"/>
      <c r="AT557" s="23"/>
      <c r="AU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</row>
    <row r="564" spans="8:47" x14ac:dyDescent="0.2">
      <c r="H564" s="23"/>
      <c r="N564" s="6"/>
      <c r="Q564" s="23"/>
      <c r="R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  <c r="AU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T568" s="23"/>
      <c r="AU568" s="23"/>
    </row>
    <row r="569" spans="8:47" x14ac:dyDescent="0.2">
      <c r="H569" s="23"/>
      <c r="N569" s="6"/>
      <c r="Q569" s="23"/>
      <c r="R569" s="23"/>
      <c r="AR569" s="23"/>
      <c r="AS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R574" s="23"/>
      <c r="AS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  <c r="AR581" s="23"/>
      <c r="AS581" s="23"/>
      <c r="AT581" s="23"/>
      <c r="AU581" s="23"/>
    </row>
    <row r="582" spans="8:47" x14ac:dyDescent="0.2">
      <c r="H582" s="23"/>
      <c r="N582" s="6"/>
      <c r="Q582" s="23"/>
      <c r="R582" s="23"/>
      <c r="AR582" s="23"/>
      <c r="AS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  <c r="AR586" s="23"/>
      <c r="AS586" s="23"/>
      <c r="AT586" s="23"/>
      <c r="AU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  <c r="AU588" s="23"/>
    </row>
    <row r="589" spans="8:47" x14ac:dyDescent="0.2">
      <c r="H589" s="23"/>
      <c r="N589" s="6"/>
      <c r="Q589" s="23"/>
      <c r="R589" s="23"/>
      <c r="AR589" s="23"/>
      <c r="AS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S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S596" s="23"/>
      <c r="AT596" s="23"/>
      <c r="AU596" s="23"/>
    </row>
    <row r="597" spans="8:47" x14ac:dyDescent="0.2">
      <c r="H597" s="23"/>
      <c r="N597" s="6"/>
      <c r="Q597" s="23"/>
      <c r="R597" s="23"/>
      <c r="AR597" s="23"/>
      <c r="AS597" s="23"/>
      <c r="AT597" s="23"/>
      <c r="AU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  <c r="AU599" s="23"/>
    </row>
    <row r="600" spans="8:47" x14ac:dyDescent="0.2">
      <c r="H600" s="23"/>
      <c r="N600" s="6"/>
      <c r="Q600" s="23"/>
      <c r="R600" s="23"/>
      <c r="AR600" s="23"/>
      <c r="AS600" s="23"/>
      <c r="AT600" s="23"/>
      <c r="AU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S606" s="23"/>
      <c r="AT606" s="23"/>
      <c r="AU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3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3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3"/>
    </row>
    <row r="611" spans="8:47" x14ac:dyDescent="0.2">
      <c r="H611" s="23"/>
      <c r="N611" s="6"/>
      <c r="Q611" s="23"/>
      <c r="R611" s="23"/>
      <c r="AR611" s="23"/>
      <c r="AS611" s="23"/>
      <c r="AT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3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3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  <c r="AU615" s="23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3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  <c r="AU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3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3"/>
    </row>
    <row r="623" spans="8:47" x14ac:dyDescent="0.2">
      <c r="H623" s="23"/>
      <c r="N623" s="6"/>
      <c r="Q623" s="23"/>
      <c r="R623" s="23"/>
      <c r="AR623" s="23"/>
      <c r="AS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  <c r="AR628" s="23"/>
      <c r="AS628" s="23"/>
      <c r="AT628" s="23"/>
      <c r="AU628" s="23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3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3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3"/>
    </row>
    <row r="636" spans="8:47" x14ac:dyDescent="0.2">
      <c r="H636" s="23"/>
      <c r="N636" s="6"/>
      <c r="Q636" s="23"/>
      <c r="R636" s="23"/>
      <c r="AR636" s="23"/>
      <c r="AS636" s="23"/>
      <c r="AT636" s="23"/>
      <c r="AU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3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  <c r="AR640" s="23"/>
      <c r="AS640" s="23"/>
      <c r="AT640" s="23"/>
      <c r="AU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3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R643" s="23"/>
      <c r="AS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3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S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  <c r="AU648" s="23"/>
    </row>
    <row r="649" spans="8:47" x14ac:dyDescent="0.2">
      <c r="H649" s="23"/>
      <c r="N649" s="6"/>
      <c r="Q649" s="23"/>
      <c r="R649" s="23"/>
      <c r="AR649" s="23"/>
      <c r="AS649" s="23"/>
      <c r="AT649" s="23"/>
      <c r="AU649" s="23"/>
    </row>
    <row r="650" spans="8:47" x14ac:dyDescent="0.2">
      <c r="H650" s="23"/>
      <c r="N650" s="6"/>
      <c r="Q650" s="23"/>
      <c r="R650" s="23"/>
      <c r="AR650" s="23"/>
      <c r="AS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3"/>
    </row>
    <row r="652" spans="8:47" x14ac:dyDescent="0.2">
      <c r="H652" s="23"/>
      <c r="N652" s="6"/>
      <c r="Q652" s="23"/>
      <c r="R652" s="23"/>
      <c r="AR652" s="23"/>
      <c r="AS652" s="23"/>
      <c r="AT652" s="23"/>
      <c r="AU652" s="23"/>
    </row>
    <row r="653" spans="8:47" x14ac:dyDescent="0.2">
      <c r="H653" s="23"/>
      <c r="N653" s="6"/>
      <c r="Q653" s="23"/>
      <c r="R653" s="23"/>
      <c r="AR653" s="23"/>
      <c r="AS653" s="23"/>
      <c r="AT653" s="23"/>
      <c r="AU653" s="23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</row>
    <row r="656" spans="8:47" x14ac:dyDescent="0.2">
      <c r="H656" s="23"/>
      <c r="N656" s="6"/>
      <c r="Q656" s="23"/>
      <c r="R656" s="23"/>
      <c r="AR656" s="23"/>
      <c r="AS656" s="23"/>
      <c r="AT656" s="23"/>
      <c r="AU656" s="23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S659" s="23"/>
      <c r="AT659" s="23"/>
      <c r="AU659" s="23"/>
    </row>
    <row r="660" spans="8:47" x14ac:dyDescent="0.2">
      <c r="H660" s="23"/>
      <c r="N660" s="6"/>
      <c r="Q660" s="23"/>
      <c r="R660" s="23"/>
      <c r="AR660" s="23"/>
      <c r="AS660" s="23"/>
      <c r="AT660" s="23"/>
      <c r="AU660" s="23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4"/>
    </row>
    <row r="662" spans="8:47" x14ac:dyDescent="0.2">
      <c r="H662" s="23"/>
      <c r="N662" s="6"/>
      <c r="Q662" s="23"/>
      <c r="R662" s="23"/>
      <c r="AR662" s="23"/>
      <c r="AS662" s="23"/>
      <c r="AT662" s="23"/>
      <c r="AU662" s="23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  <c r="AR664" s="23"/>
      <c r="AS664" s="23"/>
      <c r="AT664" s="23"/>
      <c r="AU664" s="23"/>
    </row>
    <row r="665" spans="8:47" x14ac:dyDescent="0.2">
      <c r="H665" s="23"/>
      <c r="N665" s="6"/>
      <c r="Q665" s="23"/>
      <c r="R665" s="23"/>
      <c r="AR665" s="23"/>
      <c r="AS665" s="23"/>
      <c r="AT665" s="23"/>
      <c r="AU665" s="24"/>
    </row>
    <row r="666" spans="8:47" x14ac:dyDescent="0.2">
      <c r="H666" s="23"/>
      <c r="N666" s="6"/>
      <c r="Q666" s="23"/>
      <c r="R666" s="23"/>
      <c r="AR666" s="23"/>
      <c r="AS666" s="23"/>
      <c r="AT666" s="23"/>
      <c r="AU666" s="23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  <c r="AU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T670" s="23"/>
      <c r="AU670" s="23"/>
    </row>
    <row r="671" spans="8:47" x14ac:dyDescent="0.2">
      <c r="H671" s="23"/>
      <c r="N671" s="6"/>
      <c r="Q671" s="23"/>
      <c r="R671" s="23"/>
      <c r="AR671" s="23"/>
      <c r="AS671" s="23"/>
      <c r="AT671" s="23"/>
    </row>
    <row r="672" spans="8:47" x14ac:dyDescent="0.2">
      <c r="H672" s="23"/>
      <c r="N672" s="6"/>
      <c r="Q672" s="23"/>
      <c r="R672" s="23"/>
      <c r="AR672" s="23"/>
      <c r="AS672" s="23"/>
      <c r="AT672" s="23"/>
      <c r="AU672" s="23"/>
    </row>
    <row r="673" spans="8:47" x14ac:dyDescent="0.2">
      <c r="H673" s="23"/>
      <c r="N673" s="6"/>
      <c r="Q673" s="23"/>
      <c r="R673" s="23"/>
      <c r="AR673" s="23"/>
      <c r="AS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R675" s="23"/>
      <c r="AS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3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S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S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S683" s="23"/>
      <c r="AT683" s="23"/>
      <c r="AU683" s="23"/>
    </row>
    <row r="684" spans="8:47" x14ac:dyDescent="0.2">
      <c r="H684" s="23"/>
      <c r="N684" s="6"/>
      <c r="Q684" s="23"/>
      <c r="R684" s="23"/>
      <c r="AR684" s="23"/>
      <c r="AS684" s="23"/>
      <c r="AT684" s="23"/>
      <c r="AU684" s="23"/>
    </row>
    <row r="685" spans="8:47" x14ac:dyDescent="0.2">
      <c r="H685" s="23"/>
      <c r="N685" s="6"/>
      <c r="Q685" s="23"/>
      <c r="R685" s="23"/>
      <c r="AR685" s="23"/>
      <c r="AS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4"/>
    </row>
    <row r="687" spans="8:47" x14ac:dyDescent="0.2">
      <c r="H687" s="23"/>
      <c r="N687" s="6"/>
      <c r="Q687" s="23"/>
      <c r="R687" s="23"/>
      <c r="AR687" s="23"/>
      <c r="AS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R692" s="23"/>
      <c r="AS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S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R700" s="23"/>
      <c r="AS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S701" s="23"/>
      <c r="AT701" s="23"/>
      <c r="AU701" s="23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3"/>
    </row>
    <row r="704" spans="8:47" x14ac:dyDescent="0.2">
      <c r="H704" s="23"/>
      <c r="N704" s="6"/>
      <c r="Q704" s="23"/>
      <c r="R704" s="23"/>
      <c r="AR704" s="23"/>
      <c r="AS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  <c r="AU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4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3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3"/>
    </row>
    <row r="712" spans="8:47" x14ac:dyDescent="0.2">
      <c r="H712" s="23"/>
      <c r="N712" s="6"/>
      <c r="Q712" s="23"/>
      <c r="R712" s="23"/>
      <c r="AR712" s="23"/>
      <c r="AS712" s="23"/>
      <c r="AT712" s="23"/>
      <c r="AU712" s="23"/>
    </row>
    <row r="713" spans="8:47" x14ac:dyDescent="0.2">
      <c r="H713" s="23"/>
      <c r="N713" s="6"/>
      <c r="Q713" s="23"/>
      <c r="R713" s="23"/>
      <c r="AT713" s="23"/>
      <c r="AU713" s="24"/>
    </row>
    <row r="714" spans="8:47" x14ac:dyDescent="0.2">
      <c r="H714" s="23"/>
      <c r="N714" s="6"/>
      <c r="Q714" s="23"/>
      <c r="R714" s="23"/>
      <c r="AT714" s="23"/>
      <c r="AU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4"/>
    </row>
    <row r="718" spans="8:47" x14ac:dyDescent="0.2">
      <c r="H718" s="23"/>
      <c r="N718" s="6"/>
      <c r="Q718" s="23"/>
      <c r="R718" s="23"/>
      <c r="AR718" s="23"/>
      <c r="AS718" s="23"/>
      <c r="AT718" s="23"/>
      <c r="AU718" s="23"/>
    </row>
    <row r="719" spans="8:47" x14ac:dyDescent="0.2">
      <c r="H719" s="23"/>
      <c r="N719" s="6"/>
      <c r="Q719" s="23"/>
      <c r="R719" s="23"/>
      <c r="AR719" s="23"/>
      <c r="AS719" s="23"/>
      <c r="AT719" s="23"/>
      <c r="AU719" s="23"/>
    </row>
    <row r="720" spans="8:47" x14ac:dyDescent="0.2">
      <c r="H720" s="23"/>
      <c r="N720" s="6"/>
      <c r="Q720" s="23"/>
      <c r="R720" s="23"/>
      <c r="AT720" s="23"/>
      <c r="AU720" s="24"/>
    </row>
    <row r="721" spans="8:47" x14ac:dyDescent="0.2">
      <c r="H721" s="23"/>
      <c r="N721" s="6"/>
      <c r="Q721" s="23"/>
      <c r="R721" s="23"/>
      <c r="AR721" s="23"/>
      <c r="AS721" s="23"/>
      <c r="AT721" s="23"/>
      <c r="AU721" s="23"/>
    </row>
    <row r="722" spans="8:47" x14ac:dyDescent="0.2">
      <c r="H722" s="23"/>
      <c r="N722" s="6"/>
      <c r="Q722" s="23"/>
      <c r="R722" s="23"/>
      <c r="AR722" s="23"/>
      <c r="AS722" s="23"/>
      <c r="AT722" s="23"/>
      <c r="AU722" s="23"/>
    </row>
    <row r="723" spans="8:47" x14ac:dyDescent="0.2">
      <c r="H723" s="23"/>
      <c r="N723" s="6"/>
      <c r="Q723" s="23"/>
      <c r="R723" s="23"/>
      <c r="AR723" s="23"/>
      <c r="AS723" s="23"/>
      <c r="AT723" s="23"/>
      <c r="AU723" s="23"/>
    </row>
    <row r="724" spans="8:47" x14ac:dyDescent="0.2">
      <c r="H724" s="23"/>
      <c r="N724" s="6"/>
      <c r="Q724" s="23"/>
      <c r="R724" s="23"/>
      <c r="AR724" s="23"/>
      <c r="AS724" s="23"/>
      <c r="AT724" s="23"/>
      <c r="AU724" s="23"/>
    </row>
    <row r="725" spans="8:47" x14ac:dyDescent="0.2">
      <c r="H725" s="23"/>
      <c r="N725" s="6"/>
      <c r="Q725" s="23"/>
      <c r="R725" s="23"/>
      <c r="AR725" s="23"/>
      <c r="AS725" s="23"/>
      <c r="AT725" s="23"/>
      <c r="AU725" s="23"/>
    </row>
    <row r="726" spans="8:47" x14ac:dyDescent="0.2">
      <c r="H726" s="23"/>
      <c r="N726" s="6"/>
      <c r="Q726" s="23"/>
      <c r="R726" s="23"/>
      <c r="AR726" s="23"/>
      <c r="AS726" s="23"/>
      <c r="AT726" s="23"/>
    </row>
    <row r="727" spans="8:47" x14ac:dyDescent="0.2">
      <c r="H727" s="23"/>
      <c r="N727" s="6"/>
      <c r="Q727" s="23"/>
      <c r="R727" s="23"/>
      <c r="AR727" s="23"/>
      <c r="AS727" s="23"/>
      <c r="AT727" s="23"/>
      <c r="AU727" s="23"/>
    </row>
    <row r="728" spans="8:47" x14ac:dyDescent="0.2">
      <c r="H728" s="23"/>
      <c r="N728" s="6"/>
      <c r="Q728" s="23"/>
      <c r="R728" s="23"/>
      <c r="AR728" s="23"/>
      <c r="AS728" s="23"/>
      <c r="AT728" s="23"/>
      <c r="AU728" s="23"/>
    </row>
    <row r="729" spans="8:47" x14ac:dyDescent="0.2">
      <c r="H729" s="23"/>
      <c r="N729" s="6"/>
      <c r="Q729" s="23"/>
      <c r="R729" s="23"/>
      <c r="AR729" s="23"/>
      <c r="AS729" s="23"/>
      <c r="AT729" s="23"/>
      <c r="AU729" s="23"/>
    </row>
    <row r="730" spans="8:47" x14ac:dyDescent="0.2">
      <c r="H730" s="23"/>
      <c r="N730" s="6"/>
      <c r="Q730" s="23"/>
      <c r="R730" s="23"/>
      <c r="AR730" s="23"/>
      <c r="AS730" s="23"/>
      <c r="AT730" s="23"/>
      <c r="AU730" s="23"/>
    </row>
    <row r="731" spans="8:47" x14ac:dyDescent="0.2">
      <c r="H731" s="23"/>
      <c r="N731" s="6"/>
      <c r="Q731" s="23"/>
      <c r="R731" s="23"/>
      <c r="AR731" s="23"/>
      <c r="AS731" s="23"/>
      <c r="AT731" s="23"/>
      <c r="AU731" s="23"/>
    </row>
    <row r="732" spans="8:47" x14ac:dyDescent="0.2">
      <c r="H732" s="23"/>
      <c r="N732" s="6"/>
      <c r="Q732" s="23"/>
      <c r="R732" s="23"/>
      <c r="AR732" s="23"/>
      <c r="AS732" s="23"/>
      <c r="AT732" s="23"/>
      <c r="AU732" s="23"/>
    </row>
    <row r="733" spans="8:47" x14ac:dyDescent="0.2">
      <c r="H733" s="23"/>
      <c r="N733" s="6"/>
      <c r="Q733" s="23"/>
      <c r="R733" s="23"/>
      <c r="AR733" s="23"/>
      <c r="AS733" s="23"/>
      <c r="AT733" s="23"/>
      <c r="AU733" s="23"/>
    </row>
    <row r="734" spans="8:47" x14ac:dyDescent="0.2">
      <c r="H734" s="23"/>
      <c r="N734" s="6"/>
      <c r="Q734" s="23"/>
      <c r="R734" s="23"/>
      <c r="AR734" s="23"/>
      <c r="AS734" s="23"/>
      <c r="AT734" s="23"/>
      <c r="AU734" s="23"/>
    </row>
    <row r="735" spans="8:47" x14ac:dyDescent="0.2">
      <c r="H735" s="23"/>
      <c r="N735" s="6"/>
      <c r="Q735" s="23"/>
      <c r="R735" s="23"/>
      <c r="AR735" s="23"/>
      <c r="AS735" s="23"/>
      <c r="AT735" s="23"/>
      <c r="AU735" s="23"/>
    </row>
    <row r="736" spans="8:47" x14ac:dyDescent="0.2">
      <c r="H736" s="23"/>
      <c r="N736" s="6"/>
      <c r="Q736" s="23"/>
      <c r="R736" s="23"/>
      <c r="AT736" s="23"/>
      <c r="AU736" s="24"/>
    </row>
    <row r="737" spans="8:47" x14ac:dyDescent="0.2">
      <c r="H737" s="23"/>
      <c r="N737" s="6"/>
      <c r="Q737" s="23"/>
      <c r="R737" s="23"/>
      <c r="AR737" s="23"/>
      <c r="AS737" s="23"/>
      <c r="AT737" s="23"/>
      <c r="AU737" s="23"/>
    </row>
    <row r="738" spans="8:47" x14ac:dyDescent="0.2">
      <c r="H738" s="23"/>
      <c r="N738" s="6"/>
      <c r="Q738" s="23"/>
      <c r="R738" s="23"/>
      <c r="AR738" s="23"/>
      <c r="AS738" s="23"/>
      <c r="AT738" s="23"/>
      <c r="AU738" s="23"/>
    </row>
    <row r="739" spans="8:47" x14ac:dyDescent="0.2">
      <c r="H739" s="23"/>
      <c r="N739" s="6"/>
      <c r="Q739" s="23"/>
      <c r="R739" s="23"/>
      <c r="AR739" s="23"/>
      <c r="AS739" s="23"/>
      <c r="AT739" s="23"/>
      <c r="AU739" s="23"/>
    </row>
    <row r="740" spans="8:47" x14ac:dyDescent="0.2">
      <c r="H740" s="23"/>
      <c r="N740" s="6"/>
      <c r="Q740" s="23"/>
      <c r="R740" s="23"/>
      <c r="AR740" s="23"/>
      <c r="AS740" s="23"/>
      <c r="AT740" s="23"/>
      <c r="AU740" s="23"/>
    </row>
    <row r="741" spans="8:47" x14ac:dyDescent="0.2">
      <c r="H741" s="23"/>
      <c r="N741" s="6"/>
      <c r="Q741" s="23"/>
      <c r="R741" s="23"/>
      <c r="AR741" s="23"/>
      <c r="AS741" s="23"/>
      <c r="AT741" s="23"/>
      <c r="AU741" s="23"/>
    </row>
    <row r="742" spans="8:47" x14ac:dyDescent="0.2">
      <c r="H742" s="23"/>
      <c r="N742" s="6"/>
      <c r="Q742" s="23"/>
      <c r="R742" s="23"/>
      <c r="AR742" s="23"/>
      <c r="AS742" s="23"/>
      <c r="AT742" s="23"/>
      <c r="AU742" s="23"/>
    </row>
    <row r="743" spans="8:47" x14ac:dyDescent="0.2">
      <c r="H743" s="23"/>
      <c r="N743" s="6"/>
      <c r="Q743" s="23"/>
      <c r="R743" s="23"/>
      <c r="AR743" s="23"/>
      <c r="AS743" s="23"/>
      <c r="AT743" s="23"/>
      <c r="AU743" s="23"/>
    </row>
    <row r="744" spans="8:47" x14ac:dyDescent="0.2">
      <c r="H744" s="23"/>
      <c r="N744" s="6"/>
      <c r="Q744" s="23"/>
      <c r="R744" s="23"/>
      <c r="AR744" s="23"/>
      <c r="AS744" s="23"/>
      <c r="AT744" s="23"/>
      <c r="AU744" s="23"/>
    </row>
    <row r="745" spans="8:47" x14ac:dyDescent="0.2">
      <c r="H745" s="23"/>
      <c r="N745" s="6"/>
      <c r="Q745" s="23"/>
      <c r="R745" s="23"/>
      <c r="AR745" s="23"/>
      <c r="AS745" s="23"/>
      <c r="AT745" s="23"/>
      <c r="AU745" s="23"/>
    </row>
    <row r="746" spans="8:47" x14ac:dyDescent="0.2">
      <c r="H746" s="23"/>
      <c r="N746" s="6"/>
      <c r="Q746" s="23"/>
      <c r="R746" s="23"/>
      <c r="AR746" s="23"/>
      <c r="AS746" s="23"/>
      <c r="AT746" s="23"/>
      <c r="AU746" s="23"/>
    </row>
    <row r="747" spans="8:47" x14ac:dyDescent="0.2">
      <c r="H747" s="23"/>
      <c r="N747" s="6"/>
      <c r="Q747" s="23"/>
      <c r="R747" s="23"/>
      <c r="AR747" s="23"/>
      <c r="AS747" s="23"/>
      <c r="AT747" s="23"/>
      <c r="AU747" s="23"/>
    </row>
    <row r="748" spans="8:47" x14ac:dyDescent="0.2">
      <c r="H748" s="23"/>
      <c r="N748" s="6"/>
      <c r="Q748" s="23"/>
      <c r="R748" s="23"/>
      <c r="AT748" s="23"/>
      <c r="AU748" s="24"/>
    </row>
    <row r="749" spans="8:47" x14ac:dyDescent="0.2">
      <c r="H749" s="23"/>
      <c r="N749" s="6"/>
      <c r="Q749" s="23"/>
      <c r="R749" s="23"/>
      <c r="AR749" s="23"/>
      <c r="AS749" s="23"/>
      <c r="AT749" s="23"/>
      <c r="AU749" s="23"/>
    </row>
    <row r="750" spans="8:47" x14ac:dyDescent="0.2">
      <c r="H750" s="23"/>
      <c r="N750" s="6"/>
      <c r="Q750" s="23"/>
      <c r="R750" s="23"/>
      <c r="AR750" s="23"/>
      <c r="AS750" s="23"/>
      <c r="AT750" s="23"/>
      <c r="AU750" s="23"/>
    </row>
    <row r="751" spans="8:47" x14ac:dyDescent="0.2">
      <c r="H751" s="23"/>
      <c r="N751" s="6"/>
      <c r="Q751" s="23"/>
      <c r="R751" s="23"/>
      <c r="AR751" s="23"/>
      <c r="AS751" s="23"/>
      <c r="AT751" s="23"/>
      <c r="AU751" s="23"/>
    </row>
    <row r="752" spans="8:47" x14ac:dyDescent="0.2">
      <c r="H752" s="23"/>
      <c r="N752" s="6"/>
      <c r="Q752" s="23"/>
      <c r="R752" s="23"/>
      <c r="AR752" s="23"/>
      <c r="AS752" s="23"/>
      <c r="AT752" s="23"/>
      <c r="AU752" s="23"/>
    </row>
    <row r="753" spans="8:47" x14ac:dyDescent="0.2">
      <c r="H753" s="23"/>
      <c r="N753" s="6"/>
      <c r="Q753" s="23"/>
      <c r="R753" s="23"/>
      <c r="AR753" s="23"/>
      <c r="AS753" s="23"/>
      <c r="AT753" s="23"/>
      <c r="AU753" s="23"/>
    </row>
    <row r="754" spans="8:47" x14ac:dyDescent="0.2">
      <c r="H754" s="23"/>
      <c r="N754" s="6"/>
      <c r="Q754" s="23"/>
      <c r="R754" s="23"/>
      <c r="AR754" s="23"/>
      <c r="AS754" s="23"/>
      <c r="AT754" s="23"/>
      <c r="AU754" s="23"/>
    </row>
    <row r="755" spans="8:47" x14ac:dyDescent="0.2">
      <c r="H755" s="23"/>
      <c r="N755" s="6"/>
      <c r="Q755" s="23"/>
      <c r="R755" s="23"/>
      <c r="AR755" s="23"/>
      <c r="AS755" s="23"/>
      <c r="AT755" s="23"/>
      <c r="AU755" s="23"/>
    </row>
    <row r="756" spans="8:47" x14ac:dyDescent="0.2">
      <c r="H756" s="23"/>
      <c r="N756" s="6"/>
      <c r="Q756" s="23"/>
      <c r="R756" s="23"/>
      <c r="AR756" s="23"/>
      <c r="AS756" s="23"/>
      <c r="AT756" s="23"/>
      <c r="AU756" s="23"/>
    </row>
    <row r="757" spans="8:47" x14ac:dyDescent="0.2">
      <c r="H757" s="23"/>
      <c r="N757" s="6"/>
      <c r="Q757" s="23"/>
      <c r="R757" s="23"/>
      <c r="AR757" s="23"/>
      <c r="AS757" s="23"/>
      <c r="AT757" s="23"/>
      <c r="AU757" s="23"/>
    </row>
    <row r="758" spans="8:47" x14ac:dyDescent="0.2">
      <c r="H758" s="23"/>
      <c r="N758" s="6"/>
      <c r="Q758" s="23"/>
      <c r="R758" s="23"/>
      <c r="AR758" s="23"/>
      <c r="AS758" s="23"/>
      <c r="AT758" s="23"/>
      <c r="AU758" s="23"/>
    </row>
    <row r="759" spans="8:47" x14ac:dyDescent="0.2">
      <c r="H759" s="23"/>
      <c r="N759" s="6"/>
      <c r="Q759" s="23"/>
      <c r="R759" s="23"/>
      <c r="AR759" s="23"/>
      <c r="AS759" s="23"/>
      <c r="AT759" s="23"/>
      <c r="AU759" s="23"/>
    </row>
    <row r="760" spans="8:47" x14ac:dyDescent="0.2">
      <c r="H760" s="23"/>
      <c r="N760" s="6"/>
      <c r="Q760" s="23"/>
      <c r="R760" s="23"/>
      <c r="AR760" s="23"/>
      <c r="AS760" s="23"/>
      <c r="AT760" s="23"/>
      <c r="AU760" s="23"/>
    </row>
    <row r="761" spans="8:47" x14ac:dyDescent="0.2">
      <c r="H761" s="23"/>
      <c r="N761" s="6"/>
      <c r="Q761" s="23"/>
      <c r="R761" s="23"/>
      <c r="AR761" s="23"/>
      <c r="AS761" s="23"/>
      <c r="AT761" s="23"/>
      <c r="AU761" s="23"/>
    </row>
    <row r="762" spans="8:47" x14ac:dyDescent="0.2">
      <c r="H762" s="23"/>
      <c r="N762" s="6"/>
      <c r="Q762" s="23"/>
      <c r="R762" s="23"/>
      <c r="AR762" s="23"/>
      <c r="AS762" s="23"/>
      <c r="AT762" s="23"/>
      <c r="AU762" s="23"/>
    </row>
    <row r="763" spans="8:47" x14ac:dyDescent="0.2">
      <c r="H763" s="23"/>
      <c r="N763" s="6"/>
      <c r="Q763" s="23"/>
      <c r="R763" s="23"/>
      <c r="AR763" s="23"/>
      <c r="AS763" s="23"/>
      <c r="AT763" s="23"/>
      <c r="AU763" s="23"/>
    </row>
    <row r="764" spans="8:47" x14ac:dyDescent="0.2">
      <c r="H764" s="23"/>
      <c r="N764" s="6"/>
      <c r="Q764" s="23"/>
      <c r="R764" s="23"/>
      <c r="AR764" s="23"/>
      <c r="AS764" s="23"/>
      <c r="AT764" s="23"/>
      <c r="AU764" s="23"/>
    </row>
    <row r="765" spans="8:47" x14ac:dyDescent="0.2">
      <c r="H765" s="23"/>
      <c r="N765" s="6"/>
      <c r="Q765" s="23"/>
      <c r="R765" s="23"/>
      <c r="AR765" s="23"/>
      <c r="AS765" s="23"/>
      <c r="AT765" s="23"/>
      <c r="AU765" s="23"/>
    </row>
    <row r="766" spans="8:47" x14ac:dyDescent="0.2">
      <c r="H766" s="23"/>
      <c r="N766" s="6"/>
      <c r="Q766" s="23"/>
      <c r="R766" s="23"/>
      <c r="AR766" s="23"/>
      <c r="AS766" s="23"/>
      <c r="AT766" s="23"/>
      <c r="AU766" s="23"/>
    </row>
    <row r="767" spans="8:47" x14ac:dyDescent="0.2">
      <c r="H767" s="23"/>
      <c r="N767" s="6"/>
      <c r="Q767" s="23"/>
      <c r="R767" s="23"/>
      <c r="AR767" s="23"/>
      <c r="AS767" s="23"/>
      <c r="AT767" s="23"/>
      <c r="AU767" s="23"/>
    </row>
    <row r="768" spans="8:47" x14ac:dyDescent="0.2">
      <c r="H768" s="23"/>
      <c r="N768" s="6"/>
      <c r="Q768" s="23"/>
      <c r="R768" s="23"/>
      <c r="AR768" s="23"/>
      <c r="AS768" s="23"/>
      <c r="AT768" s="23"/>
      <c r="AU768" s="23"/>
    </row>
    <row r="769" spans="8:47" x14ac:dyDescent="0.2">
      <c r="H769" s="23"/>
      <c r="N769" s="6"/>
      <c r="Q769" s="23"/>
      <c r="R769" s="23"/>
      <c r="AR769" s="23"/>
      <c r="AS769" s="23"/>
      <c r="AT769" s="23"/>
      <c r="AU769" s="23"/>
    </row>
    <row r="770" spans="8:47" x14ac:dyDescent="0.2">
      <c r="H770" s="23"/>
      <c r="N770" s="6"/>
      <c r="Q770" s="23"/>
      <c r="R770" s="23"/>
      <c r="AR770" s="23"/>
      <c r="AS770" s="23"/>
      <c r="AT770" s="23"/>
      <c r="AU770" s="23"/>
    </row>
    <row r="771" spans="8:47" x14ac:dyDescent="0.2">
      <c r="H771" s="23"/>
      <c r="N771" s="6"/>
      <c r="Q771" s="23"/>
      <c r="R771" s="23"/>
      <c r="AR771" s="23"/>
      <c r="AS771" s="23"/>
      <c r="AT771" s="23"/>
      <c r="AU771" s="23"/>
    </row>
    <row r="772" spans="8:47" x14ac:dyDescent="0.2">
      <c r="H772" s="23"/>
      <c r="N772" s="6"/>
      <c r="Q772" s="23"/>
      <c r="R772" s="23"/>
      <c r="AR772" s="23"/>
      <c r="AS772" s="23"/>
      <c r="AT772" s="23"/>
      <c r="AU772" s="23"/>
    </row>
    <row r="773" spans="8:47" x14ac:dyDescent="0.2">
      <c r="H773" s="23"/>
      <c r="N773" s="6"/>
      <c r="Q773" s="23"/>
      <c r="R773" s="23"/>
      <c r="AR773" s="23"/>
      <c r="AS773" s="23"/>
      <c r="AT773" s="23"/>
      <c r="AU773" s="23"/>
    </row>
    <row r="774" spans="8:47" x14ac:dyDescent="0.2">
      <c r="H774" s="23"/>
      <c r="N774" s="6"/>
      <c r="Q774" s="23"/>
      <c r="R774" s="23"/>
      <c r="AR774" s="23"/>
      <c r="AS774" s="23"/>
      <c r="AT774" s="23"/>
      <c r="AU774" s="23"/>
    </row>
    <row r="775" spans="8:47" x14ac:dyDescent="0.2">
      <c r="H775" s="23"/>
      <c r="N775" s="6"/>
      <c r="Q775" s="23"/>
      <c r="R775" s="23"/>
      <c r="AR775" s="23"/>
      <c r="AS775" s="23"/>
      <c r="AT775" s="23"/>
      <c r="AU775" s="23"/>
    </row>
    <row r="776" spans="8:47" x14ac:dyDescent="0.2">
      <c r="H776" s="23"/>
      <c r="N776" s="6"/>
      <c r="Q776" s="23"/>
      <c r="R776" s="23"/>
      <c r="AR776" s="23"/>
      <c r="AS776" s="23"/>
      <c r="AT776" s="23"/>
      <c r="AU776" s="23"/>
    </row>
    <row r="777" spans="8:47" x14ac:dyDescent="0.2">
      <c r="H777" s="23"/>
      <c r="N777" s="6"/>
      <c r="Q777" s="23"/>
      <c r="R777" s="23"/>
      <c r="AR777" s="23"/>
      <c r="AS777" s="23"/>
      <c r="AT777" s="23"/>
      <c r="AU777" s="23"/>
    </row>
    <row r="778" spans="8:47" x14ac:dyDescent="0.2">
      <c r="H778" s="23"/>
      <c r="N778" s="6"/>
      <c r="Q778" s="23"/>
      <c r="R778" s="23"/>
      <c r="AR778" s="23"/>
      <c r="AS778" s="23"/>
      <c r="AT778" s="23"/>
      <c r="AU778" s="23"/>
    </row>
    <row r="779" spans="8:47" x14ac:dyDescent="0.2">
      <c r="H779" s="23"/>
      <c r="N779" s="6"/>
      <c r="Q779" s="23"/>
      <c r="R779" s="23"/>
      <c r="AR779" s="23"/>
      <c r="AS779" s="23"/>
      <c r="AT779" s="23"/>
      <c r="AU779" s="23"/>
    </row>
    <row r="780" spans="8:47" x14ac:dyDescent="0.2">
      <c r="H780" s="23"/>
      <c r="N780" s="6"/>
      <c r="Q780" s="23"/>
      <c r="R780" s="23"/>
      <c r="AR780" s="23"/>
      <c r="AS780" s="23"/>
      <c r="AT780" s="23"/>
      <c r="AU780" s="23"/>
    </row>
    <row r="781" spans="8:47" x14ac:dyDescent="0.2">
      <c r="H781" s="23"/>
      <c r="N781" s="6"/>
      <c r="Q781" s="23"/>
      <c r="R781" s="23"/>
      <c r="AR781" s="23"/>
      <c r="AS781" s="23"/>
      <c r="AT781" s="23"/>
      <c r="AU781" s="23"/>
    </row>
    <row r="782" spans="8:47" x14ac:dyDescent="0.2">
      <c r="H782" s="23"/>
      <c r="N782" s="6"/>
      <c r="Q782" s="23"/>
      <c r="R782" s="23"/>
      <c r="AR782" s="23"/>
      <c r="AS782" s="23"/>
      <c r="AT782" s="23"/>
      <c r="AU782" s="23"/>
    </row>
    <row r="783" spans="8:47" x14ac:dyDescent="0.2">
      <c r="H783" s="23"/>
      <c r="N783" s="6"/>
      <c r="Q783" s="23"/>
      <c r="R783" s="23"/>
      <c r="AR783" s="23"/>
      <c r="AS783" s="23"/>
      <c r="AT783" s="23"/>
      <c r="AU783" s="23"/>
    </row>
    <row r="784" spans="8:47" x14ac:dyDescent="0.2">
      <c r="H784" s="23"/>
      <c r="N784" s="6"/>
      <c r="Q784" s="23"/>
      <c r="R784" s="23"/>
      <c r="AR784" s="23"/>
      <c r="AS784" s="23"/>
      <c r="AT784" s="23"/>
      <c r="AU784" s="23"/>
    </row>
    <row r="785" spans="8:47" x14ac:dyDescent="0.2">
      <c r="H785" s="23"/>
      <c r="N785" s="6"/>
      <c r="Q785" s="23"/>
      <c r="R785" s="23"/>
      <c r="AR785" s="23"/>
      <c r="AS785" s="23"/>
      <c r="AT785" s="23"/>
      <c r="AU785" s="23"/>
    </row>
    <row r="786" spans="8:47" x14ac:dyDescent="0.2">
      <c r="H786" s="23"/>
      <c r="N786" s="6"/>
      <c r="Q786" s="23"/>
      <c r="R786" s="23"/>
      <c r="AR786" s="23"/>
      <c r="AS786" s="23"/>
      <c r="AT786" s="23"/>
      <c r="AU786" s="23"/>
    </row>
    <row r="787" spans="8:47" x14ac:dyDescent="0.2">
      <c r="H787" s="23"/>
      <c r="N787" s="6"/>
      <c r="Q787" s="23"/>
      <c r="R787" s="23"/>
      <c r="AR787" s="23"/>
      <c r="AS787" s="23"/>
      <c r="AT787" s="23"/>
      <c r="AU787" s="23"/>
    </row>
    <row r="788" spans="8:47" x14ac:dyDescent="0.2">
      <c r="H788" s="23"/>
      <c r="N788" s="6"/>
      <c r="Q788" s="23"/>
      <c r="R788" s="23"/>
      <c r="AR788" s="23"/>
      <c r="AS788" s="23"/>
      <c r="AT788" s="23"/>
      <c r="AU788" s="23"/>
    </row>
    <row r="789" spans="8:47" x14ac:dyDescent="0.2">
      <c r="H789" s="23"/>
      <c r="N789" s="6"/>
      <c r="Q789" s="23"/>
      <c r="R789" s="23"/>
      <c r="AR789" s="23"/>
      <c r="AS789" s="23"/>
      <c r="AT789" s="23"/>
      <c r="AU789" s="23"/>
    </row>
    <row r="790" spans="8:47" x14ac:dyDescent="0.2">
      <c r="H790" s="23"/>
      <c r="N790" s="6"/>
      <c r="Q790" s="23"/>
      <c r="R790" s="23"/>
      <c r="AR790" s="23"/>
      <c r="AS790" s="23"/>
      <c r="AT790" s="23"/>
      <c r="AU790" s="23"/>
    </row>
    <row r="791" spans="8:47" x14ac:dyDescent="0.2">
      <c r="H791" s="23"/>
      <c r="N791" s="6"/>
      <c r="Q791" s="23"/>
      <c r="R791" s="23"/>
      <c r="AR791" s="23"/>
      <c r="AS791" s="23"/>
      <c r="AT791" s="23"/>
      <c r="AU791" s="23"/>
    </row>
    <row r="792" spans="8:47" x14ac:dyDescent="0.2">
      <c r="H792" s="23"/>
      <c r="N792" s="6"/>
      <c r="Q792" s="23"/>
      <c r="R792" s="23"/>
      <c r="AR792" s="23"/>
      <c r="AS792" s="23"/>
      <c r="AT792" s="23"/>
      <c r="AU792" s="23"/>
    </row>
    <row r="793" spans="8:47" x14ac:dyDescent="0.2">
      <c r="H793" s="23"/>
      <c r="N793" s="6"/>
      <c r="Q793" s="23"/>
      <c r="R793" s="23"/>
      <c r="AR793" s="23"/>
      <c r="AS793" s="23"/>
      <c r="AT793" s="23"/>
      <c r="AU793" s="23"/>
    </row>
    <row r="794" spans="8:47" x14ac:dyDescent="0.2">
      <c r="H794" s="23"/>
      <c r="N794" s="6"/>
      <c r="Q794" s="23"/>
      <c r="R794" s="23"/>
      <c r="AR794" s="23"/>
      <c r="AS794" s="23"/>
      <c r="AT794" s="23"/>
      <c r="AU794" s="23"/>
    </row>
    <row r="795" spans="8:47" x14ac:dyDescent="0.2">
      <c r="H795" s="23"/>
      <c r="N795" s="6"/>
      <c r="Q795" s="23"/>
      <c r="R795" s="23"/>
      <c r="AR795" s="23"/>
      <c r="AS795" s="23"/>
      <c r="AT795" s="23"/>
      <c r="AU795" s="23"/>
    </row>
    <row r="796" spans="8:47" x14ac:dyDescent="0.2">
      <c r="H796" s="23"/>
      <c r="N796" s="6"/>
      <c r="Q796" s="23"/>
      <c r="R796" s="23"/>
      <c r="AR796" s="23"/>
      <c r="AS796" s="23"/>
      <c r="AT796" s="23"/>
      <c r="AU796" s="23"/>
    </row>
    <row r="797" spans="8:47" x14ac:dyDescent="0.2">
      <c r="H797" s="23"/>
      <c r="N797" s="6"/>
      <c r="Q797" s="23"/>
      <c r="R797" s="23"/>
      <c r="AR797" s="23"/>
      <c r="AS797" s="23"/>
      <c r="AT797" s="23"/>
      <c r="AU797" s="23"/>
    </row>
    <row r="798" spans="8:47" x14ac:dyDescent="0.2">
      <c r="H798" s="23"/>
      <c r="N798" s="6"/>
      <c r="Q798" s="23"/>
      <c r="R798" s="23"/>
      <c r="AR798" s="23"/>
      <c r="AS798" s="23"/>
      <c r="AT798" s="23"/>
      <c r="AU798" s="23"/>
    </row>
    <row r="799" spans="8:47" x14ac:dyDescent="0.2">
      <c r="H799" s="23"/>
      <c r="N799" s="6"/>
      <c r="Q799" s="23"/>
      <c r="R799" s="23"/>
      <c r="AR799" s="23"/>
      <c r="AS799" s="23"/>
      <c r="AT799" s="23"/>
      <c r="AU799" s="23"/>
    </row>
    <row r="800" spans="8:47" x14ac:dyDescent="0.2">
      <c r="H800" s="23"/>
      <c r="N800" s="6"/>
      <c r="Q800" s="23"/>
      <c r="R800" s="23"/>
      <c r="AR800" s="23"/>
      <c r="AS800" s="23"/>
      <c r="AT800" s="23"/>
      <c r="AU800" s="23"/>
    </row>
    <row r="801" spans="8:47" x14ac:dyDescent="0.2">
      <c r="H801" s="23"/>
      <c r="N801" s="6"/>
      <c r="Q801" s="23"/>
      <c r="R801" s="23"/>
      <c r="AR801" s="23"/>
      <c r="AS801" s="23"/>
      <c r="AT801" s="23"/>
      <c r="AU801" s="23"/>
    </row>
    <row r="802" spans="8:47" x14ac:dyDescent="0.2">
      <c r="H802" s="23"/>
      <c r="N802" s="6"/>
      <c r="Q802" s="23"/>
      <c r="R802" s="23"/>
      <c r="AR802" s="23"/>
      <c r="AS802" s="23"/>
      <c r="AT802" s="23"/>
      <c r="AU802" s="23"/>
    </row>
    <row r="803" spans="8:47" x14ac:dyDescent="0.2">
      <c r="H803" s="23"/>
      <c r="N803" s="6"/>
      <c r="Q803" s="23"/>
      <c r="R803" s="23"/>
    </row>
    <row r="804" spans="8:47" x14ac:dyDescent="0.2">
      <c r="H804" s="23"/>
      <c r="N804" s="6"/>
      <c r="Q804" s="23"/>
      <c r="R804" s="23"/>
      <c r="AR804" s="23"/>
      <c r="AT804" s="23"/>
      <c r="AU804" s="23"/>
    </row>
    <row r="805" spans="8:47" x14ac:dyDescent="0.2">
      <c r="H805" s="23"/>
      <c r="N805" s="6"/>
      <c r="Q805" s="23"/>
      <c r="R805" s="23"/>
      <c r="AR805" s="23"/>
      <c r="AS805" s="23"/>
      <c r="AT805" s="23"/>
      <c r="AU805" s="23"/>
    </row>
    <row r="806" spans="8:47" x14ac:dyDescent="0.2">
      <c r="H806" s="23"/>
      <c r="N806" s="6"/>
      <c r="Q806" s="23"/>
      <c r="R806" s="23"/>
      <c r="AR806" s="23"/>
      <c r="AS806" s="23"/>
      <c r="AT806" s="23"/>
      <c r="AU806" s="23"/>
    </row>
    <row r="807" spans="8:47" x14ac:dyDescent="0.2">
      <c r="H807" s="23"/>
      <c r="N807" s="6"/>
      <c r="Q807" s="23"/>
      <c r="R807" s="23"/>
      <c r="AR807" s="23"/>
      <c r="AT807" s="23"/>
      <c r="AU807" s="23"/>
    </row>
    <row r="808" spans="8:47" x14ac:dyDescent="0.2">
      <c r="H808" s="23"/>
      <c r="N808" s="6"/>
      <c r="Q808" s="23"/>
      <c r="R808" s="23"/>
      <c r="AR808" s="23"/>
      <c r="AS808" s="23"/>
      <c r="AT808" s="23"/>
      <c r="AU808" s="23"/>
    </row>
    <row r="809" spans="8:47" x14ac:dyDescent="0.2">
      <c r="H809" s="23"/>
      <c r="N809" s="6"/>
      <c r="Q809" s="23"/>
      <c r="R809" s="23"/>
      <c r="AR809" s="23"/>
      <c r="AS809" s="23"/>
      <c r="AT809" s="23"/>
      <c r="AU809" s="23"/>
    </row>
    <row r="810" spans="8:47" x14ac:dyDescent="0.2">
      <c r="H810" s="23"/>
      <c r="N810" s="6"/>
      <c r="Q810" s="23"/>
      <c r="R810" s="23"/>
      <c r="AR810" s="23"/>
      <c r="AS810" s="23"/>
      <c r="AT810" s="23"/>
      <c r="AU810" s="23"/>
    </row>
    <row r="811" spans="8:47" x14ac:dyDescent="0.2">
      <c r="H811" s="23"/>
      <c r="N811" s="6"/>
      <c r="Q811" s="23"/>
      <c r="R811" s="23"/>
    </row>
    <row r="812" spans="8:47" x14ac:dyDescent="0.2">
      <c r="H812" s="23"/>
      <c r="N812" s="6"/>
      <c r="Q812" s="23"/>
      <c r="R812" s="23"/>
      <c r="AR812" s="23"/>
      <c r="AS812" s="23"/>
      <c r="AT812" s="23"/>
      <c r="AU812" s="23"/>
    </row>
    <row r="813" spans="8:47" x14ac:dyDescent="0.2">
      <c r="H813" s="23"/>
      <c r="N813" s="6"/>
      <c r="Q813" s="23"/>
      <c r="R813" s="23"/>
      <c r="AR813" s="23"/>
      <c r="AS813" s="23"/>
      <c r="AT813" s="23"/>
      <c r="AU813" s="23"/>
    </row>
    <row r="814" spans="8:47" x14ac:dyDescent="0.2">
      <c r="H814" s="23"/>
      <c r="N814" s="6"/>
      <c r="Q814" s="23"/>
      <c r="R814" s="23"/>
      <c r="AR814" s="23"/>
      <c r="AS814" s="23"/>
      <c r="AT814" s="23"/>
      <c r="AU814" s="23"/>
    </row>
    <row r="815" spans="8:47" x14ac:dyDescent="0.2">
      <c r="H815" s="23"/>
      <c r="N815" s="6"/>
      <c r="Q815" s="23"/>
      <c r="R815" s="23"/>
      <c r="AR815" s="23"/>
      <c r="AS815" s="23"/>
      <c r="AT815" s="23"/>
      <c r="AU815" s="23"/>
    </row>
    <row r="816" spans="8:47" x14ac:dyDescent="0.2">
      <c r="H816" s="23"/>
      <c r="N816" s="6"/>
      <c r="Q816" s="23"/>
      <c r="R816" s="23"/>
    </row>
    <row r="817" spans="8:47" x14ac:dyDescent="0.2">
      <c r="H817" s="23"/>
      <c r="N817" s="6"/>
      <c r="Q817" s="23"/>
      <c r="R817" s="23"/>
    </row>
    <row r="818" spans="8:47" x14ac:dyDescent="0.2">
      <c r="H818" s="23"/>
      <c r="N818" s="6"/>
      <c r="Q818" s="23"/>
      <c r="R818" s="23"/>
      <c r="AR818" s="23"/>
      <c r="AS818" s="23"/>
      <c r="AT818" s="23"/>
      <c r="AU818" s="23"/>
    </row>
    <row r="819" spans="8:47" x14ac:dyDescent="0.2">
      <c r="H819" s="23"/>
      <c r="N819" s="6"/>
      <c r="Q819" s="23"/>
      <c r="R819" s="23"/>
      <c r="AR819" s="23"/>
      <c r="AS819" s="23"/>
      <c r="AT819" s="23"/>
      <c r="AU819" s="23"/>
    </row>
    <row r="820" spans="8:47" x14ac:dyDescent="0.2">
      <c r="H820" s="23"/>
      <c r="N820" s="6"/>
      <c r="Q820" s="23"/>
      <c r="R820" s="23"/>
      <c r="AR820" s="23"/>
      <c r="AS820" s="23"/>
      <c r="AT820" s="23"/>
      <c r="AU820" s="23"/>
    </row>
    <row r="821" spans="8:47" x14ac:dyDescent="0.2">
      <c r="H821" s="23"/>
      <c r="N821" s="6"/>
      <c r="Q821" s="23"/>
      <c r="R821" s="23"/>
      <c r="AR821" s="23"/>
      <c r="AS821" s="23"/>
      <c r="AT821" s="23"/>
      <c r="AU821" s="23"/>
    </row>
    <row r="822" spans="8:47" x14ac:dyDescent="0.2">
      <c r="H822" s="23"/>
      <c r="N822" s="6"/>
      <c r="Q822" s="23"/>
      <c r="R822" s="23"/>
      <c r="AR822" s="23"/>
      <c r="AS822" s="23"/>
      <c r="AT822" s="23"/>
      <c r="AU822" s="23"/>
    </row>
    <row r="823" spans="8:47" x14ac:dyDescent="0.2">
      <c r="H823" s="23"/>
      <c r="N823" s="6"/>
      <c r="Q823" s="23"/>
      <c r="R823" s="23"/>
    </row>
    <row r="824" spans="8:47" x14ac:dyDescent="0.2">
      <c r="H824" s="23"/>
      <c r="N824" s="6"/>
      <c r="Q824" s="23"/>
      <c r="R824" s="23"/>
      <c r="AR824" s="23"/>
      <c r="AS824" s="23"/>
      <c r="AT824" s="23"/>
      <c r="AU824" s="23"/>
    </row>
    <row r="825" spans="8:47" x14ac:dyDescent="0.2">
      <c r="H825" s="23"/>
      <c r="N825" s="6"/>
      <c r="Q825" s="23"/>
      <c r="R825" s="23"/>
      <c r="AR825" s="23"/>
      <c r="AT825" s="23"/>
      <c r="AU825" s="23"/>
    </row>
    <row r="826" spans="8:47" x14ac:dyDescent="0.2">
      <c r="H826" s="23"/>
      <c r="N826" s="6"/>
      <c r="Q826" s="23"/>
      <c r="R826" s="23"/>
      <c r="AR826" s="23"/>
      <c r="AS826" s="23"/>
      <c r="AT826" s="23"/>
      <c r="AU826" s="23"/>
    </row>
    <row r="827" spans="8:47" x14ac:dyDescent="0.2">
      <c r="H827" s="23"/>
      <c r="N827" s="6"/>
      <c r="Q827" s="23"/>
      <c r="R827" s="23"/>
      <c r="AR827" s="23"/>
      <c r="AS827" s="23"/>
      <c r="AT827" s="23"/>
      <c r="AU827" s="23"/>
    </row>
    <row r="828" spans="8:47" x14ac:dyDescent="0.2">
      <c r="H828" s="23"/>
      <c r="N828" s="6"/>
      <c r="Q828" s="23"/>
      <c r="R828" s="23"/>
    </row>
    <row r="829" spans="8:47" x14ac:dyDescent="0.2">
      <c r="H829" s="23"/>
      <c r="N829" s="6"/>
      <c r="Q829" s="23"/>
      <c r="R829" s="23"/>
      <c r="AR829" s="23"/>
      <c r="AS829" s="23"/>
      <c r="AT829" s="23"/>
      <c r="AU829" s="23"/>
    </row>
    <row r="830" spans="8:47" x14ac:dyDescent="0.2">
      <c r="H830" s="23"/>
      <c r="N830" s="6"/>
      <c r="Q830" s="23"/>
      <c r="R830" s="23"/>
      <c r="AR830" s="23"/>
      <c r="AS830" s="23"/>
      <c r="AT830" s="23"/>
      <c r="AU830" s="23"/>
    </row>
    <row r="831" spans="8:47" x14ac:dyDescent="0.2">
      <c r="H831" s="23"/>
      <c r="N831" s="6"/>
      <c r="Q831" s="23"/>
      <c r="R831" s="23"/>
      <c r="AR831" s="23"/>
      <c r="AS831" s="23"/>
      <c r="AT831" s="23"/>
      <c r="AU831" s="23"/>
    </row>
    <row r="832" spans="8:47" x14ac:dyDescent="0.2">
      <c r="H832" s="23"/>
      <c r="N832" s="6"/>
      <c r="Q832" s="23"/>
      <c r="R832" s="23"/>
      <c r="AR832" s="23"/>
      <c r="AS832" s="23"/>
      <c r="AT832" s="23"/>
      <c r="AU832" s="23"/>
    </row>
    <row r="833" spans="8:47" x14ac:dyDescent="0.2">
      <c r="H833" s="23"/>
      <c r="N833" s="6"/>
      <c r="Q833" s="23"/>
      <c r="R833" s="23"/>
      <c r="AR833" s="23"/>
      <c r="AS833" s="23"/>
      <c r="AT833" s="23"/>
      <c r="AU833" s="23"/>
    </row>
    <row r="834" spans="8:47" x14ac:dyDescent="0.2">
      <c r="H834" s="23"/>
      <c r="N834" s="6"/>
      <c r="Q834" s="23"/>
      <c r="R834" s="23"/>
      <c r="AR834" s="23"/>
      <c r="AS834" s="23"/>
      <c r="AT834" s="23"/>
      <c r="AU834" s="23"/>
    </row>
    <row r="835" spans="8:47" x14ac:dyDescent="0.2">
      <c r="H835" s="23"/>
      <c r="N835" s="6"/>
      <c r="Q835" s="23"/>
      <c r="R835" s="23"/>
      <c r="AR835" s="23"/>
      <c r="AS835" s="23"/>
      <c r="AT835" s="23"/>
      <c r="AU835" s="23"/>
    </row>
    <row r="836" spans="8:47" x14ac:dyDescent="0.2">
      <c r="H836" s="23"/>
      <c r="N836" s="6"/>
      <c r="Q836" s="23"/>
      <c r="R836" s="23"/>
      <c r="AR836" s="23"/>
      <c r="AS836" s="23"/>
      <c r="AT836" s="23"/>
      <c r="AU836" s="23"/>
    </row>
    <row r="837" spans="8:47" x14ac:dyDescent="0.2">
      <c r="H837" s="23"/>
      <c r="N837" s="6"/>
      <c r="Q837" s="23"/>
      <c r="R837" s="23"/>
      <c r="AR837" s="23"/>
      <c r="AS837" s="23"/>
      <c r="AT837" s="23"/>
      <c r="AU837" s="23"/>
    </row>
    <row r="838" spans="8:47" x14ac:dyDescent="0.2">
      <c r="H838" s="23"/>
      <c r="N838" s="6"/>
      <c r="Q838" s="23"/>
      <c r="R838" s="23"/>
      <c r="AR838" s="23"/>
      <c r="AS838" s="23"/>
      <c r="AT838" s="23"/>
      <c r="AU838" s="23"/>
    </row>
    <row r="839" spans="8:47" x14ac:dyDescent="0.2">
      <c r="H839" s="23"/>
      <c r="N839" s="6"/>
      <c r="Q839" s="23"/>
      <c r="R839" s="23"/>
      <c r="AR839" s="23"/>
      <c r="AS839" s="23"/>
      <c r="AT839" s="23"/>
      <c r="AU839" s="23"/>
    </row>
    <row r="840" spans="8:47" x14ac:dyDescent="0.2">
      <c r="H840" s="23"/>
      <c r="N840" s="6"/>
      <c r="Q840" s="23"/>
      <c r="R840" s="23"/>
      <c r="AR840" s="23"/>
      <c r="AS840" s="23"/>
      <c r="AT840" s="23"/>
      <c r="AU840" s="23"/>
    </row>
    <row r="841" spans="8:47" x14ac:dyDescent="0.2">
      <c r="H841" s="23"/>
      <c r="N841" s="6"/>
      <c r="Q841" s="23"/>
      <c r="R841" s="23"/>
      <c r="AR841" s="23"/>
      <c r="AS841" s="23"/>
      <c r="AT841" s="23"/>
      <c r="AU841" s="23"/>
    </row>
    <row r="842" spans="8:47" x14ac:dyDescent="0.2">
      <c r="H842" s="23"/>
      <c r="N842" s="6"/>
      <c r="Q842" s="23"/>
      <c r="R842" s="23"/>
      <c r="AT842" s="23"/>
      <c r="AU842" s="23"/>
    </row>
    <row r="843" spans="8:47" x14ac:dyDescent="0.2">
      <c r="H843" s="23"/>
      <c r="N843" s="6"/>
      <c r="Q843" s="23"/>
      <c r="R843" s="23"/>
      <c r="AR843" s="23"/>
      <c r="AS843" s="23"/>
      <c r="AT843" s="23"/>
      <c r="AU843" s="23"/>
    </row>
    <row r="844" spans="8:47" x14ac:dyDescent="0.2">
      <c r="H844" s="23"/>
      <c r="N844" s="6"/>
      <c r="Q844" s="23"/>
      <c r="R844" s="23"/>
      <c r="AR844" s="23"/>
      <c r="AS844" s="23"/>
      <c r="AT844" s="23"/>
      <c r="AU844" s="23"/>
    </row>
    <row r="845" spans="8:47" x14ac:dyDescent="0.2">
      <c r="H845" s="23"/>
      <c r="N845" s="6"/>
      <c r="Q845" s="23"/>
      <c r="R845" s="23"/>
      <c r="AR845" s="23"/>
      <c r="AS845" s="23"/>
      <c r="AT845" s="23"/>
      <c r="AU845" s="23"/>
    </row>
    <row r="846" spans="8:47" x14ac:dyDescent="0.2">
      <c r="H846" s="23"/>
      <c r="N846" s="6"/>
      <c r="Q846" s="23"/>
      <c r="R846" s="23"/>
    </row>
    <row r="847" spans="8:47" x14ac:dyDescent="0.2">
      <c r="H847" s="23"/>
      <c r="N847" s="6"/>
      <c r="Q847" s="23"/>
      <c r="R847" s="23"/>
      <c r="AR847" s="23"/>
      <c r="AS847" s="23"/>
      <c r="AT847" s="23"/>
      <c r="AU847" s="23"/>
    </row>
    <row r="848" spans="8:47" x14ac:dyDescent="0.2">
      <c r="H848" s="23"/>
      <c r="N848" s="6"/>
      <c r="Q848" s="23"/>
      <c r="R848" s="23"/>
      <c r="AR848" s="23"/>
      <c r="AS848" s="23"/>
      <c r="AT848" s="23"/>
      <c r="AU848" s="23"/>
    </row>
    <row r="849" spans="8:47" x14ac:dyDescent="0.2">
      <c r="H849" s="23"/>
      <c r="N849" s="6"/>
      <c r="Q849" s="23"/>
      <c r="R849" s="23"/>
      <c r="AR849" s="23"/>
      <c r="AS849" s="23"/>
      <c r="AT849" s="23"/>
      <c r="AU849" s="23"/>
    </row>
    <row r="850" spans="8:47" x14ac:dyDescent="0.2">
      <c r="H850" s="23"/>
      <c r="N850" s="6"/>
      <c r="Q850" s="23"/>
      <c r="R850" s="23"/>
      <c r="AR850" s="23"/>
      <c r="AS850" s="23"/>
      <c r="AT850" s="23"/>
      <c r="AU850" s="23"/>
    </row>
    <row r="851" spans="8:47" x14ac:dyDescent="0.2">
      <c r="H851" s="23"/>
      <c r="N851" s="6"/>
      <c r="Q851" s="23"/>
      <c r="R851" s="23"/>
      <c r="AR851" s="23"/>
      <c r="AS851" s="23"/>
      <c r="AT851" s="23"/>
      <c r="AU851" s="23"/>
    </row>
    <row r="852" spans="8:47" x14ac:dyDescent="0.2">
      <c r="H852" s="23"/>
      <c r="N852" s="6"/>
      <c r="Q852" s="23"/>
      <c r="R852" s="23"/>
      <c r="AR852" s="23"/>
      <c r="AS852" s="23"/>
      <c r="AT852" s="23"/>
      <c r="AU852" s="23"/>
    </row>
    <row r="853" spans="8:47" x14ac:dyDescent="0.2">
      <c r="H853" s="23"/>
      <c r="N853" s="6"/>
      <c r="Q853" s="23"/>
      <c r="R853" s="23"/>
      <c r="AR853" s="23"/>
      <c r="AS853" s="23"/>
      <c r="AT853" s="23"/>
      <c r="AU853" s="23"/>
    </row>
    <row r="854" spans="8:47" x14ac:dyDescent="0.2">
      <c r="H854" s="23"/>
      <c r="N854" s="6"/>
      <c r="Q854" s="23"/>
      <c r="R854" s="23"/>
      <c r="AR854" s="23"/>
      <c r="AS854" s="23"/>
      <c r="AT854" s="23"/>
      <c r="AU854" s="23"/>
    </row>
    <row r="855" spans="8:47" x14ac:dyDescent="0.2">
      <c r="H855" s="23"/>
      <c r="N855" s="6"/>
      <c r="Q855" s="23"/>
      <c r="R855" s="23"/>
    </row>
    <row r="856" spans="8:47" x14ac:dyDescent="0.2">
      <c r="H856" s="23"/>
      <c r="N856" s="6"/>
      <c r="Q856" s="23"/>
      <c r="R856" s="23"/>
      <c r="AR856" s="23"/>
      <c r="AS856" s="23"/>
      <c r="AT856" s="23"/>
      <c r="AU856" s="23"/>
    </row>
    <row r="857" spans="8:47" x14ac:dyDescent="0.2">
      <c r="H857" s="23"/>
      <c r="N857" s="6"/>
      <c r="Q857" s="23"/>
      <c r="R857" s="23"/>
      <c r="AR857" s="23"/>
      <c r="AS857" s="23"/>
      <c r="AT857" s="23"/>
      <c r="AU857" s="23"/>
    </row>
    <row r="858" spans="8:47" x14ac:dyDescent="0.2">
      <c r="H858" s="23"/>
      <c r="N858" s="6"/>
      <c r="Q858" s="23"/>
      <c r="R858" s="23"/>
      <c r="AR858" s="23"/>
      <c r="AS858" s="23"/>
      <c r="AT858" s="23"/>
      <c r="AU858" s="23"/>
    </row>
    <row r="859" spans="8:47" x14ac:dyDescent="0.2">
      <c r="H859" s="23"/>
      <c r="N859" s="6"/>
      <c r="Q859" s="23"/>
      <c r="R859" s="23"/>
      <c r="AR859" s="23"/>
      <c r="AS859" s="23"/>
      <c r="AT859" s="23"/>
      <c r="AU859" s="23"/>
    </row>
    <row r="860" spans="8:47" x14ac:dyDescent="0.2">
      <c r="H860" s="23"/>
      <c r="N860" s="6"/>
      <c r="Q860" s="23"/>
      <c r="R860" s="23"/>
      <c r="AR860" s="23"/>
      <c r="AS860" s="23"/>
      <c r="AT860" s="23"/>
      <c r="AU860" s="23"/>
    </row>
    <row r="861" spans="8:47" x14ac:dyDescent="0.2">
      <c r="H861" s="23"/>
      <c r="N861" s="6"/>
      <c r="Q861" s="23"/>
      <c r="R861" s="23"/>
      <c r="AR861" s="23"/>
      <c r="AS861" s="23"/>
      <c r="AT861" s="23"/>
      <c r="AU861" s="23"/>
    </row>
    <row r="862" spans="8:47" x14ac:dyDescent="0.2">
      <c r="H862" s="23"/>
      <c r="N862" s="6"/>
      <c r="Q862" s="23"/>
      <c r="R862" s="23"/>
      <c r="AR862" s="23"/>
      <c r="AS862" s="23"/>
      <c r="AT862" s="23"/>
      <c r="AU862" s="23"/>
    </row>
    <row r="863" spans="8:47" x14ac:dyDescent="0.2">
      <c r="H863" s="23"/>
      <c r="N863" s="6"/>
      <c r="Q863" s="23"/>
      <c r="R863" s="23"/>
      <c r="AR863" s="23"/>
      <c r="AS863" s="23"/>
      <c r="AT863" s="23"/>
      <c r="AU863" s="23"/>
    </row>
    <row r="864" spans="8:47" x14ac:dyDescent="0.2">
      <c r="H864" s="23"/>
      <c r="N864" s="6"/>
      <c r="Q864" s="23"/>
      <c r="R864" s="23"/>
      <c r="AR864" s="23"/>
      <c r="AS864" s="23"/>
      <c r="AT864" s="23"/>
      <c r="AU864" s="23"/>
    </row>
    <row r="865" spans="8:47" x14ac:dyDescent="0.2">
      <c r="H865" s="23"/>
      <c r="N865" s="6"/>
      <c r="Q865" s="23"/>
      <c r="R865" s="23"/>
      <c r="AR865" s="23"/>
      <c r="AS865" s="23"/>
      <c r="AT865" s="23"/>
      <c r="AU865" s="23"/>
    </row>
    <row r="866" spans="8:47" x14ac:dyDescent="0.2">
      <c r="H866" s="23"/>
      <c r="N866" s="6"/>
      <c r="Q866" s="23"/>
      <c r="R866" s="23"/>
      <c r="AR866" s="23"/>
      <c r="AS866" s="23"/>
      <c r="AT866" s="23"/>
      <c r="AU866" s="23"/>
    </row>
    <row r="867" spans="8:47" x14ac:dyDescent="0.2">
      <c r="H867" s="23"/>
      <c r="N867" s="6"/>
      <c r="Q867" s="23"/>
      <c r="R867" s="23"/>
      <c r="AR867" s="23"/>
      <c r="AS867" s="23"/>
      <c r="AT867" s="23"/>
      <c r="AU867" s="23"/>
    </row>
    <row r="868" spans="8:47" x14ac:dyDescent="0.2">
      <c r="H868" s="23"/>
      <c r="N868" s="6"/>
      <c r="Q868" s="23"/>
      <c r="R868" s="23"/>
      <c r="AR868" s="23"/>
      <c r="AS868" s="23"/>
      <c r="AT868" s="23"/>
      <c r="AU868" s="23"/>
    </row>
    <row r="869" spans="8:47" x14ac:dyDescent="0.2">
      <c r="H869" s="23"/>
      <c r="N869" s="6"/>
      <c r="Q869" s="23"/>
      <c r="R869" s="23"/>
      <c r="AR869" s="23"/>
      <c r="AS869" s="23"/>
      <c r="AT869" s="23"/>
      <c r="AU869" s="23"/>
    </row>
    <row r="870" spans="8:47" x14ac:dyDescent="0.2">
      <c r="H870" s="23"/>
      <c r="N870" s="6"/>
      <c r="Q870" s="23"/>
      <c r="R870" s="23"/>
      <c r="AR870" s="23"/>
      <c r="AS870" s="23"/>
      <c r="AT870" s="23"/>
      <c r="AU870" s="23"/>
    </row>
    <row r="871" spans="8:47" x14ac:dyDescent="0.2">
      <c r="H871" s="23"/>
      <c r="N871" s="6"/>
      <c r="Q871" s="23"/>
      <c r="R871" s="23"/>
      <c r="AR871" s="23"/>
      <c r="AS871" s="23"/>
      <c r="AT871" s="23"/>
      <c r="AU871" s="23"/>
    </row>
    <row r="872" spans="8:47" x14ac:dyDescent="0.2">
      <c r="H872" s="23"/>
      <c r="N872" s="6"/>
      <c r="Q872" s="23"/>
      <c r="R872" s="23"/>
      <c r="AR872" s="23"/>
      <c r="AS872" s="23"/>
      <c r="AT872" s="23"/>
      <c r="AU872" s="23"/>
    </row>
    <row r="873" spans="8:47" x14ac:dyDescent="0.2">
      <c r="H873" s="23"/>
      <c r="N873" s="6"/>
      <c r="Q873" s="23"/>
      <c r="R873" s="23"/>
      <c r="AR873" s="23"/>
      <c r="AS873" s="23"/>
      <c r="AT873" s="23"/>
      <c r="AU873" s="23"/>
    </row>
    <row r="874" spans="8:47" x14ac:dyDescent="0.2">
      <c r="H874" s="23"/>
      <c r="N874" s="6"/>
      <c r="Q874" s="23"/>
      <c r="R874" s="23"/>
      <c r="AR874" s="23"/>
      <c r="AS874" s="23"/>
      <c r="AT874" s="23"/>
      <c r="AU874" s="23"/>
    </row>
    <row r="875" spans="8:47" x14ac:dyDescent="0.2">
      <c r="H875" s="23"/>
      <c r="N875" s="6"/>
      <c r="Q875" s="23"/>
      <c r="R875" s="23"/>
      <c r="AR875" s="23"/>
      <c r="AS875" s="23"/>
      <c r="AT875" s="23"/>
      <c r="AU875" s="23"/>
    </row>
    <row r="876" spans="8:47" x14ac:dyDescent="0.2">
      <c r="H876" s="23"/>
      <c r="N876" s="6"/>
      <c r="Q876" s="23"/>
      <c r="R876" s="23"/>
      <c r="AR876" s="23"/>
      <c r="AS876" s="23"/>
      <c r="AT876" s="23"/>
      <c r="AU876" s="23"/>
    </row>
    <row r="877" spans="8:47" x14ac:dyDescent="0.2">
      <c r="H877" s="23"/>
      <c r="N877" s="6"/>
      <c r="Q877" s="23"/>
      <c r="R877" s="23"/>
      <c r="AR877" s="23"/>
      <c r="AS877" s="23"/>
      <c r="AT877" s="23"/>
      <c r="AU877" s="23"/>
    </row>
    <row r="878" spans="8:47" x14ac:dyDescent="0.2">
      <c r="H878" s="23"/>
      <c r="N878" s="6"/>
      <c r="Q878" s="23"/>
      <c r="R878" s="23"/>
      <c r="AR878" s="23"/>
      <c r="AS878" s="23"/>
      <c r="AT878" s="23"/>
      <c r="AU878" s="23"/>
    </row>
    <row r="879" spans="8:47" x14ac:dyDescent="0.2">
      <c r="H879" s="23"/>
      <c r="N879" s="6"/>
      <c r="Q879" s="23"/>
      <c r="R879" s="23"/>
      <c r="AR879" s="23"/>
      <c r="AS879" s="23"/>
      <c r="AT879" s="23"/>
      <c r="AU879" s="23"/>
    </row>
    <row r="880" spans="8:47" x14ac:dyDescent="0.2">
      <c r="H880" s="23"/>
      <c r="N880" s="6"/>
      <c r="Q880" s="23"/>
      <c r="R880" s="23"/>
      <c r="AR880" s="23"/>
      <c r="AT880" s="23"/>
      <c r="AU880" s="23"/>
    </row>
    <row r="881" spans="8:47" x14ac:dyDescent="0.2">
      <c r="H881" s="23"/>
      <c r="N881" s="6"/>
      <c r="Q881" s="23"/>
      <c r="R881" s="23"/>
      <c r="AR881" s="23"/>
      <c r="AS881" s="23"/>
      <c r="AT881" s="23"/>
      <c r="AU881" s="23"/>
    </row>
    <row r="882" spans="8:47" x14ac:dyDescent="0.2">
      <c r="H882" s="23"/>
      <c r="N882" s="6"/>
      <c r="Q882" s="23"/>
      <c r="R882" s="23"/>
      <c r="AR882" s="23"/>
      <c r="AS882" s="23"/>
      <c r="AT882" s="23"/>
      <c r="AU882" s="23"/>
    </row>
    <row r="883" spans="8:47" x14ac:dyDescent="0.2">
      <c r="H883" s="23"/>
      <c r="N883" s="6"/>
      <c r="Q883" s="23"/>
      <c r="R883" s="23"/>
      <c r="AR883" s="23"/>
      <c r="AS883" s="23"/>
      <c r="AT883" s="23"/>
      <c r="AU883" s="23"/>
    </row>
    <row r="884" spans="8:47" x14ac:dyDescent="0.2">
      <c r="H884" s="23"/>
      <c r="N884" s="6"/>
      <c r="Q884" s="23"/>
      <c r="R884" s="23"/>
      <c r="AR884" s="23"/>
      <c r="AS884" s="23"/>
      <c r="AT884" s="23"/>
      <c r="AU884" s="23"/>
    </row>
    <row r="885" spans="8:47" x14ac:dyDescent="0.2">
      <c r="H885" s="23"/>
      <c r="N885" s="6"/>
      <c r="Q885" s="23"/>
      <c r="R885" s="23"/>
      <c r="AR885" s="23"/>
      <c r="AS885" s="23"/>
      <c r="AT885" s="23"/>
      <c r="AU885" s="23"/>
    </row>
    <row r="886" spans="8:47" x14ac:dyDescent="0.2">
      <c r="H886" s="23"/>
      <c r="N886" s="6"/>
      <c r="Q886" s="23"/>
      <c r="R886" s="23"/>
      <c r="AR886" s="23"/>
      <c r="AS886" s="23"/>
      <c r="AT886" s="23"/>
      <c r="AU886" s="23"/>
    </row>
    <row r="887" spans="8:47" x14ac:dyDescent="0.2">
      <c r="H887" s="23"/>
      <c r="N887" s="6"/>
      <c r="Q887" s="23"/>
      <c r="R887" s="23"/>
      <c r="AR887" s="23"/>
      <c r="AS887" s="23"/>
      <c r="AT887" s="23"/>
      <c r="AU887" s="23"/>
    </row>
    <row r="888" spans="8:47" x14ac:dyDescent="0.2">
      <c r="H888" s="23"/>
      <c r="N888" s="6"/>
      <c r="Q888" s="23"/>
      <c r="R888" s="23"/>
      <c r="AR888" s="23"/>
      <c r="AS888" s="23"/>
      <c r="AT888" s="23"/>
      <c r="AU888" s="23"/>
    </row>
    <row r="889" spans="8:47" x14ac:dyDescent="0.2">
      <c r="H889" s="23"/>
      <c r="N889" s="6"/>
      <c r="Q889" s="23"/>
      <c r="R889" s="23"/>
      <c r="AR889" s="23"/>
      <c r="AS889" s="23"/>
      <c r="AT889" s="23"/>
      <c r="AU889" s="23"/>
    </row>
    <row r="890" spans="8:47" x14ac:dyDescent="0.2">
      <c r="H890" s="23"/>
      <c r="N890" s="6"/>
      <c r="Q890" s="23"/>
      <c r="R890" s="23"/>
      <c r="AR890" s="23"/>
      <c r="AS890" s="23"/>
      <c r="AT890" s="23"/>
      <c r="AU890" s="23"/>
    </row>
    <row r="891" spans="8:47" x14ac:dyDescent="0.2">
      <c r="H891" s="23"/>
      <c r="N891" s="6"/>
      <c r="Q891" s="23"/>
      <c r="R891" s="23"/>
      <c r="AR891" s="23"/>
      <c r="AS891" s="23"/>
      <c r="AT891" s="23"/>
      <c r="AU891" s="23"/>
    </row>
    <row r="892" spans="8:47" x14ac:dyDescent="0.2">
      <c r="H892" s="23"/>
      <c r="N892" s="6"/>
      <c r="Q892" s="23"/>
      <c r="R892" s="23"/>
      <c r="AR892" s="23"/>
      <c r="AS892" s="23"/>
      <c r="AT892" s="23"/>
      <c r="AU892" s="23"/>
    </row>
    <row r="893" spans="8:47" x14ac:dyDescent="0.2">
      <c r="H893" s="23"/>
      <c r="N893" s="6"/>
      <c r="Q893" s="23"/>
      <c r="R893" s="23"/>
      <c r="AR893" s="23"/>
      <c r="AS893" s="23"/>
      <c r="AT893" s="23"/>
      <c r="AU893" s="23"/>
    </row>
    <row r="894" spans="8:47" x14ac:dyDescent="0.2">
      <c r="H894" s="23"/>
      <c r="N894" s="6"/>
      <c r="Q894" s="23"/>
      <c r="R894" s="23"/>
    </row>
    <row r="895" spans="8:47" x14ac:dyDescent="0.2">
      <c r="H895" s="23"/>
      <c r="N895" s="6"/>
      <c r="Q895" s="23"/>
      <c r="R895" s="23"/>
      <c r="AR895" s="23"/>
      <c r="AS895" s="23"/>
      <c r="AT895" s="23"/>
      <c r="AU895" s="23"/>
    </row>
    <row r="896" spans="8:47" x14ac:dyDescent="0.2">
      <c r="H896" s="23"/>
      <c r="N896" s="6"/>
      <c r="Q896" s="23"/>
      <c r="R896" s="23"/>
      <c r="AR896" s="23"/>
      <c r="AS896" s="23"/>
      <c r="AT896" s="23"/>
      <c r="AU896" s="23"/>
    </row>
    <row r="897" spans="8:47" x14ac:dyDescent="0.2">
      <c r="H897" s="23"/>
      <c r="N897" s="6"/>
      <c r="Q897" s="23"/>
      <c r="R897" s="23"/>
      <c r="AR897" s="23"/>
      <c r="AS897" s="23"/>
      <c r="AT897" s="23"/>
      <c r="AU897" s="23"/>
    </row>
    <row r="898" spans="8:47" x14ac:dyDescent="0.2">
      <c r="H898" s="23"/>
      <c r="N898" s="6"/>
      <c r="Q898" s="23"/>
      <c r="R898" s="23"/>
      <c r="AR898" s="23"/>
      <c r="AS898" s="23"/>
      <c r="AT898" s="23"/>
      <c r="AU898" s="23"/>
    </row>
    <row r="899" spans="8:47" x14ac:dyDescent="0.2">
      <c r="H899" s="23"/>
      <c r="N899" s="6"/>
      <c r="Q899" s="23"/>
      <c r="R899" s="23"/>
      <c r="AR899" s="23"/>
      <c r="AS899" s="23"/>
      <c r="AT899" s="23"/>
      <c r="AU899" s="23"/>
    </row>
    <row r="900" spans="8:47" x14ac:dyDescent="0.2">
      <c r="H900" s="23"/>
      <c r="N900" s="6"/>
      <c r="Q900" s="23"/>
      <c r="R900" s="23"/>
      <c r="AR900" s="23"/>
      <c r="AS900" s="23"/>
      <c r="AT900" s="23"/>
      <c r="AU900" s="23"/>
    </row>
    <row r="901" spans="8:47" x14ac:dyDescent="0.2">
      <c r="H901" s="23"/>
      <c r="N901" s="6"/>
      <c r="Q901" s="23"/>
      <c r="R901" s="23"/>
      <c r="AR901" s="23"/>
      <c r="AS901" s="23"/>
      <c r="AT901" s="23"/>
      <c r="AU901" s="23"/>
    </row>
    <row r="902" spans="8:47" x14ac:dyDescent="0.2">
      <c r="H902" s="23"/>
      <c r="N902" s="6"/>
      <c r="Q902" s="23"/>
      <c r="R902" s="23"/>
      <c r="AR902" s="23"/>
      <c r="AS902" s="23"/>
      <c r="AT902" s="23"/>
      <c r="AU902" s="23"/>
    </row>
    <row r="903" spans="8:47" x14ac:dyDescent="0.2">
      <c r="H903" s="23"/>
      <c r="N903" s="6"/>
      <c r="Q903" s="23"/>
      <c r="R903" s="23"/>
      <c r="AR903" s="23"/>
      <c r="AS903" s="23"/>
      <c r="AT903" s="23"/>
      <c r="AU903" s="23"/>
    </row>
    <row r="904" spans="8:47" x14ac:dyDescent="0.2">
      <c r="H904" s="23"/>
      <c r="N904" s="6"/>
      <c r="Q904" s="23"/>
      <c r="R904" s="23"/>
      <c r="AR904" s="23"/>
      <c r="AS904" s="23"/>
      <c r="AT904" s="23"/>
      <c r="AU904" s="23"/>
    </row>
    <row r="905" spans="8:47" x14ac:dyDescent="0.2">
      <c r="H905" s="23"/>
      <c r="N905" s="6"/>
      <c r="Q905" s="23"/>
      <c r="R905" s="23"/>
      <c r="AR905" s="23"/>
      <c r="AS905" s="23"/>
      <c r="AT905" s="23"/>
      <c r="AU905" s="23"/>
    </row>
    <row r="906" spans="8:47" x14ac:dyDescent="0.2">
      <c r="H906" s="23"/>
      <c r="N906" s="6"/>
      <c r="Q906" s="23"/>
      <c r="R906" s="23"/>
      <c r="AR906" s="23"/>
      <c r="AS906" s="23"/>
      <c r="AT906" s="23"/>
      <c r="AU906" s="23"/>
    </row>
    <row r="907" spans="8:47" x14ac:dyDescent="0.2">
      <c r="H907" s="23"/>
      <c r="N907" s="6"/>
      <c r="Q907" s="23"/>
      <c r="R907" s="23"/>
      <c r="AR907" s="23"/>
      <c r="AS907" s="23"/>
      <c r="AT907" s="23"/>
      <c r="AU907" s="23"/>
    </row>
    <row r="908" spans="8:47" x14ac:dyDescent="0.2">
      <c r="H908" s="23"/>
      <c r="N908" s="6"/>
      <c r="Q908" s="23"/>
      <c r="R908" s="23"/>
      <c r="AR908" s="23"/>
      <c r="AS908" s="23"/>
      <c r="AT908" s="23"/>
      <c r="AU908" s="23"/>
    </row>
    <row r="909" spans="8:47" x14ac:dyDescent="0.2">
      <c r="H909" s="23"/>
      <c r="N909" s="6"/>
      <c r="Q909" s="23"/>
      <c r="R909" s="23"/>
      <c r="AR909" s="23"/>
      <c r="AS909" s="23"/>
      <c r="AT909" s="23"/>
      <c r="AU909" s="23"/>
    </row>
    <row r="910" spans="8:47" x14ac:dyDescent="0.2">
      <c r="H910" s="23"/>
      <c r="N910" s="6"/>
      <c r="Q910" s="23"/>
      <c r="R910" s="23"/>
      <c r="AR910" s="23"/>
      <c r="AS910" s="23"/>
      <c r="AT910" s="23"/>
      <c r="AU910" s="23"/>
    </row>
    <row r="911" spans="8:47" x14ac:dyDescent="0.2">
      <c r="H911" s="23"/>
      <c r="N911" s="6"/>
      <c r="Q911" s="23"/>
      <c r="R911" s="23"/>
      <c r="AR911" s="23"/>
      <c r="AS911" s="23"/>
      <c r="AT911" s="23"/>
      <c r="AU911" s="23"/>
    </row>
    <row r="912" spans="8:47" x14ac:dyDescent="0.2">
      <c r="H912" s="23"/>
      <c r="N912" s="6"/>
      <c r="Q912" s="23"/>
      <c r="R912" s="23"/>
      <c r="AR912" s="23"/>
      <c r="AS912" s="23"/>
      <c r="AT912" s="23"/>
      <c r="AU912" s="23"/>
    </row>
    <row r="913" spans="8:47" x14ac:dyDescent="0.2">
      <c r="H913" s="23"/>
      <c r="N913" s="6"/>
      <c r="Q913" s="23"/>
      <c r="R913" s="23"/>
      <c r="AR913" s="23"/>
      <c r="AS913" s="23"/>
      <c r="AT913" s="23"/>
      <c r="AU913" s="23"/>
    </row>
    <row r="914" spans="8:47" x14ac:dyDescent="0.2">
      <c r="H914" s="23"/>
      <c r="N914" s="6"/>
      <c r="Q914" s="23"/>
      <c r="R914" s="23"/>
      <c r="AR914" s="23"/>
      <c r="AS914" s="23"/>
      <c r="AT914" s="23"/>
      <c r="AU914" s="23"/>
    </row>
    <row r="915" spans="8:47" x14ac:dyDescent="0.2">
      <c r="H915" s="23"/>
      <c r="N915" s="6"/>
      <c r="Q915" s="23"/>
      <c r="R915" s="23"/>
      <c r="AR915" s="23"/>
      <c r="AS915" s="23"/>
      <c r="AT915" s="23"/>
      <c r="AU915" s="23"/>
    </row>
    <row r="916" spans="8:47" x14ac:dyDescent="0.2">
      <c r="H916" s="23"/>
      <c r="N916" s="6"/>
      <c r="Q916" s="23"/>
      <c r="R916" s="23"/>
      <c r="AR916" s="23"/>
      <c r="AS916" s="23"/>
      <c r="AT916" s="23"/>
      <c r="AU916" s="23"/>
    </row>
    <row r="917" spans="8:47" x14ac:dyDescent="0.2">
      <c r="H917" s="23"/>
      <c r="N917" s="6"/>
      <c r="Q917" s="23"/>
      <c r="R917" s="23"/>
      <c r="AR917" s="23"/>
      <c r="AS917" s="23"/>
      <c r="AT917" s="23"/>
      <c r="AU917" s="23"/>
    </row>
    <row r="918" spans="8:47" x14ac:dyDescent="0.2">
      <c r="H918" s="23"/>
      <c r="N918" s="6"/>
      <c r="Q918" s="23"/>
      <c r="R918" s="23"/>
      <c r="AR918" s="23"/>
      <c r="AS918" s="23"/>
      <c r="AT918" s="23"/>
      <c r="AU918" s="23"/>
    </row>
    <row r="919" spans="8:47" x14ac:dyDescent="0.2">
      <c r="H919" s="23"/>
      <c r="N919" s="6"/>
      <c r="Q919" s="23"/>
      <c r="R919" s="23"/>
      <c r="AR919" s="23"/>
      <c r="AS919" s="23"/>
      <c r="AT919" s="23"/>
      <c r="AU919" s="23"/>
    </row>
    <row r="920" spans="8:47" x14ac:dyDescent="0.2">
      <c r="H920" s="23"/>
      <c r="N920" s="6"/>
      <c r="Q920" s="23"/>
      <c r="R920" s="23"/>
      <c r="AR920" s="23"/>
      <c r="AS920" s="23"/>
      <c r="AT920" s="23"/>
      <c r="AU920" s="23"/>
    </row>
    <row r="921" spans="8:47" x14ac:dyDescent="0.2">
      <c r="H921" s="23"/>
      <c r="N921" s="6"/>
      <c r="Q921" s="23"/>
      <c r="R921" s="23"/>
      <c r="AR921" s="23"/>
      <c r="AS921" s="23"/>
      <c r="AT921" s="23"/>
      <c r="AU921" s="23"/>
    </row>
    <row r="922" spans="8:47" x14ac:dyDescent="0.2">
      <c r="H922" s="23"/>
      <c r="N922" s="6"/>
      <c r="Q922" s="23"/>
      <c r="R922" s="23"/>
      <c r="AR922" s="23"/>
      <c r="AS922" s="23"/>
      <c r="AT922" s="23"/>
      <c r="AU922" s="23"/>
    </row>
    <row r="923" spans="8:47" x14ac:dyDescent="0.2">
      <c r="H923" s="23"/>
      <c r="N923" s="6"/>
      <c r="Q923" s="23"/>
      <c r="R923" s="23"/>
      <c r="AR923" s="23"/>
      <c r="AS923" s="23"/>
      <c r="AT923" s="23"/>
      <c r="AU923" s="23"/>
    </row>
    <row r="924" spans="8:47" x14ac:dyDescent="0.2">
      <c r="H924" s="23"/>
      <c r="N924" s="6"/>
      <c r="Q924" s="23"/>
      <c r="R924" s="23"/>
      <c r="AR924" s="23"/>
      <c r="AS924" s="23"/>
      <c r="AT924" s="23"/>
      <c r="AU924" s="23"/>
    </row>
    <row r="925" spans="8:47" x14ac:dyDescent="0.2">
      <c r="H925" s="23"/>
      <c r="N925" s="6"/>
      <c r="Q925" s="23"/>
      <c r="R925" s="23"/>
      <c r="AR925" s="23"/>
      <c r="AS925" s="23"/>
      <c r="AT925" s="23"/>
      <c r="AU925" s="23"/>
    </row>
    <row r="926" spans="8:47" x14ac:dyDescent="0.2">
      <c r="H926" s="23"/>
      <c r="N926" s="6"/>
      <c r="Q926" s="23"/>
      <c r="R926" s="23"/>
      <c r="AR926" s="23"/>
      <c r="AS926" s="23"/>
      <c r="AT926" s="23"/>
      <c r="AU926" s="23"/>
    </row>
    <row r="927" spans="8:47" x14ac:dyDescent="0.2">
      <c r="H927" s="23"/>
      <c r="N927" s="6"/>
      <c r="Q927" s="23"/>
      <c r="R927" s="23"/>
      <c r="AR927" s="23"/>
      <c r="AS927" s="23"/>
      <c r="AT927" s="23"/>
      <c r="AU927" s="23"/>
    </row>
    <row r="928" spans="8:47" x14ac:dyDescent="0.2">
      <c r="H928" s="23"/>
      <c r="N928" s="6"/>
      <c r="Q928" s="23"/>
      <c r="R928" s="23"/>
      <c r="AR928" s="23"/>
      <c r="AS928" s="23"/>
      <c r="AT928" s="23"/>
      <c r="AU928" s="23"/>
    </row>
    <row r="929" spans="8:47" x14ac:dyDescent="0.2">
      <c r="H929" s="23"/>
      <c r="N929" s="6"/>
      <c r="Q929" s="23"/>
      <c r="R929" s="23"/>
      <c r="AR929" s="23"/>
      <c r="AS929" s="23"/>
      <c r="AT929" s="23"/>
      <c r="AU929" s="23"/>
    </row>
    <row r="930" spans="8:47" x14ac:dyDescent="0.2">
      <c r="H930" s="23"/>
      <c r="N930" s="6"/>
      <c r="Q930" s="23"/>
      <c r="R930" s="23"/>
      <c r="AT930" s="23"/>
      <c r="AU930" s="23"/>
    </row>
    <row r="931" spans="8:47" x14ac:dyDescent="0.2">
      <c r="H931" s="23"/>
      <c r="N931" s="6"/>
      <c r="Q931" s="23"/>
      <c r="R931" s="23"/>
      <c r="AR931" s="23"/>
      <c r="AS931" s="23"/>
      <c r="AT931" s="23"/>
      <c r="AU931" s="23"/>
    </row>
    <row r="932" spans="8:47" x14ac:dyDescent="0.2">
      <c r="H932" s="23"/>
      <c r="N932" s="6"/>
      <c r="Q932" s="23"/>
      <c r="R932" s="23"/>
      <c r="AR932" s="23"/>
      <c r="AS932" s="23"/>
      <c r="AT932" s="23"/>
    </row>
    <row r="933" spans="8:47" x14ac:dyDescent="0.2">
      <c r="H933" s="23"/>
      <c r="N933" s="6"/>
      <c r="Q933" s="23"/>
      <c r="R933" s="23"/>
      <c r="AR933" s="23"/>
      <c r="AS933" s="23"/>
      <c r="AT933" s="23"/>
      <c r="AU933" s="23"/>
    </row>
    <row r="934" spans="8:47" x14ac:dyDescent="0.2">
      <c r="H934" s="23"/>
      <c r="N934" s="6"/>
      <c r="Q934" s="23"/>
      <c r="R934" s="23"/>
      <c r="AR934" s="23"/>
      <c r="AT934" s="23"/>
      <c r="AU934" s="23"/>
    </row>
    <row r="935" spans="8:47" x14ac:dyDescent="0.2">
      <c r="H935" s="23"/>
      <c r="N935" s="6"/>
      <c r="Q935" s="23"/>
      <c r="R935" s="23"/>
      <c r="AR935" s="23"/>
      <c r="AS935" s="23"/>
      <c r="AT935" s="23"/>
      <c r="AU935" s="23"/>
    </row>
    <row r="936" spans="8:47" x14ac:dyDescent="0.2">
      <c r="H936" s="23"/>
      <c r="N936" s="6"/>
      <c r="Q936" s="23"/>
      <c r="R936" s="23"/>
      <c r="AR936" s="23"/>
      <c r="AS936" s="23"/>
      <c r="AT936" s="23"/>
      <c r="AU936" s="23"/>
    </row>
    <row r="937" spans="8:47" x14ac:dyDescent="0.2">
      <c r="H937" s="23"/>
      <c r="N937" s="6"/>
      <c r="Q937" s="23"/>
      <c r="R937" s="23"/>
      <c r="AR937" s="23"/>
      <c r="AS937" s="23"/>
      <c r="AT937" s="23"/>
      <c r="AU937" s="23"/>
    </row>
    <row r="938" spans="8:47" x14ac:dyDescent="0.2">
      <c r="H938" s="23"/>
      <c r="N938" s="6"/>
      <c r="Q938" s="23"/>
      <c r="R938" s="23"/>
      <c r="AR938" s="23"/>
      <c r="AS938" s="23"/>
      <c r="AT938" s="23"/>
      <c r="AU938" s="23"/>
    </row>
    <row r="939" spans="8:47" x14ac:dyDescent="0.2">
      <c r="H939" s="23"/>
      <c r="N939" s="6"/>
      <c r="Q939" s="23"/>
      <c r="R939" s="23"/>
      <c r="AR939" s="23"/>
      <c r="AS939" s="23"/>
      <c r="AT939" s="23"/>
      <c r="AU939" s="23"/>
    </row>
    <row r="940" spans="8:47" x14ac:dyDescent="0.2">
      <c r="H940" s="23"/>
      <c r="N940" s="6"/>
      <c r="Q940" s="23"/>
      <c r="R940" s="23"/>
      <c r="AR940" s="23"/>
      <c r="AS940" s="23"/>
      <c r="AT940" s="23"/>
      <c r="AU940" s="23"/>
    </row>
    <row r="941" spans="8:47" x14ac:dyDescent="0.2">
      <c r="H941" s="23"/>
      <c r="N941" s="6"/>
      <c r="Q941" s="23"/>
      <c r="R941" s="23"/>
      <c r="AR941" s="23"/>
      <c r="AS941" s="23"/>
      <c r="AT941" s="23"/>
      <c r="AU941" s="23"/>
    </row>
    <row r="942" spans="8:47" x14ac:dyDescent="0.2">
      <c r="H942" s="23"/>
      <c r="N942" s="6"/>
      <c r="Q942" s="23"/>
      <c r="R942" s="23"/>
      <c r="AR942" s="23"/>
      <c r="AT942" s="23"/>
      <c r="AU942" s="23"/>
    </row>
    <row r="943" spans="8:47" x14ac:dyDescent="0.2">
      <c r="H943" s="23"/>
      <c r="N943" s="6"/>
      <c r="Q943" s="23"/>
      <c r="R943" s="23"/>
      <c r="AT943" s="23"/>
      <c r="AU943" s="23"/>
    </row>
    <row r="944" spans="8:47" x14ac:dyDescent="0.2">
      <c r="H944" s="23"/>
      <c r="N944" s="6"/>
      <c r="Q944" s="23"/>
      <c r="R944" s="23"/>
      <c r="AR944" s="23"/>
      <c r="AS944" s="23"/>
      <c r="AT944" s="23"/>
      <c r="AU944" s="23"/>
    </row>
    <row r="945" spans="8:47" x14ac:dyDescent="0.2">
      <c r="H945" s="23"/>
      <c r="N945" s="6"/>
      <c r="Q945" s="23"/>
      <c r="R945" s="23"/>
      <c r="AR945" s="23"/>
      <c r="AS945" s="23"/>
      <c r="AT945" s="23"/>
      <c r="AU945" s="23"/>
    </row>
    <row r="946" spans="8:47" x14ac:dyDescent="0.2">
      <c r="H946" s="23"/>
      <c r="N946" s="6"/>
      <c r="Q946" s="23"/>
      <c r="R946" s="23"/>
      <c r="AR946" s="23"/>
      <c r="AS946" s="23"/>
      <c r="AT946" s="23"/>
      <c r="AU946" s="23"/>
    </row>
    <row r="947" spans="8:47" x14ac:dyDescent="0.2">
      <c r="H947" s="23"/>
      <c r="N947" s="6"/>
      <c r="Q947" s="23"/>
      <c r="R947" s="23"/>
      <c r="AR947" s="23"/>
      <c r="AS947" s="23"/>
      <c r="AT947" s="23"/>
      <c r="AU947" s="23"/>
    </row>
    <row r="948" spans="8:47" x14ac:dyDescent="0.2">
      <c r="H948" s="23"/>
      <c r="N948" s="6"/>
      <c r="Q948" s="23"/>
      <c r="R948" s="23"/>
      <c r="AT948" s="23"/>
      <c r="AU948" s="23"/>
    </row>
    <row r="949" spans="8:47" x14ac:dyDescent="0.2">
      <c r="H949" s="23"/>
      <c r="N949" s="6"/>
      <c r="Q949" s="23"/>
      <c r="R949" s="23"/>
      <c r="AR949" s="23"/>
      <c r="AS949" s="23"/>
      <c r="AT949" s="23"/>
      <c r="AU949" s="23"/>
    </row>
    <row r="950" spans="8:47" x14ac:dyDescent="0.2">
      <c r="H950" s="23"/>
      <c r="N950" s="6"/>
      <c r="Q950" s="23"/>
      <c r="R950" s="23"/>
      <c r="AR950" s="23"/>
      <c r="AS950" s="23"/>
      <c r="AT950" s="23"/>
      <c r="AU950" s="23"/>
    </row>
    <row r="951" spans="8:47" x14ac:dyDescent="0.2">
      <c r="H951" s="23"/>
      <c r="N951" s="6"/>
      <c r="Q951" s="23"/>
      <c r="R951" s="23"/>
      <c r="AR951" s="23"/>
      <c r="AS951" s="23"/>
      <c r="AT951" s="23"/>
      <c r="AU951" s="23"/>
    </row>
    <row r="952" spans="8:47" x14ac:dyDescent="0.2">
      <c r="H952" s="23"/>
      <c r="N952" s="6"/>
      <c r="Q952" s="23"/>
      <c r="R952" s="23"/>
      <c r="AT952" s="23"/>
      <c r="AU952" s="23"/>
    </row>
    <row r="953" spans="8:47" x14ac:dyDescent="0.2">
      <c r="H953" s="23"/>
      <c r="N953" s="6"/>
      <c r="Q953" s="23"/>
      <c r="R953" s="23"/>
      <c r="AR953" s="23"/>
      <c r="AS953" s="23"/>
      <c r="AT953" s="23"/>
      <c r="AU953" s="23"/>
    </row>
    <row r="954" spans="8:47" x14ac:dyDescent="0.2">
      <c r="H954" s="23"/>
      <c r="N954" s="6"/>
      <c r="Q954" s="23"/>
      <c r="R954" s="23"/>
      <c r="AT954" s="23"/>
      <c r="AU954" s="23"/>
    </row>
    <row r="955" spans="8:47" x14ac:dyDescent="0.2">
      <c r="H955" s="23"/>
      <c r="N955" s="6"/>
      <c r="Q955" s="23"/>
      <c r="R955" s="23"/>
      <c r="AR955" s="23"/>
      <c r="AS955" s="23"/>
      <c r="AT955" s="23"/>
      <c r="AU955" s="23"/>
    </row>
    <row r="956" spans="8:47" x14ac:dyDescent="0.2">
      <c r="H956" s="23"/>
      <c r="N956" s="6"/>
      <c r="Q956" s="23"/>
      <c r="R956" s="23"/>
      <c r="AR956" s="23"/>
      <c r="AS956" s="23"/>
      <c r="AT956" s="23"/>
      <c r="AU956" s="23"/>
    </row>
    <row r="957" spans="8:47" x14ac:dyDescent="0.2">
      <c r="H957" s="23"/>
      <c r="N957" s="6"/>
      <c r="Q957" s="23"/>
      <c r="R957" s="23"/>
      <c r="AR957" s="23"/>
      <c r="AS957" s="23"/>
      <c r="AT957" s="23"/>
      <c r="AU957" s="23"/>
    </row>
    <row r="958" spans="8:47" x14ac:dyDescent="0.2">
      <c r="H958" s="23"/>
      <c r="N958" s="6"/>
      <c r="Q958" s="23"/>
      <c r="R958" s="23"/>
      <c r="AR958" s="23"/>
      <c r="AT958" s="23"/>
      <c r="AU958" s="23"/>
    </row>
    <row r="959" spans="8:47" x14ac:dyDescent="0.2">
      <c r="H959" s="23"/>
      <c r="N959" s="6"/>
      <c r="Q959" s="23"/>
      <c r="R959" s="23"/>
      <c r="AT959" s="23"/>
      <c r="AU959" s="23"/>
    </row>
    <row r="960" spans="8:47" x14ac:dyDescent="0.2">
      <c r="H960" s="23"/>
      <c r="N960" s="6"/>
      <c r="Q960" s="23"/>
      <c r="R960" s="23"/>
      <c r="AR960" s="23"/>
      <c r="AS960" s="23"/>
      <c r="AT960" s="23"/>
      <c r="AU960" s="23"/>
    </row>
    <row r="961" spans="8:47" x14ac:dyDescent="0.2">
      <c r="H961" s="23"/>
      <c r="N961" s="6"/>
      <c r="Q961" s="23"/>
      <c r="R961" s="23"/>
      <c r="AR961" s="23"/>
      <c r="AS961" s="23"/>
      <c r="AT961" s="23"/>
      <c r="AU961" s="23"/>
    </row>
    <row r="962" spans="8:47" x14ac:dyDescent="0.2">
      <c r="H962" s="23"/>
      <c r="N962" s="6"/>
      <c r="Q962" s="23"/>
      <c r="R962" s="23"/>
      <c r="AR962" s="23"/>
      <c r="AS962" s="23"/>
      <c r="AT962" s="23"/>
      <c r="AU962" s="23"/>
    </row>
    <row r="963" spans="8:47" x14ac:dyDescent="0.2">
      <c r="H963" s="23"/>
      <c r="N963" s="6"/>
      <c r="Q963" s="23"/>
      <c r="R963" s="23"/>
      <c r="AR963" s="23"/>
      <c r="AT963" s="23"/>
      <c r="AU963" s="23"/>
    </row>
    <row r="964" spans="8:47" x14ac:dyDescent="0.2">
      <c r="H964" s="23"/>
      <c r="N964" s="6"/>
      <c r="Q964" s="23"/>
      <c r="R964" s="23"/>
      <c r="AR964" s="23"/>
      <c r="AS964" s="23"/>
      <c r="AT964" s="23"/>
      <c r="AU964" s="23"/>
    </row>
    <row r="965" spans="8:47" x14ac:dyDescent="0.2">
      <c r="H965" s="23"/>
      <c r="N965" s="6"/>
      <c r="Q965" s="23"/>
      <c r="R965" s="23"/>
      <c r="AR965" s="23"/>
      <c r="AS965" s="23"/>
      <c r="AT965" s="23"/>
      <c r="AU965" s="23"/>
    </row>
    <row r="966" spans="8:47" x14ac:dyDescent="0.2">
      <c r="H966" s="23"/>
      <c r="N966" s="6"/>
      <c r="Q966" s="23"/>
      <c r="R966" s="23"/>
      <c r="AR966" s="23"/>
      <c r="AS966" s="23"/>
      <c r="AT966" s="23"/>
      <c r="AU966" s="23"/>
    </row>
    <row r="967" spans="8:47" x14ac:dyDescent="0.2">
      <c r="H967" s="23"/>
      <c r="N967" s="6"/>
      <c r="Q967" s="23"/>
      <c r="R967" s="23"/>
      <c r="AR967" s="23"/>
      <c r="AS967" s="23"/>
      <c r="AT967" s="23"/>
      <c r="AU967" s="23"/>
    </row>
    <row r="968" spans="8:47" x14ac:dyDescent="0.2">
      <c r="H968" s="23"/>
      <c r="N968" s="6"/>
      <c r="Q968" s="23"/>
      <c r="R968" s="23"/>
      <c r="AR968" s="23"/>
      <c r="AS968" s="23"/>
      <c r="AT968" s="23"/>
      <c r="AU968" s="23"/>
    </row>
    <row r="969" spans="8:47" x14ac:dyDescent="0.2">
      <c r="H969" s="23"/>
      <c r="N969" s="6"/>
      <c r="Q969" s="23"/>
      <c r="R969" s="23"/>
      <c r="AR969" s="23"/>
      <c r="AS969" s="23"/>
      <c r="AT969" s="23"/>
      <c r="AU969" s="23"/>
    </row>
    <row r="970" spans="8:47" x14ac:dyDescent="0.2">
      <c r="H970" s="23"/>
      <c r="N970" s="6"/>
      <c r="Q970" s="23"/>
      <c r="R970" s="23"/>
      <c r="AT970" s="23"/>
      <c r="AU970" s="23"/>
    </row>
    <row r="971" spans="8:47" x14ac:dyDescent="0.2">
      <c r="H971" s="23"/>
      <c r="N971" s="6"/>
      <c r="Q971" s="23"/>
      <c r="R971" s="23"/>
      <c r="AR971" s="23"/>
      <c r="AS971" s="23"/>
      <c r="AT971" s="23"/>
      <c r="AU971" s="23"/>
    </row>
    <row r="972" spans="8:47" x14ac:dyDescent="0.2">
      <c r="H972" s="23"/>
      <c r="N972" s="6"/>
      <c r="Q972" s="23"/>
      <c r="R972" s="23"/>
      <c r="AT972" s="23"/>
      <c r="AU972" s="23"/>
    </row>
    <row r="973" spans="8:47" x14ac:dyDescent="0.2">
      <c r="H973" s="23"/>
      <c r="N973" s="6"/>
      <c r="Q973" s="23"/>
      <c r="R973" s="23"/>
      <c r="AR973" s="23"/>
      <c r="AS973" s="23"/>
      <c r="AT973" s="23"/>
      <c r="AU973" s="23"/>
    </row>
    <row r="974" spans="8:47" x14ac:dyDescent="0.2">
      <c r="H974" s="23"/>
      <c r="N974" s="6"/>
      <c r="Q974" s="23"/>
      <c r="R974" s="23"/>
      <c r="AR974" s="23"/>
      <c r="AS974" s="23"/>
      <c r="AT974" s="23"/>
      <c r="AU974" s="23"/>
    </row>
    <row r="975" spans="8:47" x14ac:dyDescent="0.2">
      <c r="H975" s="23"/>
      <c r="N975" s="6"/>
      <c r="Q975" s="23"/>
      <c r="R975" s="23"/>
      <c r="AR975" s="23"/>
      <c r="AS975" s="23"/>
      <c r="AT975" s="23"/>
      <c r="AU975" s="23"/>
    </row>
    <row r="976" spans="8:47" x14ac:dyDescent="0.2">
      <c r="H976" s="23"/>
      <c r="N976" s="6"/>
      <c r="Q976" s="23"/>
      <c r="R976" s="23"/>
      <c r="AR976" s="23"/>
      <c r="AS976" s="23"/>
      <c r="AT976" s="23"/>
      <c r="AU976" s="23"/>
    </row>
    <row r="977" spans="8:47" x14ac:dyDescent="0.2">
      <c r="H977" s="23"/>
      <c r="N977" s="6"/>
      <c r="Q977" s="23"/>
      <c r="R977" s="23"/>
      <c r="AR977" s="23"/>
      <c r="AS977" s="23"/>
      <c r="AT977" s="23"/>
      <c r="AU977" s="23"/>
    </row>
    <row r="978" spans="8:47" x14ac:dyDescent="0.2">
      <c r="H978" s="23"/>
      <c r="N978" s="6"/>
      <c r="Q978" s="23"/>
      <c r="R978" s="23"/>
      <c r="AR978" s="23"/>
      <c r="AS978" s="23"/>
      <c r="AT978" s="23"/>
      <c r="AU978" s="23"/>
    </row>
    <row r="979" spans="8:47" x14ac:dyDescent="0.2">
      <c r="H979" s="23"/>
      <c r="N979" s="6"/>
      <c r="Q979" s="23"/>
      <c r="R979" s="23"/>
      <c r="AR979" s="23"/>
      <c r="AS979" s="23"/>
      <c r="AT979" s="23"/>
      <c r="AU979" s="23"/>
    </row>
    <row r="980" spans="8:47" x14ac:dyDescent="0.2">
      <c r="H980" s="23"/>
      <c r="N980" s="6"/>
      <c r="Q980" s="23"/>
      <c r="R980" s="23"/>
      <c r="AR980" s="23"/>
      <c r="AT980" s="23"/>
      <c r="AU980" s="23"/>
    </row>
    <row r="981" spans="8:47" x14ac:dyDescent="0.2">
      <c r="H981" s="23"/>
      <c r="N981" s="6"/>
      <c r="Q981" s="23"/>
      <c r="R981" s="23"/>
      <c r="AT981" s="23"/>
      <c r="AU981" s="23"/>
    </row>
    <row r="982" spans="8:47" x14ac:dyDescent="0.2">
      <c r="H982" s="23"/>
      <c r="N982" s="6"/>
      <c r="Q982" s="23"/>
      <c r="R982" s="23"/>
      <c r="AT982" s="23"/>
      <c r="AU982" s="23"/>
    </row>
    <row r="983" spans="8:47" x14ac:dyDescent="0.2">
      <c r="H983" s="23"/>
      <c r="N983" s="6"/>
      <c r="Q983" s="23"/>
      <c r="R983" s="23"/>
      <c r="AR983" s="23"/>
      <c r="AS983" s="23"/>
      <c r="AT983" s="23"/>
      <c r="AU983" s="23"/>
    </row>
    <row r="984" spans="8:47" x14ac:dyDescent="0.2">
      <c r="H984" s="23"/>
      <c r="N984" s="6"/>
      <c r="Q984" s="23"/>
      <c r="R984" s="23"/>
      <c r="AT984" s="23"/>
      <c r="AU984" s="23"/>
    </row>
    <row r="985" spans="8:47" x14ac:dyDescent="0.2">
      <c r="H985" s="23"/>
      <c r="N985" s="6"/>
      <c r="Q985" s="23"/>
      <c r="R985" s="23"/>
      <c r="AR985" s="23"/>
      <c r="AS985" s="23"/>
      <c r="AT985" s="23"/>
      <c r="AU985" s="23"/>
    </row>
    <row r="986" spans="8:47" x14ac:dyDescent="0.2">
      <c r="H986" s="23"/>
      <c r="N986" s="6"/>
      <c r="Q986" s="23"/>
      <c r="R986" s="23"/>
      <c r="AR986" s="23"/>
      <c r="AS986" s="23"/>
      <c r="AT986" s="23"/>
      <c r="AU986" s="23"/>
    </row>
    <row r="987" spans="8:47" x14ac:dyDescent="0.2">
      <c r="H987" s="23"/>
      <c r="N987" s="6"/>
      <c r="Q987" s="23"/>
      <c r="R987" s="23"/>
      <c r="AR987" s="23"/>
      <c r="AS987" s="23"/>
      <c r="AT987" s="23"/>
      <c r="AU987" s="23"/>
    </row>
    <row r="988" spans="8:47" x14ac:dyDescent="0.2">
      <c r="H988" s="23"/>
      <c r="N988" s="6"/>
      <c r="Q988" s="23"/>
      <c r="R988" s="23"/>
      <c r="AR988" s="23"/>
      <c r="AS988" s="23"/>
      <c r="AT988" s="23"/>
      <c r="AU988" s="23"/>
    </row>
    <row r="989" spans="8:47" x14ac:dyDescent="0.2">
      <c r="H989" s="23"/>
      <c r="N989" s="6"/>
      <c r="Q989" s="23"/>
      <c r="R989" s="23"/>
      <c r="AR989" s="23"/>
      <c r="AS989" s="23"/>
      <c r="AT989" s="23"/>
      <c r="AU989" s="23"/>
    </row>
    <row r="990" spans="8:47" x14ac:dyDescent="0.2">
      <c r="H990" s="23"/>
      <c r="N990" s="6"/>
      <c r="Q990" s="23"/>
      <c r="R990" s="23"/>
      <c r="AR990" s="23"/>
      <c r="AS990" s="23"/>
      <c r="AT990" s="23"/>
      <c r="AU990" s="23"/>
    </row>
    <row r="991" spans="8:47" x14ac:dyDescent="0.2">
      <c r="H991" s="23"/>
      <c r="N991" s="6"/>
      <c r="Q991" s="23"/>
      <c r="R991" s="23"/>
      <c r="AR991" s="23"/>
      <c r="AS991" s="23"/>
      <c r="AT991" s="23"/>
      <c r="AU991" s="23"/>
    </row>
    <row r="992" spans="8:47" x14ac:dyDescent="0.2">
      <c r="H992" s="23"/>
      <c r="N992" s="6"/>
      <c r="Q992" s="23"/>
      <c r="R992" s="23"/>
      <c r="AR992" s="23"/>
      <c r="AS992" s="23"/>
      <c r="AT992" s="23"/>
      <c r="AU992" s="23"/>
    </row>
    <row r="993" spans="8:47" x14ac:dyDescent="0.2">
      <c r="H993" s="23"/>
      <c r="N993" s="6"/>
      <c r="Q993" s="23"/>
      <c r="R993" s="23"/>
      <c r="AT993" s="23"/>
      <c r="AU993" s="23"/>
    </row>
    <row r="994" spans="8:47" x14ac:dyDescent="0.2">
      <c r="H994" s="23"/>
      <c r="N994" s="6"/>
      <c r="Q994" s="23"/>
      <c r="R994" s="23"/>
      <c r="AR994" s="23"/>
      <c r="AS994" s="23"/>
      <c r="AT994" s="23"/>
      <c r="AU994" s="23"/>
    </row>
    <row r="995" spans="8:47" x14ac:dyDescent="0.2">
      <c r="H995" s="23"/>
      <c r="N995" s="6"/>
      <c r="Q995" s="23"/>
      <c r="R995" s="23"/>
      <c r="AR995" s="23"/>
      <c r="AS995" s="23"/>
      <c r="AT995" s="23"/>
      <c r="AU995" s="23"/>
    </row>
    <row r="996" spans="8:47" x14ac:dyDescent="0.2">
      <c r="H996" s="23"/>
      <c r="N996" s="6"/>
      <c r="Q996" s="23"/>
      <c r="R996" s="23"/>
      <c r="AR996" s="23"/>
      <c r="AS996" s="23"/>
      <c r="AT996" s="23"/>
      <c r="AU996" s="23"/>
    </row>
    <row r="997" spans="8:47" x14ac:dyDescent="0.2">
      <c r="H997" s="23"/>
      <c r="N997" s="6"/>
      <c r="Q997" s="23"/>
      <c r="R997" s="23"/>
      <c r="AR997" s="23"/>
      <c r="AS997" s="23"/>
      <c r="AT997" s="23"/>
      <c r="AU997" s="23"/>
    </row>
    <row r="998" spans="8:47" x14ac:dyDescent="0.2">
      <c r="H998" s="23"/>
      <c r="N998" s="6"/>
      <c r="Q998" s="23"/>
      <c r="R998" s="23"/>
      <c r="AR998" s="23"/>
      <c r="AS998" s="23"/>
      <c r="AT998" s="23"/>
      <c r="AU998" s="23"/>
    </row>
    <row r="999" spans="8:47" x14ac:dyDescent="0.2">
      <c r="H999" s="23"/>
      <c r="N999" s="6"/>
      <c r="Q999" s="23"/>
      <c r="R999" s="23"/>
      <c r="AR999" s="23"/>
      <c r="AS999" s="23"/>
      <c r="AT999" s="23"/>
      <c r="AU999" s="23"/>
    </row>
    <row r="1000" spans="8:47" x14ac:dyDescent="0.2">
      <c r="H1000" s="23"/>
      <c r="N1000" s="6"/>
      <c r="Q1000" s="23"/>
      <c r="R1000" s="23"/>
      <c r="AR1000" s="23"/>
      <c r="AS1000" s="23"/>
      <c r="AT1000" s="23"/>
      <c r="AU1000" s="23"/>
    </row>
    <row r="1001" spans="8:47" x14ac:dyDescent="0.2">
      <c r="H1001" s="23"/>
      <c r="N1001" s="6"/>
      <c r="Q1001" s="23"/>
      <c r="R1001" s="23"/>
      <c r="AR1001" s="23"/>
      <c r="AS1001" s="23"/>
      <c r="AT1001" s="23"/>
      <c r="AU1001" s="23"/>
    </row>
    <row r="1002" spans="8:47" x14ac:dyDescent="0.2">
      <c r="H1002" s="23"/>
      <c r="N1002" s="6"/>
      <c r="Q1002" s="23"/>
      <c r="R1002" s="23"/>
      <c r="AR1002" s="23"/>
      <c r="AS1002" s="23"/>
      <c r="AT1002" s="23"/>
      <c r="AU1002" s="23"/>
    </row>
    <row r="1003" spans="8:47" x14ac:dyDescent="0.2">
      <c r="H1003" s="23"/>
      <c r="N1003" s="6"/>
      <c r="Q1003" s="23"/>
      <c r="R1003" s="23"/>
      <c r="AR1003" s="23"/>
      <c r="AS1003" s="23"/>
      <c r="AT1003" s="23"/>
      <c r="AU1003" s="23"/>
    </row>
    <row r="1004" spans="8:47" x14ac:dyDescent="0.2">
      <c r="H1004" s="23"/>
      <c r="N1004" s="6"/>
      <c r="Q1004" s="23"/>
      <c r="R1004" s="23"/>
      <c r="AR1004" s="23"/>
      <c r="AS1004" s="23"/>
      <c r="AT1004" s="23"/>
      <c r="AU1004" s="23"/>
    </row>
    <row r="1005" spans="8:47" x14ac:dyDescent="0.2">
      <c r="H1005" s="23"/>
      <c r="N1005" s="6"/>
      <c r="Q1005" s="23"/>
      <c r="R1005" s="23"/>
      <c r="AR1005" s="23"/>
      <c r="AS1005" s="23"/>
      <c r="AT1005" s="23"/>
      <c r="AU1005" s="23"/>
    </row>
    <row r="1006" spans="8:47" x14ac:dyDescent="0.2">
      <c r="H1006" s="23"/>
      <c r="N1006" s="6"/>
      <c r="Q1006" s="23"/>
      <c r="R1006" s="23"/>
      <c r="AR1006" s="23"/>
      <c r="AS1006" s="23"/>
      <c r="AT1006" s="23"/>
      <c r="AU1006" s="23"/>
    </row>
    <row r="1007" spans="8:47" x14ac:dyDescent="0.2">
      <c r="H1007" s="23"/>
      <c r="N1007" s="6"/>
      <c r="Q1007" s="23"/>
      <c r="R1007" s="23"/>
      <c r="AR1007" s="23"/>
      <c r="AS1007" s="23"/>
      <c r="AT1007" s="23"/>
      <c r="AU1007" s="23"/>
    </row>
    <row r="1008" spans="8:47" x14ac:dyDescent="0.2">
      <c r="H1008" s="23"/>
      <c r="N1008" s="6"/>
      <c r="Q1008" s="23"/>
      <c r="R1008" s="23"/>
      <c r="AR1008" s="23"/>
      <c r="AT1008" s="23"/>
      <c r="AU1008" s="23"/>
    </row>
    <row r="1009" spans="8:47" x14ac:dyDescent="0.2">
      <c r="H1009" s="23"/>
      <c r="N1009" s="6"/>
      <c r="Q1009" s="23"/>
      <c r="R1009" s="23"/>
      <c r="AR1009" s="23"/>
      <c r="AS1009" s="23"/>
      <c r="AT1009" s="23"/>
      <c r="AU1009" s="23"/>
    </row>
    <row r="1010" spans="8:47" x14ac:dyDescent="0.2">
      <c r="H1010" s="23"/>
      <c r="N1010" s="6"/>
      <c r="Q1010" s="23"/>
      <c r="R1010" s="23"/>
      <c r="AR1010" s="23"/>
      <c r="AS1010" s="23"/>
      <c r="AT1010" s="23"/>
      <c r="AU1010" s="23"/>
    </row>
    <row r="1011" spans="8:47" x14ac:dyDescent="0.2">
      <c r="H1011" s="23"/>
      <c r="N1011" s="6"/>
      <c r="Q1011" s="23"/>
      <c r="R1011" s="23"/>
      <c r="AR1011" s="23"/>
      <c r="AS1011" s="23"/>
      <c r="AT1011" s="23"/>
      <c r="AU1011" s="23"/>
    </row>
    <row r="1012" spans="8:47" x14ac:dyDescent="0.2">
      <c r="H1012" s="23"/>
      <c r="N1012" s="6"/>
      <c r="Q1012" s="23"/>
      <c r="R1012" s="23"/>
      <c r="AR1012" s="23"/>
      <c r="AS1012" s="23"/>
      <c r="AT1012" s="23"/>
      <c r="AU1012" s="23"/>
    </row>
    <row r="1013" spans="8:47" x14ac:dyDescent="0.2">
      <c r="H1013" s="23"/>
      <c r="N1013" s="6"/>
      <c r="Q1013" s="23"/>
      <c r="R1013" s="23"/>
      <c r="AR1013" s="23"/>
      <c r="AS1013" s="23"/>
      <c r="AT1013" s="23"/>
      <c r="AU1013" s="23"/>
    </row>
    <row r="1014" spans="8:47" x14ac:dyDescent="0.2">
      <c r="H1014" s="23"/>
      <c r="N1014" s="6"/>
      <c r="Q1014" s="23"/>
      <c r="R1014" s="23"/>
      <c r="AR1014" s="23"/>
      <c r="AS1014" s="23"/>
      <c r="AT1014" s="23"/>
      <c r="AU1014" s="23"/>
    </row>
    <row r="1015" spans="8:47" x14ac:dyDescent="0.2">
      <c r="H1015" s="23"/>
      <c r="N1015" s="6"/>
      <c r="Q1015" s="23"/>
      <c r="R1015" s="23"/>
      <c r="AR1015" s="23"/>
      <c r="AS1015" s="23"/>
      <c r="AT1015" s="23"/>
      <c r="AU1015" s="23"/>
    </row>
    <row r="1016" spans="8:47" x14ac:dyDescent="0.2">
      <c r="H1016" s="23"/>
      <c r="N1016" s="6"/>
      <c r="Q1016" s="23"/>
      <c r="R1016" s="23"/>
      <c r="AT1016" s="23"/>
      <c r="AU1016" s="23"/>
    </row>
    <row r="1017" spans="8:47" x14ac:dyDescent="0.2">
      <c r="H1017" s="23"/>
      <c r="N1017" s="6"/>
      <c r="Q1017" s="23"/>
      <c r="R1017" s="23"/>
      <c r="AR1017" s="23"/>
      <c r="AS1017" s="23"/>
      <c r="AT1017" s="23"/>
      <c r="AU1017" s="23"/>
    </row>
    <row r="1018" spans="8:47" x14ac:dyDescent="0.2">
      <c r="H1018" s="23"/>
      <c r="N1018" s="6"/>
      <c r="Q1018" s="23"/>
      <c r="R1018" s="23"/>
      <c r="AR1018" s="23"/>
      <c r="AS1018" s="23"/>
      <c r="AT1018" s="23"/>
      <c r="AU1018" s="23"/>
    </row>
    <row r="1019" spans="8:47" x14ac:dyDescent="0.2">
      <c r="H1019" s="23"/>
      <c r="N1019" s="6"/>
      <c r="Q1019" s="23"/>
      <c r="R1019" s="23"/>
      <c r="AR1019" s="23"/>
      <c r="AS1019" s="23"/>
      <c r="AT1019" s="23"/>
      <c r="AU1019" s="23"/>
    </row>
    <row r="1020" spans="8:47" x14ac:dyDescent="0.2">
      <c r="H1020" s="23"/>
      <c r="N1020" s="6"/>
      <c r="Q1020" s="23"/>
      <c r="R1020" s="23"/>
      <c r="AT1020" s="23"/>
      <c r="AU1020" s="23"/>
    </row>
    <row r="1021" spans="8:47" x14ac:dyDescent="0.2">
      <c r="H1021" s="23"/>
      <c r="N1021" s="6"/>
      <c r="Q1021" s="23"/>
      <c r="R1021" s="23"/>
      <c r="AR1021" s="23"/>
      <c r="AT1021" s="23"/>
      <c r="AU1021" s="23"/>
    </row>
    <row r="1022" spans="8:47" x14ac:dyDescent="0.2">
      <c r="H1022" s="23"/>
      <c r="N1022" s="6"/>
      <c r="Q1022" s="23"/>
      <c r="R1022" s="23"/>
      <c r="AR1022" s="23"/>
      <c r="AS1022" s="23"/>
      <c r="AT1022" s="23"/>
      <c r="AU1022" s="23"/>
    </row>
    <row r="1023" spans="8:47" x14ac:dyDescent="0.2">
      <c r="H1023" s="23"/>
      <c r="N1023" s="6"/>
      <c r="Q1023" s="23"/>
      <c r="R1023" s="23"/>
      <c r="AR1023" s="23"/>
      <c r="AS1023" s="23"/>
      <c r="AT1023" s="23"/>
      <c r="AU1023" s="23"/>
    </row>
    <row r="1024" spans="8:47" x14ac:dyDescent="0.2">
      <c r="H1024" s="23"/>
      <c r="N1024" s="6"/>
      <c r="Q1024" s="23"/>
      <c r="R1024" s="23"/>
      <c r="AR1024" s="23"/>
      <c r="AS1024" s="23"/>
      <c r="AT1024" s="23"/>
      <c r="AU1024" s="23"/>
    </row>
    <row r="1025" spans="8:47" x14ac:dyDescent="0.2">
      <c r="H1025" s="23"/>
      <c r="N1025" s="6"/>
      <c r="Q1025" s="23"/>
      <c r="R1025" s="23"/>
      <c r="AR1025" s="23"/>
      <c r="AS1025" s="23"/>
      <c r="AT1025" s="23"/>
      <c r="AU1025" s="23"/>
    </row>
    <row r="1026" spans="8:47" x14ac:dyDescent="0.2">
      <c r="H1026" s="23"/>
      <c r="N1026" s="6"/>
      <c r="Q1026" s="23"/>
      <c r="R1026" s="23"/>
      <c r="AR1026" s="23"/>
      <c r="AS1026" s="23"/>
      <c r="AT1026" s="23"/>
      <c r="AU1026" s="23"/>
    </row>
    <row r="1027" spans="8:47" x14ac:dyDescent="0.2">
      <c r="H1027" s="23"/>
      <c r="N1027" s="6"/>
      <c r="Q1027" s="23"/>
      <c r="R1027" s="23"/>
      <c r="AT1027" s="23"/>
      <c r="AU1027" s="23"/>
    </row>
    <row r="1028" spans="8:47" x14ac:dyDescent="0.2">
      <c r="H1028" s="23"/>
      <c r="N1028" s="6"/>
      <c r="Q1028" s="23"/>
      <c r="R1028" s="23"/>
      <c r="AR1028" s="23"/>
      <c r="AS1028" s="23"/>
      <c r="AT1028" s="23"/>
      <c r="AU1028" s="23"/>
    </row>
    <row r="1029" spans="8:47" x14ac:dyDescent="0.2">
      <c r="H1029" s="23"/>
      <c r="N1029" s="6"/>
      <c r="Q1029" s="23"/>
      <c r="R1029" s="23"/>
      <c r="AR1029" s="23"/>
      <c r="AS1029" s="23"/>
      <c r="AT1029" s="23"/>
      <c r="AU1029" s="23"/>
    </row>
    <row r="1030" spans="8:47" x14ac:dyDescent="0.2">
      <c r="H1030" s="23"/>
      <c r="N1030" s="6"/>
      <c r="Q1030" s="23"/>
      <c r="R1030" s="23"/>
      <c r="AT1030" s="23"/>
      <c r="AU1030" s="23"/>
    </row>
    <row r="1031" spans="8:47" x14ac:dyDescent="0.2">
      <c r="H1031" s="23"/>
      <c r="N1031" s="6"/>
      <c r="Q1031" s="23"/>
      <c r="R1031" s="23"/>
      <c r="AR1031" s="23"/>
      <c r="AS1031" s="23"/>
      <c r="AT1031" s="23"/>
      <c r="AU1031" s="23"/>
    </row>
    <row r="1032" spans="8:47" x14ac:dyDescent="0.2">
      <c r="H1032" s="23"/>
      <c r="N1032" s="6"/>
      <c r="Q1032" s="23"/>
      <c r="R1032" s="23"/>
      <c r="AR1032" s="23"/>
      <c r="AS1032" s="23"/>
      <c r="AT1032" s="23"/>
      <c r="AU1032" s="23"/>
    </row>
    <row r="1033" spans="8:47" x14ac:dyDescent="0.2">
      <c r="H1033" s="23"/>
      <c r="N1033" s="6"/>
      <c r="Q1033" s="23"/>
      <c r="R1033" s="23"/>
      <c r="AR1033" s="23"/>
      <c r="AS1033" s="23"/>
      <c r="AT1033" s="23"/>
      <c r="AU1033" s="23"/>
    </row>
    <row r="1034" spans="8:47" x14ac:dyDescent="0.2">
      <c r="H1034" s="23"/>
      <c r="N1034" s="6"/>
      <c r="Q1034" s="23"/>
      <c r="R1034" s="23"/>
      <c r="AR1034" s="23"/>
      <c r="AS1034" s="23"/>
      <c r="AT1034" s="23"/>
      <c r="AU1034" s="23"/>
    </row>
    <row r="1035" spans="8:47" x14ac:dyDescent="0.2">
      <c r="H1035" s="23"/>
      <c r="N1035" s="6"/>
      <c r="Q1035" s="23"/>
      <c r="R1035" s="23"/>
      <c r="AR1035" s="23"/>
      <c r="AT1035" s="23"/>
      <c r="AU1035" s="23"/>
    </row>
    <row r="1036" spans="8:47" x14ac:dyDescent="0.2">
      <c r="H1036" s="23"/>
      <c r="N1036" s="6"/>
      <c r="Q1036" s="23"/>
      <c r="R1036" s="23"/>
      <c r="AR1036" s="23"/>
      <c r="AS1036" s="23"/>
      <c r="AT1036" s="23"/>
      <c r="AU1036" s="23"/>
    </row>
    <row r="1037" spans="8:47" x14ac:dyDescent="0.2">
      <c r="H1037" s="23"/>
      <c r="N1037" s="6"/>
      <c r="Q1037" s="23"/>
      <c r="R1037" s="23"/>
      <c r="AR1037" s="23"/>
      <c r="AS1037" s="23"/>
      <c r="AT1037" s="23"/>
      <c r="AU1037" s="23"/>
    </row>
    <row r="1038" spans="8:47" x14ac:dyDescent="0.2">
      <c r="H1038" s="23"/>
      <c r="N1038" s="6"/>
      <c r="Q1038" s="23"/>
      <c r="R1038" s="23"/>
      <c r="AR1038" s="23"/>
      <c r="AS1038" s="23"/>
      <c r="AT1038" s="23"/>
      <c r="AU1038" s="23"/>
    </row>
    <row r="1039" spans="8:47" x14ac:dyDescent="0.2">
      <c r="H1039" s="23"/>
      <c r="N1039" s="6"/>
      <c r="Q1039" s="23"/>
      <c r="R1039" s="23"/>
      <c r="AR1039" s="23"/>
      <c r="AS1039" s="23"/>
      <c r="AT1039" s="23"/>
      <c r="AU1039" s="23"/>
    </row>
    <row r="1040" spans="8:47" x14ac:dyDescent="0.2">
      <c r="H1040" s="23"/>
      <c r="N1040" s="6"/>
      <c r="Q1040" s="23"/>
      <c r="R1040" s="23"/>
      <c r="AR1040" s="23"/>
      <c r="AS1040" s="23"/>
      <c r="AT1040" s="23"/>
      <c r="AU1040" s="23"/>
    </row>
    <row r="1041" spans="8:47" x14ac:dyDescent="0.2">
      <c r="H1041" s="23"/>
      <c r="N1041" s="6"/>
      <c r="Q1041" s="23"/>
      <c r="R1041" s="23"/>
      <c r="AR1041" s="23"/>
      <c r="AS1041" s="23"/>
      <c r="AT1041" s="23"/>
      <c r="AU1041" s="23"/>
    </row>
    <row r="1042" spans="8:47" x14ac:dyDescent="0.2">
      <c r="H1042" s="23"/>
      <c r="N1042" s="6"/>
      <c r="Q1042" s="23"/>
      <c r="R1042" s="23"/>
      <c r="AR1042" s="23"/>
      <c r="AS1042" s="23"/>
      <c r="AT1042" s="23"/>
      <c r="AU1042" s="23"/>
    </row>
    <row r="1043" spans="8:47" x14ac:dyDescent="0.2">
      <c r="H1043" s="23"/>
      <c r="N1043" s="6"/>
      <c r="Q1043" s="23"/>
      <c r="R1043" s="23"/>
      <c r="AR1043" s="23"/>
      <c r="AS1043" s="23"/>
      <c r="AT1043" s="23"/>
      <c r="AU1043" s="23"/>
    </row>
    <row r="1044" spans="8:47" x14ac:dyDescent="0.2">
      <c r="H1044" s="23"/>
      <c r="N1044" s="6"/>
      <c r="Q1044" s="23"/>
      <c r="R1044" s="23"/>
      <c r="AR1044" s="23"/>
      <c r="AS1044" s="23"/>
      <c r="AT1044" s="23"/>
      <c r="AU1044" s="23"/>
    </row>
    <row r="1045" spans="8:47" x14ac:dyDescent="0.2">
      <c r="H1045" s="23"/>
      <c r="N1045" s="6"/>
      <c r="Q1045" s="23"/>
      <c r="R1045" s="23"/>
      <c r="AR1045" s="23"/>
      <c r="AT1045" s="23"/>
      <c r="AU1045" s="23"/>
    </row>
    <row r="1046" spans="8:47" x14ac:dyDescent="0.2">
      <c r="H1046" s="23"/>
      <c r="N1046" s="6"/>
      <c r="Q1046" s="23"/>
      <c r="R1046" s="23"/>
      <c r="AR1046" s="23"/>
      <c r="AS1046" s="23"/>
      <c r="AT1046" s="23"/>
      <c r="AU1046" s="23"/>
    </row>
    <row r="1047" spans="8:47" x14ac:dyDescent="0.2">
      <c r="H1047" s="23"/>
      <c r="N1047" s="6"/>
      <c r="Q1047" s="23"/>
      <c r="R1047" s="23"/>
      <c r="AR1047" s="23"/>
      <c r="AT1047" s="23"/>
      <c r="AU1047" s="23"/>
    </row>
    <row r="1048" spans="8:47" x14ac:dyDescent="0.2">
      <c r="H1048" s="23"/>
      <c r="N1048" s="6"/>
      <c r="Q1048" s="23"/>
      <c r="R1048" s="23"/>
      <c r="AR1048" s="23"/>
      <c r="AS1048" s="23"/>
      <c r="AT1048" s="23"/>
      <c r="AU1048" s="23"/>
    </row>
    <row r="1049" spans="8:47" x14ac:dyDescent="0.2">
      <c r="H1049" s="23"/>
      <c r="N1049" s="6"/>
      <c r="Q1049" s="23"/>
      <c r="R1049" s="23"/>
      <c r="AR1049" s="23"/>
      <c r="AS1049" s="23"/>
      <c r="AT1049" s="23"/>
      <c r="AU1049" s="23"/>
    </row>
    <row r="1050" spans="8:47" x14ac:dyDescent="0.2">
      <c r="H1050" s="23"/>
      <c r="N1050" s="6"/>
      <c r="Q1050" s="23"/>
      <c r="R1050" s="23"/>
    </row>
    <row r="1051" spans="8:47" x14ac:dyDescent="0.2">
      <c r="H1051" s="23"/>
      <c r="N1051" s="6"/>
      <c r="Q1051" s="23"/>
      <c r="R1051" s="23"/>
    </row>
    <row r="1052" spans="8:47" x14ac:dyDescent="0.2">
      <c r="H1052" s="23"/>
      <c r="N1052" s="6"/>
      <c r="Q1052" s="23"/>
      <c r="R1052" s="23"/>
      <c r="AR1052" s="23"/>
      <c r="AS1052" s="23"/>
      <c r="AT1052" s="23"/>
      <c r="AU1052" s="23"/>
    </row>
    <row r="1053" spans="8:47" x14ac:dyDescent="0.2">
      <c r="H1053" s="23"/>
      <c r="N1053" s="6"/>
      <c r="Q1053" s="23"/>
      <c r="R1053" s="23"/>
      <c r="AR1053" s="23"/>
      <c r="AS1053" s="23"/>
      <c r="AT1053" s="23"/>
      <c r="AU1053" s="23"/>
    </row>
    <row r="1054" spans="8:47" x14ac:dyDescent="0.2">
      <c r="H1054" s="23"/>
      <c r="N1054" s="6"/>
      <c r="Q1054" s="23"/>
      <c r="R1054" s="23"/>
      <c r="AR1054" s="23"/>
      <c r="AS1054" s="23"/>
      <c r="AT1054" s="23"/>
      <c r="AU1054" s="23"/>
    </row>
    <row r="1055" spans="8:47" x14ac:dyDescent="0.2">
      <c r="H1055" s="23"/>
      <c r="N1055" s="6"/>
      <c r="Q1055" s="23"/>
      <c r="R1055" s="23"/>
      <c r="AR1055" s="23"/>
      <c r="AS1055" s="23"/>
      <c r="AT1055" s="23"/>
      <c r="AU1055" s="23"/>
    </row>
    <row r="1056" spans="8:47" x14ac:dyDescent="0.2">
      <c r="H1056" s="23"/>
      <c r="N1056" s="6"/>
      <c r="Q1056" s="23"/>
      <c r="R1056" s="23"/>
      <c r="AT1056" s="23"/>
      <c r="AU1056" s="23"/>
    </row>
    <row r="1057" spans="8:47" x14ac:dyDescent="0.2">
      <c r="H1057" s="23"/>
      <c r="N1057" s="6"/>
      <c r="Q1057" s="23"/>
      <c r="R1057" s="23"/>
      <c r="AR1057" s="23"/>
      <c r="AS1057" s="23"/>
      <c r="AT1057" s="23"/>
      <c r="AU1057" s="23"/>
    </row>
    <row r="1058" spans="8:47" x14ac:dyDescent="0.2">
      <c r="H1058" s="23"/>
      <c r="N1058" s="6"/>
      <c r="Q1058" s="23"/>
      <c r="R1058" s="23"/>
      <c r="AR1058" s="23"/>
      <c r="AS1058" s="23"/>
      <c r="AT1058" s="23"/>
      <c r="AU1058" s="23"/>
    </row>
    <row r="1059" spans="8:47" x14ac:dyDescent="0.2">
      <c r="H1059" s="23"/>
      <c r="N1059" s="6"/>
      <c r="Q1059" s="23"/>
      <c r="R1059" s="23"/>
      <c r="AR1059" s="23"/>
      <c r="AS1059" s="23"/>
      <c r="AT1059" s="23"/>
      <c r="AU1059" s="23"/>
    </row>
    <row r="1060" spans="8:47" x14ac:dyDescent="0.2">
      <c r="H1060" s="23"/>
      <c r="N1060" s="6"/>
      <c r="Q1060" s="23"/>
      <c r="R1060" s="23"/>
      <c r="AR1060" s="23"/>
      <c r="AS1060" s="23"/>
      <c r="AT1060" s="23"/>
      <c r="AU1060" s="23"/>
    </row>
    <row r="1061" spans="8:47" x14ac:dyDescent="0.2">
      <c r="H1061" s="23"/>
      <c r="N1061" s="6"/>
      <c r="Q1061" s="23"/>
      <c r="R1061" s="23"/>
      <c r="AR1061" s="23"/>
      <c r="AS1061" s="23"/>
      <c r="AT1061" s="23"/>
      <c r="AU1061" s="23"/>
    </row>
    <row r="1062" spans="8:47" x14ac:dyDescent="0.2">
      <c r="H1062" s="23"/>
      <c r="N1062" s="6"/>
      <c r="Q1062" s="23"/>
      <c r="R1062" s="23"/>
      <c r="AR1062" s="23"/>
      <c r="AS1062" s="23"/>
      <c r="AT1062" s="23"/>
      <c r="AU1062" s="23"/>
    </row>
    <row r="1063" spans="8:47" x14ac:dyDescent="0.2">
      <c r="H1063" s="23"/>
      <c r="N1063" s="6"/>
      <c r="Q1063" s="23"/>
      <c r="R1063" s="23"/>
      <c r="AR1063" s="23"/>
      <c r="AS1063" s="23"/>
      <c r="AT1063" s="23"/>
      <c r="AU1063" s="23"/>
    </row>
    <row r="1064" spans="8:47" x14ac:dyDescent="0.2">
      <c r="H1064" s="23"/>
      <c r="N1064" s="6"/>
      <c r="Q1064" s="23"/>
      <c r="R1064" s="23"/>
      <c r="AR1064" s="23"/>
      <c r="AS1064" s="23"/>
      <c r="AT1064" s="23"/>
      <c r="AU1064" s="23"/>
    </row>
    <row r="1065" spans="8:47" x14ac:dyDescent="0.2">
      <c r="H1065" s="23"/>
      <c r="N1065" s="6"/>
      <c r="Q1065" s="23"/>
      <c r="R1065" s="23"/>
      <c r="AR1065" s="23"/>
      <c r="AS1065" s="23"/>
      <c r="AT1065" s="23"/>
      <c r="AU1065" s="23"/>
    </row>
    <row r="1066" spans="8:47" x14ac:dyDescent="0.2">
      <c r="H1066" s="23"/>
      <c r="N1066" s="6"/>
      <c r="Q1066" s="23"/>
      <c r="R1066" s="23"/>
      <c r="AR1066" s="23"/>
      <c r="AS1066" s="23"/>
      <c r="AT1066" s="23"/>
      <c r="AU1066" s="23"/>
    </row>
    <row r="1067" spans="8:47" x14ac:dyDescent="0.2">
      <c r="H1067" s="23"/>
      <c r="N1067" s="6"/>
      <c r="Q1067" s="23"/>
      <c r="R1067" s="23"/>
      <c r="AR1067" s="23"/>
      <c r="AS1067" s="23"/>
      <c r="AT1067" s="23"/>
      <c r="AU1067" s="23"/>
    </row>
    <row r="1068" spans="8:47" x14ac:dyDescent="0.2">
      <c r="H1068" s="23"/>
      <c r="N1068" s="6"/>
      <c r="Q1068" s="23"/>
      <c r="R1068" s="23"/>
      <c r="AR1068" s="23"/>
      <c r="AS1068" s="23"/>
      <c r="AT1068" s="23"/>
      <c r="AU1068" s="23"/>
    </row>
    <row r="1069" spans="8:47" x14ac:dyDescent="0.2">
      <c r="H1069" s="23"/>
      <c r="N1069" s="6"/>
      <c r="Q1069" s="23"/>
      <c r="R1069" s="23"/>
      <c r="AR1069" s="23"/>
      <c r="AS1069" s="23"/>
      <c r="AT1069" s="23"/>
      <c r="AU1069" s="23"/>
    </row>
    <row r="1070" spans="8:47" x14ac:dyDescent="0.2">
      <c r="H1070" s="23"/>
      <c r="N1070" s="6"/>
      <c r="Q1070" s="23"/>
      <c r="R1070" s="23"/>
      <c r="AR1070" s="23"/>
      <c r="AS1070" s="23"/>
      <c r="AT1070" s="23"/>
      <c r="AU1070" s="23"/>
    </row>
    <row r="1071" spans="8:47" x14ac:dyDescent="0.2">
      <c r="H1071" s="23"/>
      <c r="N1071" s="6"/>
      <c r="Q1071" s="23"/>
      <c r="R1071" s="23"/>
      <c r="AR1071" s="23"/>
      <c r="AS1071" s="23"/>
      <c r="AT1071" s="23"/>
      <c r="AU1071" s="23"/>
    </row>
    <row r="1072" spans="8:47" x14ac:dyDescent="0.2">
      <c r="H1072" s="23"/>
      <c r="N1072" s="6"/>
      <c r="Q1072" s="23"/>
      <c r="R1072" s="23"/>
      <c r="AR1072" s="23"/>
      <c r="AS1072" s="23"/>
      <c r="AT1072" s="23"/>
      <c r="AU1072" s="23"/>
    </row>
    <row r="1073" spans="8:47" x14ac:dyDescent="0.2">
      <c r="H1073" s="23"/>
      <c r="N1073" s="6"/>
      <c r="Q1073" s="23"/>
      <c r="R1073" s="23"/>
      <c r="AT1073" s="23"/>
      <c r="AU1073" s="23"/>
    </row>
    <row r="1074" spans="8:47" x14ac:dyDescent="0.2">
      <c r="H1074" s="23"/>
      <c r="N1074" s="6"/>
      <c r="Q1074" s="23"/>
      <c r="R1074" s="23"/>
      <c r="AR1074" s="23"/>
      <c r="AS1074" s="23"/>
      <c r="AT1074" s="23"/>
      <c r="AU1074" s="23"/>
    </row>
    <row r="1075" spans="8:47" x14ac:dyDescent="0.2">
      <c r="H1075" s="23"/>
      <c r="N1075" s="6"/>
      <c r="Q1075" s="23"/>
      <c r="R1075" s="23"/>
      <c r="AR1075" s="23"/>
      <c r="AS1075" s="23"/>
      <c r="AT1075" s="23"/>
      <c r="AU1075" s="23"/>
    </row>
    <row r="1076" spans="8:47" x14ac:dyDescent="0.2">
      <c r="H1076" s="23"/>
      <c r="N1076" s="6"/>
      <c r="Q1076" s="23"/>
      <c r="R1076" s="23"/>
      <c r="AR1076" s="23"/>
      <c r="AS1076" s="23"/>
      <c r="AT1076" s="23"/>
      <c r="AU1076" s="23"/>
    </row>
    <row r="1077" spans="8:47" x14ac:dyDescent="0.2">
      <c r="H1077" s="23"/>
      <c r="N1077" s="6"/>
      <c r="Q1077" s="23"/>
      <c r="R1077" s="23"/>
      <c r="AR1077" s="23"/>
      <c r="AS1077" s="23"/>
      <c r="AT1077" s="23"/>
      <c r="AU1077" s="23"/>
    </row>
    <row r="1078" spans="8:47" x14ac:dyDescent="0.2">
      <c r="H1078" s="23"/>
      <c r="N1078" s="6"/>
      <c r="Q1078" s="23"/>
      <c r="R1078" s="23"/>
      <c r="AR1078" s="23"/>
      <c r="AS1078" s="23"/>
      <c r="AT1078" s="23"/>
      <c r="AU1078" s="23"/>
    </row>
    <row r="1079" spans="8:47" x14ac:dyDescent="0.2">
      <c r="H1079" s="23"/>
      <c r="N1079" s="6"/>
      <c r="Q1079" s="23"/>
      <c r="R1079" s="23"/>
      <c r="AR1079" s="23"/>
      <c r="AS1079" s="23"/>
      <c r="AT1079" s="23"/>
      <c r="AU1079" s="23"/>
    </row>
    <row r="1080" spans="8:47" x14ac:dyDescent="0.2">
      <c r="H1080" s="23"/>
      <c r="N1080" s="6"/>
      <c r="Q1080" s="23"/>
      <c r="R1080" s="23"/>
      <c r="AR1080" s="23"/>
      <c r="AS1080" s="23"/>
      <c r="AT1080" s="23"/>
      <c r="AU1080" s="23"/>
    </row>
    <row r="1081" spans="8:47" x14ac:dyDescent="0.2">
      <c r="H1081" s="23"/>
      <c r="N1081" s="6"/>
      <c r="Q1081" s="23"/>
      <c r="R1081" s="23"/>
      <c r="AR1081" s="23"/>
      <c r="AS1081" s="23"/>
      <c r="AT1081" s="23"/>
      <c r="AU1081" s="23"/>
    </row>
    <row r="1082" spans="8:47" x14ac:dyDescent="0.2">
      <c r="H1082" s="23"/>
      <c r="N1082" s="6"/>
      <c r="Q1082" s="23"/>
      <c r="R1082" s="23"/>
      <c r="AR1082" s="23"/>
      <c r="AS1082" s="23"/>
      <c r="AT1082" s="23"/>
      <c r="AU1082" s="23"/>
    </row>
    <row r="1083" spans="8:47" x14ac:dyDescent="0.2">
      <c r="H1083" s="23"/>
      <c r="N1083" s="6"/>
      <c r="Q1083" s="23"/>
      <c r="R1083" s="23"/>
      <c r="AR1083" s="23"/>
      <c r="AS1083" s="23"/>
      <c r="AT1083" s="23"/>
      <c r="AU1083" s="23"/>
    </row>
    <row r="1084" spans="8:47" x14ac:dyDescent="0.2">
      <c r="H1084" s="23"/>
      <c r="N1084" s="6"/>
      <c r="Q1084" s="23"/>
      <c r="R1084" s="23"/>
      <c r="AR1084" s="23"/>
      <c r="AS1084" s="23"/>
      <c r="AT1084" s="23"/>
      <c r="AU1084" s="23"/>
    </row>
    <row r="1085" spans="8:47" x14ac:dyDescent="0.2">
      <c r="H1085" s="23"/>
      <c r="N1085" s="6"/>
      <c r="Q1085" s="23"/>
      <c r="R1085" s="23"/>
      <c r="AR1085" s="23"/>
      <c r="AS1085" s="23"/>
      <c r="AT1085" s="23"/>
      <c r="AU1085" s="23"/>
    </row>
    <row r="1086" spans="8:47" x14ac:dyDescent="0.2">
      <c r="H1086" s="23"/>
      <c r="N1086" s="6"/>
      <c r="Q1086" s="23"/>
      <c r="R1086" s="23"/>
      <c r="AR1086" s="23"/>
      <c r="AS1086" s="23"/>
      <c r="AT1086" s="23"/>
      <c r="AU1086" s="23"/>
    </row>
    <row r="1087" spans="8:47" x14ac:dyDescent="0.2">
      <c r="H1087" s="23"/>
      <c r="N1087" s="6"/>
      <c r="Q1087" s="23"/>
      <c r="R1087" s="23"/>
      <c r="AR1087" s="23"/>
      <c r="AS1087" s="23"/>
      <c r="AT1087" s="23"/>
      <c r="AU1087" s="23"/>
    </row>
    <row r="1088" spans="8:47" x14ac:dyDescent="0.2">
      <c r="H1088" s="23"/>
      <c r="N1088" s="6"/>
      <c r="Q1088" s="23"/>
      <c r="R1088" s="23"/>
      <c r="AR1088" s="23"/>
      <c r="AS1088" s="23"/>
      <c r="AT1088" s="23"/>
      <c r="AU1088" s="23"/>
    </row>
    <row r="1089" spans="8:47" x14ac:dyDescent="0.2">
      <c r="H1089" s="23"/>
      <c r="N1089" s="6"/>
      <c r="Q1089" s="23"/>
      <c r="R1089" s="23"/>
      <c r="AR1089" s="23"/>
      <c r="AS1089" s="23"/>
      <c r="AT1089" s="23"/>
      <c r="AU1089" s="23"/>
    </row>
    <row r="1090" spans="8:47" x14ac:dyDescent="0.2">
      <c r="H1090" s="23"/>
      <c r="N1090" s="6"/>
      <c r="Q1090" s="23"/>
      <c r="R1090" s="23"/>
      <c r="AR1090" s="23"/>
      <c r="AS1090" s="23"/>
      <c r="AT1090" s="23"/>
      <c r="AU1090" s="23"/>
    </row>
    <row r="1091" spans="8:47" x14ac:dyDescent="0.2">
      <c r="H1091" s="23"/>
      <c r="N1091" s="6"/>
      <c r="Q1091" s="23"/>
      <c r="R1091" s="23"/>
      <c r="AR1091" s="23"/>
      <c r="AS1091" s="23"/>
      <c r="AT1091" s="23"/>
      <c r="AU1091" s="23"/>
    </row>
    <row r="1092" spans="8:47" x14ac:dyDescent="0.2">
      <c r="H1092" s="23"/>
      <c r="N1092" s="6"/>
      <c r="Q1092" s="23"/>
      <c r="R1092" s="23"/>
      <c r="AR1092" s="23"/>
      <c r="AS1092" s="23"/>
      <c r="AT1092" s="23"/>
      <c r="AU1092" s="23"/>
    </row>
    <row r="1093" spans="8:47" x14ac:dyDescent="0.2">
      <c r="H1093" s="23"/>
      <c r="N1093" s="6"/>
      <c r="Q1093" s="23"/>
      <c r="R1093" s="23"/>
      <c r="AR1093" s="23"/>
      <c r="AS1093" s="23"/>
      <c r="AT1093" s="23"/>
      <c r="AU1093" s="23"/>
    </row>
    <row r="1094" spans="8:47" x14ac:dyDescent="0.2">
      <c r="H1094" s="23"/>
      <c r="N1094" s="6"/>
      <c r="Q1094" s="23"/>
      <c r="R1094" s="23"/>
      <c r="AR1094" s="23"/>
      <c r="AS1094" s="23"/>
      <c r="AT1094" s="23"/>
      <c r="AU1094" s="23"/>
    </row>
    <row r="1095" spans="8:47" x14ac:dyDescent="0.2">
      <c r="H1095" s="23"/>
      <c r="N1095" s="6"/>
      <c r="Q1095" s="23"/>
      <c r="R1095" s="23"/>
      <c r="AR1095" s="23"/>
      <c r="AS1095" s="23"/>
      <c r="AT1095" s="23"/>
      <c r="AU1095" s="23"/>
    </row>
    <row r="1096" spans="8:47" x14ac:dyDescent="0.2">
      <c r="H1096" s="23"/>
      <c r="N1096" s="6"/>
      <c r="Q1096" s="23"/>
      <c r="R1096" s="23"/>
      <c r="AR1096" s="23"/>
      <c r="AS1096" s="23"/>
      <c r="AT1096" s="23"/>
      <c r="AU1096" s="23"/>
    </row>
    <row r="1097" spans="8:47" x14ac:dyDescent="0.2">
      <c r="H1097" s="23"/>
      <c r="N1097" s="6"/>
      <c r="Q1097" s="23"/>
      <c r="R1097" s="23"/>
      <c r="AR1097" s="23"/>
      <c r="AS1097" s="23"/>
      <c r="AT1097" s="23"/>
      <c r="AU1097" s="23"/>
    </row>
    <row r="1098" spans="8:47" x14ac:dyDescent="0.2">
      <c r="H1098" s="23"/>
      <c r="N1098" s="6"/>
      <c r="Q1098" s="23"/>
      <c r="R1098" s="23"/>
      <c r="AR1098" s="23"/>
      <c r="AS1098" s="23"/>
      <c r="AT1098" s="23"/>
      <c r="AU1098" s="23"/>
    </row>
    <row r="1099" spans="8:47" x14ac:dyDescent="0.2">
      <c r="H1099" s="23"/>
      <c r="N1099" s="6"/>
      <c r="Q1099" s="23"/>
      <c r="R1099" s="23"/>
      <c r="AR1099" s="23"/>
      <c r="AS1099" s="23"/>
      <c r="AT1099" s="23"/>
      <c r="AU1099" s="23"/>
    </row>
    <row r="1100" spans="8:47" x14ac:dyDescent="0.2">
      <c r="H1100" s="23"/>
      <c r="N1100" s="6"/>
      <c r="Q1100" s="23"/>
      <c r="R1100" s="23"/>
      <c r="AR1100" s="23"/>
      <c r="AS1100" s="23"/>
      <c r="AT1100" s="23"/>
      <c r="AU1100" s="23"/>
    </row>
    <row r="1101" spans="8:47" x14ac:dyDescent="0.2">
      <c r="H1101" s="23"/>
      <c r="N1101" s="6"/>
      <c r="Q1101" s="23"/>
      <c r="R1101" s="23"/>
      <c r="AR1101" s="23"/>
      <c r="AS1101" s="23"/>
      <c r="AT1101" s="23"/>
      <c r="AU1101" s="23"/>
    </row>
    <row r="1102" spans="8:47" x14ac:dyDescent="0.2">
      <c r="H1102" s="23"/>
      <c r="N1102" s="6"/>
      <c r="Q1102" s="23"/>
      <c r="R1102" s="23"/>
      <c r="AR1102" s="23"/>
      <c r="AS1102" s="23"/>
      <c r="AT1102" s="23"/>
      <c r="AU1102" s="23"/>
    </row>
    <row r="1103" spans="8:47" x14ac:dyDescent="0.2">
      <c r="H1103" s="23"/>
      <c r="N1103" s="6"/>
      <c r="Q1103" s="23"/>
      <c r="R1103" s="23"/>
      <c r="AT1103" s="23"/>
      <c r="AU1103" s="23"/>
    </row>
    <row r="1104" spans="8:47" x14ac:dyDescent="0.2">
      <c r="H1104" s="23"/>
      <c r="N1104" s="6"/>
      <c r="Q1104" s="23"/>
      <c r="R1104" s="23"/>
      <c r="AR1104" s="23"/>
      <c r="AS1104" s="23"/>
      <c r="AT1104" s="23"/>
      <c r="AU1104" s="23"/>
    </row>
    <row r="1105" spans="8:47" x14ac:dyDescent="0.2">
      <c r="H1105" s="23"/>
      <c r="N1105" s="6"/>
      <c r="Q1105" s="23"/>
      <c r="R1105" s="23"/>
      <c r="AR1105" s="23"/>
      <c r="AS1105" s="23"/>
      <c r="AT1105" s="23"/>
      <c r="AU1105" s="23"/>
    </row>
    <row r="1106" spans="8:47" x14ac:dyDescent="0.2">
      <c r="H1106" s="23"/>
      <c r="N1106" s="6"/>
      <c r="Q1106" s="23"/>
      <c r="R1106" s="23"/>
      <c r="AR1106" s="23"/>
      <c r="AS1106" s="23"/>
      <c r="AT1106" s="23"/>
      <c r="AU1106" s="23"/>
    </row>
    <row r="1107" spans="8:47" x14ac:dyDescent="0.2">
      <c r="H1107" s="23"/>
      <c r="N1107" s="6"/>
      <c r="Q1107" s="23"/>
      <c r="R1107" s="23"/>
      <c r="AT1107" s="23"/>
      <c r="AU1107" s="23"/>
    </row>
    <row r="1108" spans="8:47" x14ac:dyDescent="0.2">
      <c r="H1108" s="23"/>
      <c r="N1108" s="6"/>
      <c r="Q1108" s="23"/>
      <c r="R1108" s="23"/>
      <c r="AR1108" s="23"/>
      <c r="AS1108" s="23"/>
      <c r="AT1108" s="23"/>
      <c r="AU1108" s="23"/>
    </row>
    <row r="1109" spans="8:47" x14ac:dyDescent="0.2">
      <c r="H1109" s="23"/>
      <c r="N1109" s="6"/>
      <c r="Q1109" s="23"/>
      <c r="R1109" s="23"/>
      <c r="AR1109" s="23"/>
      <c r="AS1109" s="23"/>
      <c r="AT1109" s="23"/>
      <c r="AU1109" s="23"/>
    </row>
    <row r="1110" spans="8:47" x14ac:dyDescent="0.2">
      <c r="H1110" s="23"/>
      <c r="N1110" s="6"/>
      <c r="Q1110" s="23"/>
      <c r="R1110" s="23"/>
      <c r="AR1110" s="23"/>
      <c r="AS1110" s="23"/>
      <c r="AT1110" s="23"/>
      <c r="AU1110" s="23"/>
    </row>
    <row r="1111" spans="8:47" x14ac:dyDescent="0.2">
      <c r="H1111" s="23"/>
      <c r="N1111" s="6"/>
      <c r="Q1111" s="23"/>
      <c r="R1111" s="23"/>
      <c r="AR1111" s="23"/>
      <c r="AS1111" s="23"/>
      <c r="AT1111" s="23"/>
      <c r="AU1111" s="23"/>
    </row>
    <row r="1112" spans="8:47" x14ac:dyDescent="0.2">
      <c r="H1112" s="23"/>
      <c r="N1112" s="6"/>
      <c r="Q1112" s="23"/>
      <c r="R1112" s="23"/>
      <c r="AR1112" s="23"/>
      <c r="AS1112" s="23"/>
      <c r="AT1112" s="23"/>
      <c r="AU1112" s="23"/>
    </row>
    <row r="1113" spans="8:47" x14ac:dyDescent="0.2">
      <c r="H1113" s="23"/>
      <c r="N1113" s="6"/>
      <c r="Q1113" s="23"/>
      <c r="R1113" s="23"/>
      <c r="AR1113" s="23"/>
      <c r="AS1113" s="23"/>
      <c r="AT1113" s="23"/>
      <c r="AU1113" s="23"/>
    </row>
    <row r="1114" spans="8:47" x14ac:dyDescent="0.2">
      <c r="H1114" s="23"/>
      <c r="N1114" s="6"/>
      <c r="Q1114" s="23"/>
      <c r="R1114" s="23"/>
      <c r="AR1114" s="23"/>
      <c r="AT1114" s="23"/>
      <c r="AU1114" s="23"/>
    </row>
    <row r="1115" spans="8:47" x14ac:dyDescent="0.2">
      <c r="H1115" s="23"/>
      <c r="N1115" s="6"/>
      <c r="Q1115" s="23"/>
      <c r="R1115" s="23"/>
      <c r="AR1115" s="23"/>
      <c r="AS1115" s="23"/>
      <c r="AT1115" s="23"/>
      <c r="AU1115" s="23"/>
    </row>
    <row r="1116" spans="8:47" x14ac:dyDescent="0.2">
      <c r="H1116" s="23"/>
      <c r="N1116" s="6"/>
      <c r="Q1116" s="23"/>
      <c r="R1116" s="23"/>
      <c r="AR1116" s="23"/>
      <c r="AS1116" s="23"/>
      <c r="AT1116" s="23"/>
      <c r="AU1116" s="23"/>
    </row>
    <row r="1117" spans="8:47" x14ac:dyDescent="0.2">
      <c r="H1117" s="23"/>
      <c r="N1117" s="6"/>
      <c r="Q1117" s="23"/>
      <c r="R1117" s="23"/>
      <c r="AR1117" s="23"/>
      <c r="AS1117" s="23"/>
      <c r="AT1117" s="23"/>
      <c r="AU1117" s="23"/>
    </row>
    <row r="1118" spans="8:47" x14ac:dyDescent="0.2">
      <c r="H1118" s="23"/>
      <c r="N1118" s="6"/>
      <c r="Q1118" s="23"/>
      <c r="R1118" s="23"/>
      <c r="AR1118" s="23"/>
      <c r="AS1118" s="23"/>
      <c r="AT1118" s="23"/>
      <c r="AU1118" s="23"/>
    </row>
    <row r="1119" spans="8:47" x14ac:dyDescent="0.2">
      <c r="H1119" s="23"/>
      <c r="N1119" s="6"/>
      <c r="Q1119" s="23"/>
      <c r="R1119" s="23"/>
      <c r="AR1119" s="23"/>
      <c r="AS1119" s="23"/>
      <c r="AT1119" s="23"/>
      <c r="AU1119" s="23"/>
    </row>
    <row r="1120" spans="8:47" x14ac:dyDescent="0.2">
      <c r="H1120" s="23"/>
      <c r="N1120" s="6"/>
      <c r="Q1120" s="23"/>
      <c r="R1120" s="23"/>
      <c r="AR1120" s="23"/>
      <c r="AS1120" s="23"/>
      <c r="AT1120" s="23"/>
      <c r="AU1120" s="23"/>
    </row>
    <row r="1121" spans="8:47" x14ac:dyDescent="0.2">
      <c r="H1121" s="23"/>
      <c r="N1121" s="6"/>
      <c r="Q1121" s="23"/>
      <c r="R1121" s="23"/>
      <c r="AR1121" s="23"/>
      <c r="AS1121" s="23"/>
      <c r="AT1121" s="23"/>
      <c r="AU1121" s="23"/>
    </row>
    <row r="1122" spans="8:47" x14ac:dyDescent="0.2">
      <c r="H1122" s="23"/>
      <c r="N1122" s="6"/>
      <c r="Q1122" s="23"/>
      <c r="R1122" s="23"/>
      <c r="AR1122" s="23"/>
      <c r="AS1122" s="23"/>
      <c r="AT1122" s="23"/>
      <c r="AU1122" s="23"/>
    </row>
    <row r="1123" spans="8:47" x14ac:dyDescent="0.2">
      <c r="H1123" s="23"/>
      <c r="N1123" s="6"/>
      <c r="Q1123" s="23"/>
      <c r="R1123" s="23"/>
      <c r="AR1123" s="23"/>
      <c r="AS1123" s="23"/>
      <c r="AT1123" s="23"/>
      <c r="AU1123" s="23"/>
    </row>
    <row r="1124" spans="8:47" x14ac:dyDescent="0.2">
      <c r="H1124" s="23"/>
      <c r="N1124" s="6"/>
      <c r="Q1124" s="23"/>
      <c r="R1124" s="23"/>
      <c r="AT1124" s="23"/>
      <c r="AU1124" s="23"/>
    </row>
    <row r="1125" spans="8:47" x14ac:dyDescent="0.2">
      <c r="H1125" s="23"/>
      <c r="N1125" s="6"/>
      <c r="Q1125" s="23"/>
      <c r="R1125" s="23"/>
      <c r="AR1125" s="23"/>
      <c r="AS1125" s="23"/>
      <c r="AT1125" s="23"/>
      <c r="AU1125" s="23"/>
    </row>
    <row r="1126" spans="8:47" x14ac:dyDescent="0.2">
      <c r="H1126" s="23"/>
      <c r="N1126" s="6"/>
      <c r="Q1126" s="23"/>
      <c r="R1126" s="23"/>
      <c r="AR1126" s="23"/>
      <c r="AS1126" s="23"/>
      <c r="AT1126" s="23"/>
      <c r="AU1126" s="23"/>
    </row>
    <row r="1127" spans="8:47" x14ac:dyDescent="0.2">
      <c r="H1127" s="23"/>
      <c r="N1127" s="6"/>
      <c r="Q1127" s="23"/>
      <c r="R1127" s="23"/>
      <c r="AR1127" s="23"/>
      <c r="AS1127" s="23"/>
      <c r="AT1127" s="23"/>
      <c r="AU1127" s="23"/>
    </row>
    <row r="1128" spans="8:47" x14ac:dyDescent="0.2">
      <c r="H1128" s="23"/>
      <c r="N1128" s="6"/>
      <c r="Q1128" s="23"/>
      <c r="R1128" s="23"/>
      <c r="AR1128" s="23"/>
      <c r="AS1128" s="23"/>
      <c r="AT1128" s="23"/>
      <c r="AU1128" s="23"/>
    </row>
    <row r="1129" spans="8:47" x14ac:dyDescent="0.2">
      <c r="H1129" s="23"/>
      <c r="N1129" s="6"/>
      <c r="Q1129" s="23"/>
      <c r="R1129" s="23"/>
      <c r="AR1129" s="23"/>
      <c r="AS1129" s="23"/>
      <c r="AT1129" s="23"/>
      <c r="AU1129" s="23"/>
    </row>
    <row r="1130" spans="8:47" x14ac:dyDescent="0.2">
      <c r="H1130" s="23"/>
      <c r="N1130" s="6"/>
      <c r="Q1130" s="23"/>
      <c r="R1130" s="23"/>
      <c r="AR1130" s="23"/>
      <c r="AS1130" s="23"/>
      <c r="AT1130" s="23"/>
      <c r="AU1130" s="23"/>
    </row>
    <row r="1131" spans="8:47" x14ac:dyDescent="0.2">
      <c r="H1131" s="23"/>
      <c r="N1131" s="6"/>
      <c r="Q1131" s="23"/>
      <c r="R1131" s="23"/>
      <c r="AR1131" s="23"/>
      <c r="AS1131" s="23"/>
      <c r="AT1131" s="23"/>
      <c r="AU1131" s="23"/>
    </row>
    <row r="1132" spans="8:47" x14ac:dyDescent="0.2">
      <c r="H1132" s="23"/>
      <c r="N1132" s="6"/>
      <c r="Q1132" s="23"/>
      <c r="R1132" s="23"/>
      <c r="AT1132" s="23"/>
      <c r="AU1132" s="23"/>
    </row>
    <row r="1133" spans="8:47" x14ac:dyDescent="0.2">
      <c r="H1133" s="23"/>
      <c r="N1133" s="6"/>
      <c r="Q1133" s="23"/>
      <c r="R1133" s="23"/>
      <c r="AR1133" s="23"/>
      <c r="AS1133" s="23"/>
      <c r="AT1133" s="23"/>
      <c r="AU1133" s="23"/>
    </row>
    <row r="1134" spans="8:47" x14ac:dyDescent="0.2">
      <c r="H1134" s="23"/>
      <c r="N1134" s="6"/>
      <c r="Q1134" s="23"/>
      <c r="R1134" s="23"/>
      <c r="AR1134" s="23"/>
      <c r="AS1134" s="23"/>
      <c r="AT1134" s="23"/>
      <c r="AU1134" s="23"/>
    </row>
    <row r="1135" spans="8:47" x14ac:dyDescent="0.2">
      <c r="H1135" s="23"/>
      <c r="N1135" s="6"/>
      <c r="Q1135" s="23"/>
      <c r="R1135" s="23"/>
      <c r="AR1135" s="23"/>
      <c r="AS1135" s="23"/>
      <c r="AT1135" s="23"/>
      <c r="AU1135" s="23"/>
    </row>
    <row r="1136" spans="8:47" x14ac:dyDescent="0.2">
      <c r="H1136" s="23"/>
      <c r="N1136" s="6"/>
      <c r="Q1136" s="23"/>
      <c r="R1136" s="23"/>
      <c r="AR1136" s="23"/>
      <c r="AS1136" s="23"/>
      <c r="AT1136" s="23"/>
      <c r="AU1136" s="23"/>
    </row>
    <row r="1137" spans="8:47" x14ac:dyDescent="0.2">
      <c r="H1137" s="23"/>
      <c r="N1137" s="6"/>
      <c r="Q1137" s="23"/>
      <c r="R1137" s="23"/>
      <c r="AR1137" s="23"/>
      <c r="AS1137" s="23"/>
      <c r="AT1137" s="23"/>
      <c r="AU1137" s="23"/>
    </row>
    <row r="1138" spans="8:47" x14ac:dyDescent="0.2">
      <c r="H1138" s="23"/>
      <c r="N1138" s="6"/>
      <c r="Q1138" s="23"/>
      <c r="R1138" s="23"/>
      <c r="AR1138" s="23"/>
      <c r="AT1138" s="23"/>
      <c r="AU1138" s="23"/>
    </row>
    <row r="1139" spans="8:47" x14ac:dyDescent="0.2">
      <c r="H1139" s="23"/>
      <c r="N1139" s="6"/>
      <c r="Q1139" s="23"/>
      <c r="R1139" s="23"/>
      <c r="AT1139" s="23"/>
      <c r="AU1139" s="23"/>
    </row>
    <row r="1140" spans="8:47" x14ac:dyDescent="0.2">
      <c r="H1140" s="23"/>
      <c r="N1140" s="6"/>
      <c r="Q1140" s="23"/>
      <c r="R1140" s="23"/>
      <c r="AR1140" s="23"/>
      <c r="AT1140" s="23"/>
      <c r="AU1140" s="23"/>
    </row>
    <row r="1141" spans="8:47" x14ac:dyDescent="0.2">
      <c r="H1141" s="23"/>
      <c r="N1141" s="6"/>
      <c r="Q1141" s="23"/>
      <c r="R1141" s="23"/>
      <c r="AR1141" s="23"/>
      <c r="AS1141" s="23"/>
      <c r="AT1141" s="23"/>
      <c r="AU1141" s="23"/>
    </row>
    <row r="1142" spans="8:47" x14ac:dyDescent="0.2">
      <c r="H1142" s="23"/>
      <c r="N1142" s="6"/>
      <c r="Q1142" s="23"/>
      <c r="R1142" s="23"/>
      <c r="AR1142" s="23"/>
      <c r="AS1142" s="23"/>
      <c r="AT1142" s="23"/>
      <c r="AU1142" s="23"/>
    </row>
    <row r="1143" spans="8:47" x14ac:dyDescent="0.2">
      <c r="H1143" s="23"/>
      <c r="N1143" s="6"/>
      <c r="Q1143" s="23"/>
      <c r="R1143" s="23"/>
    </row>
    <row r="1144" spans="8:47" x14ac:dyDescent="0.2">
      <c r="H1144" s="23"/>
      <c r="N1144" s="6"/>
      <c r="Q1144" s="23"/>
      <c r="R1144" s="23"/>
      <c r="AR1144" s="23"/>
      <c r="AS1144" s="23"/>
      <c r="AT1144" s="23"/>
      <c r="AU1144" s="23"/>
    </row>
    <row r="1145" spans="8:47" x14ac:dyDescent="0.2">
      <c r="H1145" s="23"/>
      <c r="N1145" s="6"/>
      <c r="Q1145" s="23"/>
      <c r="R1145" s="23"/>
      <c r="AR1145" s="23"/>
      <c r="AS1145" s="23"/>
      <c r="AT1145" s="23"/>
      <c r="AU1145" s="23"/>
    </row>
    <row r="1146" spans="8:47" x14ac:dyDescent="0.2">
      <c r="H1146" s="23"/>
      <c r="N1146" s="6"/>
      <c r="Q1146" s="23"/>
      <c r="R1146" s="23"/>
      <c r="AR1146" s="23"/>
      <c r="AS1146" s="23"/>
      <c r="AT1146" s="23"/>
      <c r="AU1146" s="23"/>
    </row>
    <row r="1147" spans="8:47" x14ac:dyDescent="0.2">
      <c r="H1147" s="23"/>
      <c r="N1147" s="6"/>
      <c r="Q1147" s="23"/>
      <c r="R1147" s="23"/>
      <c r="AR1147" s="23"/>
      <c r="AS1147" s="23"/>
      <c r="AT1147" s="23"/>
      <c r="AU1147" s="23"/>
    </row>
    <row r="1148" spans="8:47" x14ac:dyDescent="0.2">
      <c r="H1148" s="23"/>
      <c r="N1148" s="6"/>
      <c r="Q1148" s="23"/>
      <c r="R1148" s="23"/>
      <c r="AR1148" s="23"/>
      <c r="AS1148" s="23"/>
      <c r="AT1148" s="23"/>
      <c r="AU1148" s="23"/>
    </row>
    <row r="1149" spans="8:47" x14ac:dyDescent="0.2">
      <c r="H1149" s="23"/>
      <c r="N1149" s="6"/>
      <c r="Q1149" s="23"/>
      <c r="R1149" s="23"/>
      <c r="AR1149" s="23"/>
      <c r="AS1149" s="23"/>
      <c r="AT1149" s="23"/>
      <c r="AU1149" s="23"/>
    </row>
    <row r="1150" spans="8:47" x14ac:dyDescent="0.2">
      <c r="H1150" s="23"/>
      <c r="N1150" s="6"/>
      <c r="Q1150" s="23"/>
      <c r="R1150" s="23"/>
      <c r="AR1150" s="23"/>
      <c r="AS1150" s="23"/>
      <c r="AT1150" s="23"/>
      <c r="AU1150" s="23"/>
    </row>
    <row r="1151" spans="8:47" x14ac:dyDescent="0.2">
      <c r="H1151" s="23"/>
      <c r="N1151" s="6"/>
      <c r="Q1151" s="23"/>
      <c r="R1151" s="23"/>
      <c r="AR1151" s="23"/>
      <c r="AS1151" s="23"/>
      <c r="AT1151" s="23"/>
      <c r="AU1151" s="23"/>
    </row>
    <row r="1152" spans="8:47" x14ac:dyDescent="0.2">
      <c r="H1152" s="23"/>
      <c r="N1152" s="6"/>
      <c r="Q1152" s="23"/>
      <c r="R1152" s="23"/>
      <c r="AR1152" s="23"/>
      <c r="AS1152" s="23"/>
      <c r="AT1152" s="23"/>
      <c r="AU1152" s="23"/>
    </row>
    <row r="1153" spans="8:47" x14ac:dyDescent="0.2">
      <c r="H1153" s="23"/>
      <c r="N1153" s="6"/>
      <c r="Q1153" s="23"/>
      <c r="R1153" s="23"/>
      <c r="AR1153" s="23"/>
      <c r="AS1153" s="23"/>
      <c r="AT1153" s="23"/>
      <c r="AU1153" s="23"/>
    </row>
    <row r="1154" spans="8:47" x14ac:dyDescent="0.2">
      <c r="H1154" s="23"/>
      <c r="N1154" s="6"/>
      <c r="Q1154" s="23"/>
      <c r="R1154" s="23"/>
      <c r="AR1154" s="23"/>
      <c r="AS1154" s="23"/>
      <c r="AT1154" s="23"/>
      <c r="AU1154" s="23"/>
    </row>
    <row r="1155" spans="8:47" x14ac:dyDescent="0.2">
      <c r="H1155" s="23"/>
      <c r="N1155" s="6"/>
      <c r="Q1155" s="23"/>
      <c r="R1155" s="23"/>
      <c r="AR1155" s="23"/>
      <c r="AS1155" s="23"/>
      <c r="AT1155" s="23"/>
      <c r="AU1155" s="23"/>
    </row>
    <row r="1156" spans="8:47" x14ac:dyDescent="0.2">
      <c r="H1156" s="23"/>
      <c r="N1156" s="6"/>
      <c r="Q1156" s="23"/>
      <c r="R1156" s="23"/>
      <c r="AT1156" s="23"/>
      <c r="AU1156" s="23"/>
    </row>
    <row r="1157" spans="8:47" x14ac:dyDescent="0.2">
      <c r="H1157" s="23"/>
      <c r="N1157" s="6"/>
      <c r="Q1157" s="23"/>
      <c r="R1157" s="23"/>
      <c r="AR1157" s="23"/>
      <c r="AS1157" s="23"/>
      <c r="AT1157" s="23"/>
      <c r="AU1157" s="23"/>
    </row>
    <row r="1158" spans="8:47" x14ac:dyDescent="0.2">
      <c r="H1158" s="23"/>
      <c r="N1158" s="6"/>
      <c r="Q1158" s="23"/>
      <c r="R1158" s="23"/>
      <c r="AR1158" s="23"/>
      <c r="AS1158" s="23"/>
      <c r="AT1158" s="23"/>
      <c r="AU1158" s="23"/>
    </row>
    <row r="1159" spans="8:47" x14ac:dyDescent="0.2">
      <c r="H1159" s="23"/>
      <c r="N1159" s="6"/>
      <c r="Q1159" s="23"/>
      <c r="R1159" s="23"/>
    </row>
    <row r="1160" spans="8:47" x14ac:dyDescent="0.2">
      <c r="H1160" s="23"/>
      <c r="N1160" s="6"/>
      <c r="Q1160" s="23"/>
      <c r="R1160" s="23"/>
      <c r="AR1160" s="23"/>
      <c r="AS1160" s="23"/>
      <c r="AT1160" s="23"/>
      <c r="AU1160" s="23"/>
    </row>
    <row r="1161" spans="8:47" x14ac:dyDescent="0.2">
      <c r="H1161" s="23"/>
      <c r="N1161" s="6"/>
      <c r="Q1161" s="23"/>
      <c r="R1161" s="23"/>
      <c r="AR1161" s="23"/>
      <c r="AS1161" s="23"/>
      <c r="AT1161" s="23"/>
      <c r="AU1161" s="23"/>
    </row>
    <row r="1162" spans="8:47" x14ac:dyDescent="0.2">
      <c r="H1162" s="23"/>
      <c r="N1162" s="6"/>
      <c r="Q1162" s="23"/>
      <c r="R1162" s="23"/>
      <c r="AR1162" s="23"/>
      <c r="AS1162" s="23"/>
      <c r="AT1162" s="23"/>
      <c r="AU1162" s="23"/>
    </row>
    <row r="1163" spans="8:47" x14ac:dyDescent="0.2">
      <c r="H1163" s="23"/>
      <c r="N1163" s="6"/>
      <c r="Q1163" s="23"/>
      <c r="R1163" s="23"/>
      <c r="AR1163" s="23"/>
      <c r="AS1163" s="23"/>
      <c r="AT1163" s="23"/>
      <c r="AU1163" s="23"/>
    </row>
    <row r="1164" spans="8:47" x14ac:dyDescent="0.2">
      <c r="H1164" s="23"/>
      <c r="N1164" s="6"/>
      <c r="Q1164" s="23"/>
      <c r="R1164" s="23"/>
      <c r="AR1164" s="23"/>
      <c r="AS1164" s="23"/>
      <c r="AT1164" s="23"/>
      <c r="AU1164" s="23"/>
    </row>
    <row r="1165" spans="8:47" x14ac:dyDescent="0.2">
      <c r="H1165" s="23"/>
      <c r="N1165" s="6"/>
      <c r="Q1165" s="23"/>
      <c r="R1165" s="23"/>
      <c r="AR1165" s="23"/>
      <c r="AT1165" s="23"/>
      <c r="AU1165" s="23"/>
    </row>
    <row r="1166" spans="8:47" x14ac:dyDescent="0.2">
      <c r="H1166" s="23"/>
      <c r="N1166" s="6"/>
      <c r="Q1166" s="23"/>
      <c r="R1166" s="23"/>
      <c r="AR1166" s="23"/>
      <c r="AS1166" s="23"/>
      <c r="AT1166" s="23"/>
      <c r="AU1166" s="23"/>
    </row>
    <row r="1167" spans="8:47" x14ac:dyDescent="0.2">
      <c r="H1167" s="23"/>
      <c r="N1167" s="6"/>
      <c r="Q1167" s="23"/>
      <c r="R1167" s="23"/>
      <c r="AR1167" s="23"/>
      <c r="AS1167" s="23"/>
      <c r="AT1167" s="23"/>
      <c r="AU1167" s="23"/>
    </row>
    <row r="1168" spans="8:47" x14ac:dyDescent="0.2">
      <c r="H1168" s="23"/>
      <c r="N1168" s="6"/>
      <c r="Q1168" s="23"/>
      <c r="R1168" s="23"/>
      <c r="AR1168" s="23"/>
      <c r="AS1168" s="23"/>
      <c r="AT1168" s="23"/>
      <c r="AU1168" s="23"/>
    </row>
    <row r="1169" spans="8:47" x14ac:dyDescent="0.2">
      <c r="H1169" s="23"/>
      <c r="N1169" s="6"/>
      <c r="Q1169" s="23"/>
      <c r="R1169" s="23"/>
      <c r="AR1169" s="23"/>
      <c r="AS1169" s="23"/>
      <c r="AT1169" s="23"/>
      <c r="AU1169" s="23"/>
    </row>
    <row r="1170" spans="8:47" x14ac:dyDescent="0.2">
      <c r="H1170" s="23"/>
      <c r="N1170" s="6"/>
      <c r="Q1170" s="23"/>
      <c r="R1170" s="23"/>
      <c r="AR1170" s="23"/>
      <c r="AS1170" s="23"/>
      <c r="AT1170" s="23"/>
      <c r="AU1170" s="23"/>
    </row>
    <row r="1171" spans="8:47" x14ac:dyDescent="0.2">
      <c r="H1171" s="23"/>
      <c r="N1171" s="6"/>
      <c r="Q1171" s="23"/>
      <c r="R1171" s="23"/>
      <c r="AR1171" s="23"/>
      <c r="AS1171" s="23"/>
      <c r="AT1171" s="23"/>
      <c r="AU1171" s="23"/>
    </row>
    <row r="1172" spans="8:47" x14ac:dyDescent="0.2">
      <c r="H1172" s="23"/>
      <c r="N1172" s="6"/>
      <c r="Q1172" s="23"/>
      <c r="R1172" s="23"/>
      <c r="AR1172" s="23"/>
      <c r="AS1172" s="23"/>
      <c r="AT1172" s="23"/>
      <c r="AU1172" s="23"/>
    </row>
    <row r="1173" spans="8:47" x14ac:dyDescent="0.2">
      <c r="H1173" s="23"/>
      <c r="N1173" s="6"/>
      <c r="Q1173" s="23"/>
      <c r="R1173" s="23"/>
      <c r="AR1173" s="23"/>
      <c r="AS1173" s="23"/>
      <c r="AT1173" s="23"/>
      <c r="AU1173" s="23"/>
    </row>
    <row r="1174" spans="8:47" x14ac:dyDescent="0.2">
      <c r="H1174" s="23"/>
      <c r="N1174" s="6"/>
      <c r="Q1174" s="23"/>
      <c r="R1174" s="23"/>
      <c r="AR1174" s="23"/>
      <c r="AS1174" s="23"/>
      <c r="AT1174" s="23"/>
      <c r="AU1174" s="23"/>
    </row>
    <row r="1175" spans="8:47" x14ac:dyDescent="0.2">
      <c r="H1175" s="23"/>
      <c r="N1175" s="6"/>
      <c r="Q1175" s="23"/>
      <c r="R1175" s="23"/>
      <c r="AR1175" s="23"/>
      <c r="AS1175" s="23"/>
      <c r="AT1175" s="23"/>
      <c r="AU1175" s="23"/>
    </row>
    <row r="1176" spans="8:47" x14ac:dyDescent="0.2">
      <c r="H1176" s="23"/>
      <c r="N1176" s="6"/>
      <c r="Q1176" s="23"/>
      <c r="R1176" s="23"/>
      <c r="AR1176" s="23"/>
      <c r="AS1176" s="23"/>
      <c r="AT1176" s="23"/>
      <c r="AU1176" s="23"/>
    </row>
    <row r="1177" spans="8:47" x14ac:dyDescent="0.2">
      <c r="H1177" s="23"/>
      <c r="N1177" s="6"/>
      <c r="Q1177" s="23"/>
      <c r="R1177" s="23"/>
      <c r="AR1177" s="23"/>
      <c r="AS1177" s="23"/>
      <c r="AT1177" s="23"/>
      <c r="AU1177" s="23"/>
    </row>
    <row r="1178" spans="8:47" x14ac:dyDescent="0.2">
      <c r="H1178" s="23"/>
      <c r="N1178" s="6"/>
      <c r="Q1178" s="23"/>
      <c r="R1178" s="23"/>
      <c r="AR1178" s="23"/>
      <c r="AS1178" s="23"/>
      <c r="AT1178" s="23"/>
      <c r="AU1178" s="23"/>
    </row>
    <row r="1179" spans="8:47" x14ac:dyDescent="0.2">
      <c r="H1179" s="23"/>
      <c r="N1179" s="6"/>
      <c r="Q1179" s="23"/>
      <c r="R1179" s="23"/>
      <c r="AR1179" s="23"/>
      <c r="AS1179" s="23"/>
      <c r="AT1179" s="23"/>
      <c r="AU1179" s="23"/>
    </row>
    <row r="1180" spans="8:47" x14ac:dyDescent="0.2">
      <c r="H1180" s="23"/>
      <c r="N1180" s="6"/>
      <c r="Q1180" s="23"/>
      <c r="R1180" s="23"/>
      <c r="AR1180" s="23"/>
      <c r="AS1180" s="23"/>
      <c r="AT1180" s="23"/>
      <c r="AU1180" s="23"/>
    </row>
    <row r="1181" spans="8:47" x14ac:dyDescent="0.2">
      <c r="H1181" s="23"/>
      <c r="N1181" s="6"/>
      <c r="Q1181" s="23"/>
      <c r="R1181" s="23"/>
      <c r="AR1181" s="23"/>
      <c r="AS1181" s="23"/>
      <c r="AT1181" s="23"/>
      <c r="AU1181" s="23"/>
    </row>
    <row r="1182" spans="8:47" x14ac:dyDescent="0.2">
      <c r="H1182" s="23"/>
      <c r="N1182" s="6"/>
      <c r="Q1182" s="23"/>
      <c r="R1182" s="23"/>
      <c r="AR1182" s="23"/>
      <c r="AS1182" s="23"/>
      <c r="AT1182" s="23"/>
      <c r="AU1182" s="23"/>
    </row>
    <row r="1183" spans="8:47" x14ac:dyDescent="0.2">
      <c r="H1183" s="23"/>
      <c r="N1183" s="6"/>
      <c r="Q1183" s="23"/>
      <c r="R1183" s="23"/>
      <c r="AR1183" s="23"/>
      <c r="AS1183" s="23"/>
      <c r="AT1183" s="23"/>
      <c r="AU1183" s="23"/>
    </row>
    <row r="1184" spans="8:47" x14ac:dyDescent="0.2">
      <c r="H1184" s="23"/>
      <c r="N1184" s="6"/>
      <c r="Q1184" s="23"/>
      <c r="R1184" s="23"/>
      <c r="AR1184" s="23"/>
      <c r="AS1184" s="23"/>
      <c r="AT1184" s="23"/>
      <c r="AU1184" s="23"/>
    </row>
    <row r="1185" spans="8:47" x14ac:dyDescent="0.2">
      <c r="H1185" s="23"/>
      <c r="N1185" s="6"/>
      <c r="Q1185" s="23"/>
      <c r="R1185" s="23"/>
      <c r="AR1185" s="23"/>
      <c r="AS1185" s="23"/>
      <c r="AT1185" s="23"/>
      <c r="AU1185" s="23"/>
    </row>
    <row r="1186" spans="8:47" x14ac:dyDescent="0.2">
      <c r="H1186" s="23"/>
      <c r="N1186" s="6"/>
      <c r="Q1186" s="23"/>
      <c r="R1186" s="23"/>
      <c r="AR1186" s="23"/>
      <c r="AS1186" s="23"/>
      <c r="AT1186" s="23"/>
      <c r="AU1186" s="23"/>
    </row>
    <row r="1187" spans="8:47" x14ac:dyDescent="0.2">
      <c r="H1187" s="23"/>
      <c r="N1187" s="6"/>
      <c r="Q1187" s="23"/>
      <c r="R1187" s="23"/>
      <c r="AR1187" s="23"/>
      <c r="AS1187" s="23"/>
      <c r="AT1187" s="23"/>
      <c r="AU1187" s="23"/>
    </row>
    <row r="1188" spans="8:47" x14ac:dyDescent="0.2">
      <c r="H1188" s="23"/>
      <c r="N1188" s="6"/>
      <c r="Q1188" s="23"/>
      <c r="R1188" s="23"/>
      <c r="AR1188" s="23"/>
      <c r="AS1188" s="23"/>
      <c r="AT1188" s="23"/>
    </row>
    <row r="1189" spans="8:47" x14ac:dyDescent="0.2">
      <c r="H1189" s="23"/>
      <c r="N1189" s="6"/>
      <c r="Q1189" s="23"/>
      <c r="R1189" s="23"/>
      <c r="AR1189" s="23"/>
      <c r="AS1189" s="23"/>
      <c r="AT1189" s="23"/>
      <c r="AU1189" s="23"/>
    </row>
    <row r="1190" spans="8:47" x14ac:dyDescent="0.2">
      <c r="H1190" s="23"/>
      <c r="N1190" s="6"/>
      <c r="Q1190" s="23"/>
      <c r="R1190" s="23"/>
      <c r="AR1190" s="23"/>
      <c r="AT1190" s="23"/>
      <c r="AU1190" s="23"/>
    </row>
    <row r="1191" spans="8:47" x14ac:dyDescent="0.2">
      <c r="H1191" s="23"/>
      <c r="N1191" s="6"/>
      <c r="Q1191" s="23"/>
      <c r="R1191" s="23"/>
      <c r="AR1191" s="23"/>
      <c r="AS1191" s="23"/>
      <c r="AT1191" s="23"/>
      <c r="AU1191" s="23"/>
    </row>
    <row r="1192" spans="8:47" x14ac:dyDescent="0.2">
      <c r="H1192" s="23"/>
      <c r="N1192" s="6"/>
      <c r="Q1192" s="23"/>
      <c r="R1192" s="23"/>
      <c r="AR1192" s="23"/>
      <c r="AS1192" s="23"/>
      <c r="AT1192" s="23"/>
      <c r="AU1192" s="23"/>
    </row>
    <row r="1193" spans="8:47" x14ac:dyDescent="0.2">
      <c r="H1193" s="23"/>
      <c r="N1193" s="6"/>
      <c r="Q1193" s="23"/>
      <c r="R1193" s="23"/>
      <c r="AR1193" s="23"/>
      <c r="AS1193" s="23"/>
      <c r="AT1193" s="23"/>
      <c r="AU1193" s="23"/>
    </row>
    <row r="1194" spans="8:47" x14ac:dyDescent="0.2">
      <c r="H1194" s="23"/>
      <c r="N1194" s="6"/>
      <c r="Q1194" s="23"/>
      <c r="R1194" s="23"/>
      <c r="AR1194" s="23"/>
      <c r="AT1194" s="23"/>
      <c r="AU1194" s="23"/>
    </row>
    <row r="1195" spans="8:47" x14ac:dyDescent="0.2">
      <c r="H1195" s="23"/>
      <c r="N1195" s="6"/>
      <c r="Q1195" s="23"/>
      <c r="R1195" s="23"/>
      <c r="AR1195" s="23"/>
      <c r="AT1195" s="23"/>
      <c r="AU1195" s="23"/>
    </row>
    <row r="1196" spans="8:47" x14ac:dyDescent="0.2">
      <c r="H1196" s="23"/>
      <c r="N1196" s="6"/>
      <c r="Q1196" s="23"/>
      <c r="R1196" s="23"/>
      <c r="AR1196" s="23"/>
      <c r="AS1196" s="23"/>
      <c r="AT1196" s="23"/>
      <c r="AU1196" s="23"/>
    </row>
    <row r="1197" spans="8:47" x14ac:dyDescent="0.2">
      <c r="H1197" s="23"/>
      <c r="N1197" s="6"/>
      <c r="Q1197" s="23"/>
      <c r="R1197" s="23"/>
      <c r="AR1197" s="23"/>
      <c r="AS1197" s="23"/>
      <c r="AT1197" s="23"/>
      <c r="AU1197" s="23"/>
    </row>
    <row r="1198" spans="8:47" x14ac:dyDescent="0.2">
      <c r="H1198" s="23"/>
      <c r="N1198" s="6"/>
      <c r="Q1198" s="23"/>
      <c r="R1198" s="23"/>
      <c r="AT1198" s="23"/>
      <c r="AU1198" s="23"/>
    </row>
    <row r="1199" spans="8:47" x14ac:dyDescent="0.2">
      <c r="H1199" s="23"/>
      <c r="N1199" s="6"/>
      <c r="Q1199" s="23"/>
      <c r="R1199" s="23"/>
      <c r="AR1199" s="23"/>
      <c r="AS1199" s="23"/>
      <c r="AT1199" s="23"/>
      <c r="AU1199" s="23"/>
    </row>
    <row r="1200" spans="8:47" x14ac:dyDescent="0.2">
      <c r="H1200" s="23"/>
      <c r="N1200" s="6"/>
      <c r="Q1200" s="23"/>
      <c r="R1200" s="23"/>
      <c r="AR1200" s="23"/>
      <c r="AT1200" s="23"/>
      <c r="AU1200" s="23"/>
    </row>
    <row r="1201" spans="8:47" x14ac:dyDescent="0.2">
      <c r="H1201" s="23"/>
      <c r="N1201" s="6"/>
      <c r="Q1201" s="23"/>
      <c r="R1201" s="23"/>
      <c r="AR1201" s="23"/>
      <c r="AT1201" s="23"/>
      <c r="AU1201" s="23"/>
    </row>
    <row r="1202" spans="8:47" x14ac:dyDescent="0.2">
      <c r="H1202" s="23"/>
      <c r="N1202" s="6"/>
      <c r="Q1202" s="23"/>
      <c r="R1202" s="23"/>
      <c r="AR1202" s="23"/>
      <c r="AS1202" s="23"/>
      <c r="AT1202" s="23"/>
      <c r="AU1202" s="23"/>
    </row>
    <row r="1203" spans="8:47" x14ac:dyDescent="0.2">
      <c r="H1203" s="23"/>
      <c r="N1203" s="6"/>
      <c r="Q1203" s="23"/>
      <c r="R1203" s="23"/>
      <c r="AR1203" s="23"/>
      <c r="AS1203" s="23"/>
      <c r="AT1203" s="23"/>
      <c r="AU1203" s="23"/>
    </row>
    <row r="1204" spans="8:47" x14ac:dyDescent="0.2">
      <c r="H1204" s="23"/>
      <c r="N1204" s="6"/>
      <c r="Q1204" s="23"/>
      <c r="R1204" s="23"/>
      <c r="AR1204" s="23"/>
      <c r="AS1204" s="23"/>
      <c r="AT1204" s="23"/>
      <c r="AU1204" s="23"/>
    </row>
    <row r="1205" spans="8:47" x14ac:dyDescent="0.2">
      <c r="H1205" s="23"/>
      <c r="N1205" s="6"/>
      <c r="Q1205" s="23"/>
      <c r="R1205" s="23"/>
      <c r="AR1205" s="23"/>
      <c r="AS1205" s="23"/>
      <c r="AT1205" s="23"/>
      <c r="AU1205" s="23"/>
    </row>
    <row r="1206" spans="8:47" x14ac:dyDescent="0.2">
      <c r="H1206" s="23"/>
      <c r="N1206" s="6"/>
      <c r="Q1206" s="23"/>
      <c r="R1206" s="23"/>
      <c r="AR1206" s="23"/>
      <c r="AS1206" s="23"/>
      <c r="AT1206" s="23"/>
      <c r="AU1206" s="23"/>
    </row>
    <row r="1207" spans="8:47" x14ac:dyDescent="0.2">
      <c r="H1207" s="23"/>
      <c r="N1207" s="6"/>
      <c r="Q1207" s="23"/>
      <c r="R1207" s="23"/>
      <c r="AR1207" s="23"/>
      <c r="AS1207" s="23"/>
      <c r="AT1207" s="23"/>
      <c r="AU1207" s="23"/>
    </row>
    <row r="1208" spans="8:47" x14ac:dyDescent="0.2">
      <c r="H1208" s="23"/>
      <c r="N1208" s="6"/>
      <c r="Q1208" s="23"/>
      <c r="R1208" s="23"/>
      <c r="AR1208" s="23"/>
      <c r="AS1208" s="23"/>
      <c r="AT1208" s="23"/>
      <c r="AU1208" s="23"/>
    </row>
    <row r="1209" spans="8:47" x14ac:dyDescent="0.2">
      <c r="H1209" s="23"/>
      <c r="N1209" s="6"/>
      <c r="Q1209" s="23"/>
      <c r="R1209" s="23"/>
      <c r="AR1209" s="23"/>
      <c r="AT1209" s="23"/>
      <c r="AU1209" s="23"/>
    </row>
    <row r="1210" spans="8:47" x14ac:dyDescent="0.2">
      <c r="H1210" s="23"/>
      <c r="N1210" s="6"/>
      <c r="Q1210" s="23"/>
      <c r="R1210" s="23"/>
      <c r="AR1210" s="23"/>
      <c r="AS1210" s="23"/>
      <c r="AT1210" s="23"/>
      <c r="AU1210" s="23"/>
    </row>
    <row r="1211" spans="8:47" x14ac:dyDescent="0.2">
      <c r="H1211" s="23"/>
      <c r="N1211" s="6"/>
      <c r="Q1211" s="23"/>
      <c r="R1211" s="23"/>
      <c r="AR1211" s="23"/>
      <c r="AS1211" s="23"/>
      <c r="AT1211" s="23"/>
      <c r="AU1211" s="23"/>
    </row>
    <row r="1212" spans="8:47" x14ac:dyDescent="0.2">
      <c r="H1212" s="23"/>
      <c r="N1212" s="6"/>
      <c r="Q1212" s="23"/>
      <c r="R1212" s="23"/>
      <c r="AR1212" s="23"/>
      <c r="AS1212" s="23"/>
      <c r="AT1212" s="23"/>
      <c r="AU1212" s="23"/>
    </row>
    <row r="1213" spans="8:47" x14ac:dyDescent="0.2">
      <c r="H1213" s="23"/>
      <c r="N1213" s="6"/>
      <c r="Q1213" s="23"/>
      <c r="R1213" s="23"/>
      <c r="AR1213" s="23"/>
      <c r="AS1213" s="23"/>
      <c r="AT1213" s="23"/>
      <c r="AU1213" s="23"/>
    </row>
    <row r="1214" spans="8:47" x14ac:dyDescent="0.2">
      <c r="H1214" s="23"/>
      <c r="N1214" s="6"/>
      <c r="Q1214" s="23"/>
      <c r="R1214" s="23"/>
      <c r="AR1214" s="23"/>
      <c r="AS1214" s="23"/>
      <c r="AT1214" s="23"/>
      <c r="AU1214" s="23"/>
    </row>
    <row r="1215" spans="8:47" x14ac:dyDescent="0.2">
      <c r="H1215" s="23"/>
      <c r="N1215" s="6"/>
      <c r="Q1215" s="23"/>
      <c r="R1215" s="23"/>
      <c r="AR1215" s="23"/>
      <c r="AS1215" s="23"/>
      <c r="AT1215" s="23"/>
      <c r="AU1215" s="23"/>
    </row>
    <row r="1216" spans="8:47" x14ac:dyDescent="0.2">
      <c r="H1216" s="23"/>
      <c r="N1216" s="6"/>
      <c r="Q1216" s="23"/>
      <c r="R1216" s="23"/>
      <c r="AR1216" s="23"/>
      <c r="AS1216" s="23"/>
      <c r="AT1216" s="23"/>
      <c r="AU1216" s="23"/>
    </row>
    <row r="1217" spans="8:47" x14ac:dyDescent="0.2">
      <c r="H1217" s="23"/>
      <c r="N1217" s="6"/>
      <c r="Q1217" s="23"/>
      <c r="R1217" s="23"/>
      <c r="AR1217" s="23"/>
      <c r="AT1217" s="23"/>
      <c r="AU1217" s="23"/>
    </row>
    <row r="1218" spans="8:47" x14ac:dyDescent="0.2">
      <c r="H1218" s="23"/>
      <c r="N1218" s="6"/>
      <c r="Q1218" s="23"/>
      <c r="R1218" s="23"/>
      <c r="AR1218" s="23"/>
      <c r="AT1218" s="23"/>
      <c r="AU1218" s="23"/>
    </row>
    <row r="1219" spans="8:47" x14ac:dyDescent="0.2">
      <c r="H1219" s="23"/>
      <c r="N1219" s="6"/>
      <c r="Q1219" s="23"/>
      <c r="R1219" s="23"/>
      <c r="AR1219" s="23"/>
      <c r="AS1219" s="23"/>
      <c r="AT1219" s="23"/>
      <c r="AU1219" s="23"/>
    </row>
    <row r="1220" spans="8:47" x14ac:dyDescent="0.2">
      <c r="H1220" s="23"/>
      <c r="N1220" s="6"/>
      <c r="Q1220" s="23"/>
      <c r="R1220" s="23"/>
      <c r="AR1220" s="23"/>
      <c r="AS1220" s="23"/>
      <c r="AT1220" s="23"/>
      <c r="AU1220" s="23"/>
    </row>
    <row r="1221" spans="8:47" x14ac:dyDescent="0.2">
      <c r="H1221" s="23"/>
      <c r="N1221" s="6"/>
      <c r="Q1221" s="23"/>
      <c r="R1221" s="23"/>
      <c r="AR1221" s="23"/>
      <c r="AS1221" s="23"/>
      <c r="AT1221" s="23"/>
      <c r="AU1221" s="23"/>
    </row>
    <row r="1222" spans="8:47" x14ac:dyDescent="0.2">
      <c r="H1222" s="23"/>
      <c r="N1222" s="6"/>
      <c r="Q1222" s="23"/>
      <c r="R1222" s="23"/>
      <c r="AR1222" s="23"/>
      <c r="AS1222" s="23"/>
      <c r="AT1222" s="23"/>
      <c r="AU1222" s="23"/>
    </row>
    <row r="1223" spans="8:47" x14ac:dyDescent="0.2">
      <c r="H1223" s="23"/>
      <c r="N1223" s="6"/>
      <c r="Q1223" s="23"/>
      <c r="R1223" s="23"/>
      <c r="AR1223" s="23"/>
      <c r="AS1223" s="23"/>
      <c r="AT1223" s="23"/>
      <c r="AU1223" s="23"/>
    </row>
    <row r="1224" spans="8:47" x14ac:dyDescent="0.2">
      <c r="H1224" s="23"/>
      <c r="N1224" s="6"/>
      <c r="Q1224" s="23"/>
      <c r="R1224" s="23"/>
      <c r="AR1224" s="23"/>
      <c r="AT1224" s="23"/>
      <c r="AU1224" s="23"/>
    </row>
    <row r="1225" spans="8:47" x14ac:dyDescent="0.2">
      <c r="H1225" s="23"/>
      <c r="N1225" s="6"/>
      <c r="Q1225" s="23"/>
      <c r="R1225" s="23"/>
      <c r="AR1225" s="23"/>
      <c r="AS1225" s="23"/>
      <c r="AT1225" s="23"/>
      <c r="AU1225" s="23"/>
    </row>
    <row r="1226" spans="8:47" x14ac:dyDescent="0.2">
      <c r="H1226" s="23"/>
      <c r="N1226" s="6"/>
      <c r="Q1226" s="23"/>
      <c r="R1226" s="23"/>
      <c r="AR1226" s="23"/>
      <c r="AT1226" s="23"/>
      <c r="AU1226" s="23"/>
    </row>
    <row r="1227" spans="8:47" x14ac:dyDescent="0.2">
      <c r="H1227" s="23"/>
      <c r="N1227" s="6"/>
      <c r="Q1227" s="23"/>
      <c r="R1227" s="23"/>
      <c r="AR1227" s="23"/>
      <c r="AS1227" s="23"/>
      <c r="AT1227" s="23"/>
      <c r="AU1227" s="23"/>
    </row>
    <row r="1228" spans="8:47" x14ac:dyDescent="0.2">
      <c r="H1228" s="23"/>
      <c r="N1228" s="6"/>
      <c r="Q1228" s="23"/>
      <c r="R1228" s="23"/>
      <c r="AR1228" s="23"/>
      <c r="AS1228" s="23"/>
      <c r="AT1228" s="23"/>
      <c r="AU1228" s="23"/>
    </row>
    <row r="1229" spans="8:47" x14ac:dyDescent="0.2">
      <c r="H1229" s="23"/>
      <c r="N1229" s="6"/>
      <c r="Q1229" s="23"/>
      <c r="R1229" s="23"/>
      <c r="AR1229" s="23"/>
      <c r="AS1229" s="23"/>
      <c r="AT1229" s="23"/>
      <c r="AU1229" s="23"/>
    </row>
    <row r="1230" spans="8:47" x14ac:dyDescent="0.2">
      <c r="H1230" s="23"/>
      <c r="N1230" s="6"/>
      <c r="Q1230" s="23"/>
      <c r="R1230" s="23"/>
      <c r="AR1230" s="23"/>
      <c r="AS1230" s="23"/>
      <c r="AT1230" s="23"/>
      <c r="AU1230" s="23"/>
    </row>
    <row r="1231" spans="8:47" x14ac:dyDescent="0.2">
      <c r="H1231" s="23"/>
      <c r="N1231" s="6"/>
      <c r="Q1231" s="23"/>
      <c r="R1231" s="23"/>
      <c r="AR1231" s="23"/>
      <c r="AT1231" s="23"/>
      <c r="AU1231" s="23"/>
    </row>
    <row r="1232" spans="8:47" x14ac:dyDescent="0.2">
      <c r="H1232" s="23"/>
      <c r="N1232" s="6"/>
      <c r="Q1232" s="23"/>
      <c r="R1232" s="23"/>
      <c r="AR1232" s="23"/>
      <c r="AS1232" s="23"/>
      <c r="AT1232" s="23"/>
      <c r="AU1232" s="23"/>
    </row>
    <row r="1233" spans="8:47" x14ac:dyDescent="0.2">
      <c r="H1233" s="23"/>
      <c r="N1233" s="6"/>
      <c r="Q1233" s="23"/>
      <c r="R1233" s="23"/>
      <c r="AR1233" s="23"/>
      <c r="AS1233" s="23"/>
      <c r="AT1233" s="23"/>
      <c r="AU1233" s="23"/>
    </row>
    <row r="1234" spans="8:47" x14ac:dyDescent="0.2">
      <c r="H1234" s="23"/>
      <c r="N1234" s="6"/>
      <c r="Q1234" s="23"/>
      <c r="R1234" s="23"/>
      <c r="AR1234" s="23"/>
      <c r="AT1234" s="23"/>
      <c r="AU1234" s="23"/>
    </row>
    <row r="1235" spans="8:47" x14ac:dyDescent="0.2">
      <c r="H1235" s="23"/>
      <c r="N1235" s="6"/>
      <c r="Q1235" s="23"/>
      <c r="R1235" s="23"/>
      <c r="AR1235" s="23"/>
      <c r="AS1235" s="23"/>
      <c r="AT1235" s="23"/>
      <c r="AU1235" s="23"/>
    </row>
    <row r="1236" spans="8:47" x14ac:dyDescent="0.2">
      <c r="H1236" s="23"/>
      <c r="N1236" s="6"/>
      <c r="Q1236" s="23"/>
      <c r="R1236" s="23"/>
      <c r="AT1236" s="23"/>
      <c r="AU1236" s="23"/>
    </row>
    <row r="1237" spans="8:47" x14ac:dyDescent="0.2">
      <c r="H1237" s="23"/>
      <c r="N1237" s="6"/>
      <c r="Q1237" s="23"/>
      <c r="R1237" s="23"/>
      <c r="AR1237" s="23"/>
      <c r="AS1237" s="23"/>
      <c r="AT1237" s="23"/>
      <c r="AU1237" s="23"/>
    </row>
    <row r="1238" spans="8:47" x14ac:dyDescent="0.2">
      <c r="H1238" s="23"/>
      <c r="N1238" s="6"/>
      <c r="Q1238" s="23"/>
      <c r="R1238" s="23"/>
    </row>
    <row r="1239" spans="8:47" x14ac:dyDescent="0.2">
      <c r="H1239" s="23"/>
      <c r="N1239" s="6"/>
      <c r="Q1239" s="23"/>
      <c r="R1239" s="23"/>
      <c r="AR1239" s="23"/>
      <c r="AS1239" s="23"/>
      <c r="AT1239" s="23"/>
      <c r="AU1239" s="23"/>
    </row>
    <row r="1240" spans="8:47" x14ac:dyDescent="0.2">
      <c r="H1240" s="23"/>
      <c r="N1240" s="6"/>
      <c r="Q1240" s="23"/>
      <c r="R1240" s="23"/>
      <c r="AR1240" s="23"/>
      <c r="AS1240" s="23"/>
      <c r="AT1240" s="23"/>
      <c r="AU1240" s="23"/>
    </row>
    <row r="1241" spans="8:47" x14ac:dyDescent="0.2">
      <c r="H1241" s="23"/>
      <c r="N1241" s="6"/>
      <c r="Q1241" s="23"/>
      <c r="R1241" s="23"/>
      <c r="AR1241" s="23"/>
      <c r="AS1241" s="23"/>
      <c r="AT1241" s="23"/>
      <c r="AU1241" s="23"/>
    </row>
    <row r="1242" spans="8:47" x14ac:dyDescent="0.2">
      <c r="H1242" s="23"/>
      <c r="N1242" s="6"/>
      <c r="Q1242" s="23"/>
      <c r="R1242" s="23"/>
      <c r="AR1242" s="23"/>
      <c r="AS1242" s="23"/>
      <c r="AT1242" s="23"/>
      <c r="AU1242" s="23"/>
    </row>
    <row r="1243" spans="8:47" x14ac:dyDescent="0.2">
      <c r="H1243" s="23"/>
      <c r="N1243" s="6"/>
      <c r="Q1243" s="23"/>
      <c r="R1243" s="23"/>
      <c r="AR1243" s="23"/>
      <c r="AS1243" s="23"/>
      <c r="AT1243" s="23"/>
      <c r="AU1243" s="23"/>
    </row>
    <row r="1244" spans="8:47" x14ac:dyDescent="0.2">
      <c r="H1244" s="23"/>
      <c r="N1244" s="6"/>
      <c r="Q1244" s="23"/>
      <c r="R1244" s="23"/>
      <c r="AR1244" s="23"/>
      <c r="AS1244" s="23"/>
      <c r="AT1244" s="23"/>
      <c r="AU1244" s="23"/>
    </row>
    <row r="1245" spans="8:47" x14ac:dyDescent="0.2">
      <c r="H1245" s="23"/>
      <c r="N1245" s="6"/>
      <c r="Q1245" s="23"/>
      <c r="R1245" s="23"/>
      <c r="AR1245" s="23"/>
      <c r="AS1245" s="23"/>
      <c r="AT1245" s="23"/>
      <c r="AU1245" s="23"/>
    </row>
    <row r="1246" spans="8:47" x14ac:dyDescent="0.2">
      <c r="H1246" s="23"/>
      <c r="N1246" s="6"/>
      <c r="Q1246" s="23"/>
      <c r="R1246" s="23"/>
      <c r="AR1246" s="23"/>
      <c r="AS1246" s="23"/>
      <c r="AT1246" s="23"/>
      <c r="AU1246" s="23"/>
    </row>
    <row r="1247" spans="8:47" x14ac:dyDescent="0.2">
      <c r="H1247" s="23"/>
      <c r="N1247" s="6"/>
      <c r="Q1247" s="23"/>
      <c r="R1247" s="23"/>
      <c r="AR1247" s="23"/>
      <c r="AS1247" s="23"/>
      <c r="AT1247" s="23"/>
      <c r="AU1247" s="23"/>
    </row>
    <row r="1248" spans="8:47" x14ac:dyDescent="0.2">
      <c r="H1248" s="23"/>
      <c r="N1248" s="6"/>
      <c r="Q1248" s="23"/>
      <c r="R1248" s="23"/>
      <c r="AR1248" s="23"/>
      <c r="AS1248" s="23"/>
      <c r="AT1248" s="23"/>
      <c r="AU1248" s="23"/>
    </row>
    <row r="1249" spans="8:47" x14ac:dyDescent="0.2">
      <c r="H1249" s="23"/>
      <c r="N1249" s="6"/>
      <c r="Q1249" s="23"/>
      <c r="R1249" s="23"/>
      <c r="AR1249" s="23"/>
      <c r="AS1249" s="23"/>
      <c r="AT1249" s="23"/>
      <c r="AU1249" s="23"/>
    </row>
    <row r="1250" spans="8:47" x14ac:dyDescent="0.2">
      <c r="H1250" s="23"/>
      <c r="N1250" s="6"/>
      <c r="Q1250" s="23"/>
      <c r="R1250" s="23"/>
      <c r="AR1250" s="23"/>
      <c r="AS1250" s="23"/>
      <c r="AT1250" s="23"/>
      <c r="AU1250" s="23"/>
    </row>
    <row r="1251" spans="8:47" x14ac:dyDescent="0.2">
      <c r="H1251" s="23"/>
      <c r="N1251" s="6"/>
      <c r="Q1251" s="23"/>
      <c r="R1251" s="23"/>
      <c r="AR1251" s="23"/>
      <c r="AS1251" s="23"/>
      <c r="AT1251" s="23"/>
      <c r="AU1251" s="23"/>
    </row>
    <row r="1252" spans="8:47" x14ac:dyDescent="0.2">
      <c r="H1252" s="23"/>
      <c r="N1252" s="6"/>
      <c r="Q1252" s="23"/>
      <c r="R1252" s="23"/>
      <c r="AR1252" s="23"/>
      <c r="AS1252" s="23"/>
      <c r="AT1252" s="23"/>
      <c r="AU1252" s="23"/>
    </row>
    <row r="1253" spans="8:47" x14ac:dyDescent="0.2">
      <c r="H1253" s="23"/>
      <c r="N1253" s="6"/>
      <c r="Q1253" s="23"/>
      <c r="R1253" s="23"/>
      <c r="AR1253" s="23"/>
      <c r="AS1253" s="23"/>
      <c r="AT1253" s="23"/>
      <c r="AU1253" s="23"/>
    </row>
    <row r="1254" spans="8:47" x14ac:dyDescent="0.2">
      <c r="H1254" s="23"/>
      <c r="N1254" s="6"/>
      <c r="Q1254" s="23"/>
      <c r="R1254" s="23"/>
      <c r="AR1254" s="23"/>
      <c r="AS1254" s="23"/>
      <c r="AT1254" s="23"/>
      <c r="AU1254" s="23"/>
    </row>
    <row r="1255" spans="8:47" x14ac:dyDescent="0.2">
      <c r="H1255" s="23"/>
      <c r="N1255" s="6"/>
      <c r="Q1255" s="23"/>
      <c r="R1255" s="23"/>
      <c r="AR1255" s="23"/>
      <c r="AS1255" s="23"/>
      <c r="AT1255" s="23"/>
      <c r="AU1255" s="23"/>
    </row>
    <row r="1256" spans="8:47" x14ac:dyDescent="0.2">
      <c r="H1256" s="23"/>
      <c r="N1256" s="6"/>
      <c r="Q1256" s="23"/>
      <c r="R1256" s="23"/>
      <c r="AR1256" s="23"/>
      <c r="AS1256" s="23"/>
      <c r="AT1256" s="23"/>
      <c r="AU1256" s="23"/>
    </row>
    <row r="1257" spans="8:47" x14ac:dyDescent="0.2">
      <c r="H1257" s="23"/>
      <c r="N1257" s="6"/>
      <c r="Q1257" s="23"/>
      <c r="R1257" s="23"/>
      <c r="AR1257" s="23"/>
      <c r="AS1257" s="23"/>
      <c r="AT1257" s="23"/>
      <c r="AU1257" s="23"/>
    </row>
    <row r="1258" spans="8:47" x14ac:dyDescent="0.2">
      <c r="H1258" s="23"/>
      <c r="N1258" s="6"/>
      <c r="Q1258" s="23"/>
      <c r="R1258" s="23"/>
      <c r="AR1258" s="23"/>
      <c r="AS1258" s="23"/>
      <c r="AT1258" s="23"/>
      <c r="AU1258" s="23"/>
    </row>
    <row r="1259" spans="8:47" x14ac:dyDescent="0.2">
      <c r="H1259" s="23"/>
      <c r="N1259" s="6"/>
      <c r="Q1259" s="23"/>
      <c r="R1259" s="23"/>
      <c r="AR1259" s="23"/>
      <c r="AS1259" s="23"/>
      <c r="AT1259" s="23"/>
      <c r="AU1259" s="23"/>
    </row>
    <row r="1260" spans="8:47" x14ac:dyDescent="0.2">
      <c r="H1260" s="23"/>
      <c r="N1260" s="6"/>
      <c r="Q1260" s="23"/>
      <c r="R1260" s="23"/>
      <c r="AR1260" s="23"/>
      <c r="AS1260" s="23"/>
      <c r="AT1260" s="23"/>
      <c r="AU1260" s="23"/>
    </row>
    <row r="1261" spans="8:47" x14ac:dyDescent="0.2">
      <c r="H1261" s="23"/>
      <c r="N1261" s="6"/>
      <c r="Q1261" s="23"/>
      <c r="R1261" s="23"/>
      <c r="AR1261" s="23"/>
      <c r="AS1261" s="23"/>
      <c r="AT1261" s="23"/>
      <c r="AU1261" s="23"/>
    </row>
    <row r="1262" spans="8:47" x14ac:dyDescent="0.2">
      <c r="H1262" s="23"/>
      <c r="N1262" s="6"/>
      <c r="Q1262" s="23"/>
      <c r="R1262" s="23"/>
      <c r="AR1262" s="23"/>
      <c r="AS1262" s="23"/>
      <c r="AT1262" s="23"/>
      <c r="AU1262" s="23"/>
    </row>
    <row r="1263" spans="8:47" x14ac:dyDescent="0.2">
      <c r="H1263" s="23"/>
      <c r="N1263" s="6"/>
      <c r="Q1263" s="23"/>
      <c r="R1263" s="23"/>
      <c r="AR1263" s="23"/>
      <c r="AS1263" s="23"/>
      <c r="AT1263" s="23"/>
      <c r="AU1263" s="23"/>
    </row>
    <row r="1264" spans="8:47" x14ac:dyDescent="0.2">
      <c r="H1264" s="23"/>
      <c r="N1264" s="6"/>
      <c r="Q1264" s="23"/>
      <c r="R1264" s="23"/>
      <c r="AR1264" s="23"/>
      <c r="AS1264" s="23"/>
      <c r="AT1264" s="23"/>
      <c r="AU1264" s="23"/>
    </row>
    <row r="1265" spans="8:47" x14ac:dyDescent="0.2">
      <c r="H1265" s="23"/>
      <c r="N1265" s="6"/>
      <c r="Q1265" s="23"/>
      <c r="R1265" s="23"/>
      <c r="AR1265" s="23"/>
      <c r="AS1265" s="23"/>
      <c r="AT1265" s="23"/>
      <c r="AU1265" s="23"/>
    </row>
    <row r="1266" spans="8:47" x14ac:dyDescent="0.2">
      <c r="H1266" s="23"/>
      <c r="N1266" s="6"/>
      <c r="Q1266" s="23"/>
      <c r="R1266" s="23"/>
      <c r="AR1266" s="23"/>
      <c r="AS1266" s="23"/>
      <c r="AT1266" s="23"/>
      <c r="AU1266" s="23"/>
    </row>
    <row r="1267" spans="8:47" x14ac:dyDescent="0.2">
      <c r="H1267" s="23"/>
      <c r="N1267" s="6"/>
      <c r="Q1267" s="23"/>
      <c r="R1267" s="23"/>
      <c r="AR1267" s="23"/>
      <c r="AS1267" s="23"/>
      <c r="AT1267" s="23"/>
      <c r="AU1267" s="23"/>
    </row>
    <row r="1268" spans="8:47" x14ac:dyDescent="0.2">
      <c r="H1268" s="23"/>
      <c r="N1268" s="6"/>
      <c r="Q1268" s="23"/>
      <c r="R1268" s="23"/>
    </row>
    <row r="1269" spans="8:47" x14ac:dyDescent="0.2">
      <c r="H1269" s="23"/>
      <c r="N1269" s="6"/>
      <c r="Q1269" s="23"/>
      <c r="R1269" s="23"/>
    </row>
    <row r="1270" spans="8:47" x14ac:dyDescent="0.2">
      <c r="H1270" s="23"/>
      <c r="N1270" s="6"/>
      <c r="Q1270" s="23"/>
      <c r="R1270" s="23"/>
      <c r="AT1270" s="23"/>
      <c r="AU1270" s="23"/>
    </row>
    <row r="1271" spans="8:47" x14ac:dyDescent="0.2">
      <c r="H1271" s="23"/>
      <c r="N1271" s="6"/>
      <c r="Q1271" s="23"/>
      <c r="R1271" s="23"/>
      <c r="AT1271" s="23"/>
      <c r="AU1271" s="2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FD2C-39E9-4653-9D61-418DA567CAC1}">
  <dimension ref="H6:AU1097"/>
  <sheetViews>
    <sheetView workbookViewId="0">
      <selection sqref="A1:XFD1048576"/>
    </sheetView>
  </sheetViews>
  <sheetFormatPr defaultRowHeight="12.75" x14ac:dyDescent="0.2"/>
  <cols>
    <col min="7" max="7" width="29.28515625" bestFit="1" customWidth="1"/>
  </cols>
  <sheetData>
    <row r="6" spans="8:47" x14ac:dyDescent="0.2">
      <c r="H6" s="23"/>
      <c r="N6" s="6"/>
      <c r="Q6" s="23"/>
      <c r="R6" s="23"/>
      <c r="AR6" s="23"/>
      <c r="AS6" s="23"/>
      <c r="AT6" s="23"/>
    </row>
    <row r="7" spans="8:47" x14ac:dyDescent="0.2">
      <c r="H7" s="23"/>
      <c r="N7" s="6"/>
      <c r="Q7" s="23"/>
      <c r="R7" s="23"/>
      <c r="AT7" s="23"/>
      <c r="AU7" s="23"/>
    </row>
    <row r="8" spans="8:47" x14ac:dyDescent="0.2">
      <c r="H8" s="23"/>
      <c r="N8" s="6"/>
      <c r="Q8" s="23"/>
      <c r="R8" s="23"/>
      <c r="AR8" s="23"/>
      <c r="AS8" s="23"/>
      <c r="AT8" s="23"/>
      <c r="AU8" s="23"/>
    </row>
    <row r="9" spans="8:47" x14ac:dyDescent="0.2">
      <c r="H9" s="23"/>
      <c r="N9" s="6"/>
      <c r="Q9" s="23"/>
      <c r="R9" s="23"/>
      <c r="AR9" s="23"/>
      <c r="AS9" s="23"/>
      <c r="AT9" s="23"/>
      <c r="AU9" s="23"/>
    </row>
    <row r="10" spans="8:47" x14ac:dyDescent="0.2">
      <c r="H10" s="23"/>
      <c r="N10" s="6"/>
      <c r="Q10" s="23"/>
      <c r="R10" s="23"/>
      <c r="AR10" s="23"/>
      <c r="AS10" s="23"/>
      <c r="AT10" s="23"/>
      <c r="AU10" s="23"/>
    </row>
    <row r="11" spans="8:47" x14ac:dyDescent="0.2">
      <c r="H11" s="23"/>
      <c r="N11" s="6"/>
      <c r="Q11" s="23"/>
      <c r="R11" s="23"/>
      <c r="AR11" s="23"/>
      <c r="AS11" s="23"/>
      <c r="AT11" s="23"/>
      <c r="AU11" s="23"/>
    </row>
    <row r="12" spans="8:47" x14ac:dyDescent="0.2">
      <c r="H12" s="23"/>
      <c r="N12" s="6"/>
      <c r="Q12" s="23"/>
      <c r="R12" s="23"/>
    </row>
    <row r="13" spans="8:47" x14ac:dyDescent="0.2">
      <c r="H13" s="23"/>
      <c r="N13" s="6"/>
      <c r="Q13" s="23"/>
      <c r="R13" s="23"/>
      <c r="AR13" s="23"/>
      <c r="AS13" s="23"/>
      <c r="AT13" s="23"/>
      <c r="AU13" s="23"/>
    </row>
    <row r="14" spans="8:47" x14ac:dyDescent="0.2">
      <c r="H14" s="23"/>
      <c r="N14" s="6"/>
      <c r="Q14" s="23"/>
      <c r="R14" s="23"/>
      <c r="AR14" s="23"/>
      <c r="AS14" s="23"/>
      <c r="AT14" s="23"/>
      <c r="AU14" s="23"/>
    </row>
    <row r="15" spans="8:47" x14ac:dyDescent="0.2">
      <c r="H15" s="23"/>
      <c r="N15" s="6"/>
      <c r="Q15" s="23"/>
      <c r="R15" s="23"/>
      <c r="AR15" s="23"/>
      <c r="AS15" s="23"/>
      <c r="AT15" s="23"/>
      <c r="AU15" s="23"/>
    </row>
    <row r="16" spans="8:47" x14ac:dyDescent="0.2">
      <c r="H16" s="23"/>
      <c r="N16" s="6"/>
      <c r="Q16" s="23"/>
      <c r="R16" s="23"/>
      <c r="AR16" s="23"/>
      <c r="AS16" s="23"/>
      <c r="AT16" s="23"/>
    </row>
    <row r="17" spans="8:47" x14ac:dyDescent="0.2">
      <c r="H17" s="23"/>
      <c r="N17" s="6"/>
      <c r="Q17" s="23"/>
      <c r="R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T20" s="23"/>
      <c r="AU20" s="23"/>
    </row>
    <row r="21" spans="8:47" x14ac:dyDescent="0.2">
      <c r="H21" s="23"/>
      <c r="N21" s="6"/>
      <c r="Q21" s="23"/>
      <c r="R21" s="23"/>
      <c r="AT21" s="23"/>
      <c r="AU21" s="23"/>
    </row>
    <row r="22" spans="8:47" x14ac:dyDescent="0.2">
      <c r="H22" s="23"/>
      <c r="N22" s="6"/>
      <c r="Q22" s="23"/>
      <c r="R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  <c r="AR25" s="23"/>
      <c r="AS25" s="23"/>
      <c r="AT25" s="23"/>
      <c r="AU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  <c r="AU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  <c r="AR29" s="23"/>
      <c r="AT29" s="23"/>
      <c r="AU29" s="23"/>
    </row>
    <row r="30" spans="8:47" x14ac:dyDescent="0.2">
      <c r="H30" s="23"/>
      <c r="N30" s="6"/>
      <c r="Q30" s="23"/>
      <c r="R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</row>
    <row r="39" spans="8:47" x14ac:dyDescent="0.2">
      <c r="H39" s="23"/>
      <c r="N39" s="6"/>
      <c r="Q39" s="23"/>
      <c r="R39" s="23"/>
    </row>
    <row r="40" spans="8:47" x14ac:dyDescent="0.2">
      <c r="H40" s="23"/>
      <c r="N40" s="6"/>
      <c r="Q40" s="23"/>
      <c r="R40" s="23"/>
      <c r="AR40" s="23"/>
      <c r="AS40" s="23"/>
      <c r="AT40" s="23"/>
      <c r="AU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  <c r="AR42" s="23"/>
      <c r="AS42" s="23"/>
      <c r="AT42" s="23"/>
      <c r="AU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  <c r="AR47" s="23"/>
      <c r="AS47" s="23"/>
      <c r="AT47" s="23"/>
      <c r="AU47" s="23"/>
    </row>
    <row r="48" spans="8:47" x14ac:dyDescent="0.2">
      <c r="H48" s="23"/>
      <c r="N48" s="6"/>
      <c r="Q48" s="23"/>
      <c r="R48" s="23"/>
      <c r="AR48" s="23"/>
      <c r="AT48" s="23"/>
      <c r="AU48" s="23"/>
    </row>
    <row r="49" spans="8:47" x14ac:dyDescent="0.2">
      <c r="H49" s="23"/>
      <c r="N49" s="6"/>
      <c r="Q49" s="23"/>
      <c r="R49" s="23"/>
      <c r="AR49" s="23"/>
      <c r="AS49" s="23"/>
      <c r="AT49" s="23"/>
      <c r="AU49" s="23"/>
    </row>
    <row r="50" spans="8:47" x14ac:dyDescent="0.2">
      <c r="H50" s="23"/>
      <c r="N50" s="6"/>
      <c r="Q50" s="23"/>
      <c r="R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  <c r="AU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  <c r="AR57" s="23"/>
      <c r="AS57" s="23"/>
      <c r="AT57" s="23"/>
      <c r="AU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</row>
    <row r="60" spans="8:47" x14ac:dyDescent="0.2">
      <c r="H60" s="23"/>
      <c r="N60" s="6"/>
      <c r="Q60" s="23"/>
      <c r="R60" s="23"/>
      <c r="AR60" s="23"/>
      <c r="AS60" s="23"/>
      <c r="AT60" s="23"/>
      <c r="AU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R62" s="23"/>
      <c r="AS62" s="23"/>
      <c r="AT62" s="23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T66" s="23"/>
      <c r="AU66" s="24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R69" s="23"/>
      <c r="AS69" s="23"/>
      <c r="AT69" s="23"/>
      <c r="AU69" s="23"/>
    </row>
    <row r="70" spans="8:47" x14ac:dyDescent="0.2">
      <c r="H70" s="23"/>
      <c r="N70" s="6"/>
      <c r="Q70" s="23"/>
      <c r="R70" s="23"/>
      <c r="AR70" s="23"/>
      <c r="AT70" s="23"/>
      <c r="AU70" s="23"/>
    </row>
    <row r="71" spans="8:47" x14ac:dyDescent="0.2">
      <c r="H71" s="23"/>
      <c r="N71" s="6"/>
      <c r="Q71" s="23"/>
      <c r="R71" s="23"/>
      <c r="AR71" s="23"/>
      <c r="AS71" s="23"/>
      <c r="AT71" s="23"/>
      <c r="AU71" s="23"/>
    </row>
    <row r="72" spans="8:47" x14ac:dyDescent="0.2">
      <c r="H72" s="23"/>
      <c r="N72" s="6"/>
      <c r="Q72" s="23"/>
      <c r="R72" s="23"/>
      <c r="AR72" s="23"/>
      <c r="AS72" s="23"/>
      <c r="AT72" s="23"/>
      <c r="AU72" s="23"/>
    </row>
    <row r="73" spans="8:47" x14ac:dyDescent="0.2">
      <c r="H73" s="23"/>
      <c r="N73" s="6"/>
      <c r="Q73" s="23"/>
      <c r="R73" s="23"/>
      <c r="AR73" s="23"/>
      <c r="AS73" s="23"/>
      <c r="AT73" s="23"/>
      <c r="AU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  <c r="AU75" s="23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S77" s="23"/>
      <c r="AT77" s="23"/>
      <c r="AU77" s="23"/>
    </row>
    <row r="78" spans="8:47" x14ac:dyDescent="0.2">
      <c r="H78" s="23"/>
      <c r="N78" s="6"/>
      <c r="Q78" s="23"/>
      <c r="R78" s="23"/>
      <c r="AR78" s="23"/>
      <c r="AS78" s="23"/>
      <c r="AT78" s="23"/>
      <c r="AU78" s="23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R81" s="23"/>
      <c r="AS81" s="23"/>
      <c r="AT81" s="23"/>
      <c r="AU81" s="23"/>
    </row>
    <row r="82" spans="8:47" x14ac:dyDescent="0.2">
      <c r="H82" s="23"/>
      <c r="N82" s="6"/>
      <c r="Q82" s="23"/>
      <c r="R82" s="23"/>
      <c r="AR82" s="23"/>
      <c r="AS82" s="23"/>
      <c r="AT82" s="23"/>
      <c r="AU82" s="23"/>
    </row>
    <row r="83" spans="8:47" x14ac:dyDescent="0.2">
      <c r="H83" s="23"/>
      <c r="N83" s="6"/>
      <c r="Q83" s="23"/>
      <c r="R83" s="23"/>
      <c r="AR83" s="23"/>
      <c r="AT83" s="23"/>
      <c r="AU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S87" s="23"/>
      <c r="AT87" s="23"/>
      <c r="AU87" s="23"/>
    </row>
    <row r="88" spans="8:47" x14ac:dyDescent="0.2">
      <c r="H88" s="23"/>
      <c r="N88" s="6"/>
      <c r="Q88" s="23"/>
      <c r="R88" s="23"/>
      <c r="AR88" s="23"/>
      <c r="AS88" s="23"/>
      <c r="AT88" s="23"/>
      <c r="AU88" s="23"/>
    </row>
    <row r="89" spans="8:47" x14ac:dyDescent="0.2">
      <c r="H89" s="23"/>
      <c r="N89" s="6"/>
      <c r="Q89" s="23"/>
      <c r="R89" s="23"/>
      <c r="AR89" s="23"/>
      <c r="AS89" s="23"/>
      <c r="AT89" s="23"/>
      <c r="AU89" s="23"/>
    </row>
    <row r="90" spans="8:47" x14ac:dyDescent="0.2">
      <c r="H90" s="23"/>
      <c r="N90" s="6"/>
      <c r="Q90" s="23"/>
      <c r="R90" s="23"/>
      <c r="AR90" s="23"/>
      <c r="AS90" s="23"/>
      <c r="AT90" s="23"/>
      <c r="AU90" s="23"/>
    </row>
    <row r="91" spans="8:47" x14ac:dyDescent="0.2">
      <c r="H91" s="23"/>
      <c r="N91" s="6"/>
      <c r="Q91" s="23"/>
      <c r="R91" s="23"/>
      <c r="AR91" s="23"/>
      <c r="AS91" s="23"/>
      <c r="AT91" s="23"/>
      <c r="AU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T93" s="23"/>
      <c r="AU93" s="24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S97" s="23"/>
      <c r="AT97" s="23"/>
      <c r="AU97" s="23"/>
    </row>
    <row r="98" spans="8:47" x14ac:dyDescent="0.2">
      <c r="H98" s="23"/>
      <c r="N98" s="6"/>
      <c r="Q98" s="23"/>
      <c r="R98" s="23"/>
      <c r="AR98" s="23"/>
      <c r="AS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T100" s="23"/>
      <c r="AU100" s="24"/>
    </row>
    <row r="101" spans="8:47" x14ac:dyDescent="0.2">
      <c r="H101" s="23"/>
      <c r="N101" s="6"/>
      <c r="Q101" s="23"/>
      <c r="R101" s="23"/>
      <c r="AR101" s="23"/>
      <c r="AS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S102" s="23"/>
      <c r="AT102" s="23"/>
      <c r="AU102" s="23"/>
    </row>
    <row r="103" spans="8:47" x14ac:dyDescent="0.2">
      <c r="H103" s="23"/>
      <c r="N103" s="6"/>
      <c r="Q103" s="23"/>
      <c r="R103" s="23"/>
      <c r="AR103" s="23"/>
      <c r="AT103" s="23"/>
      <c r="AU103" s="23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R106" s="23"/>
      <c r="AS106" s="23"/>
      <c r="AT106" s="23"/>
      <c r="AU106" s="23"/>
    </row>
    <row r="107" spans="8:47" x14ac:dyDescent="0.2">
      <c r="H107" s="23"/>
      <c r="N107" s="6"/>
      <c r="Q107" s="23"/>
      <c r="R107" s="23"/>
      <c r="AT107" s="23"/>
      <c r="AU107" s="24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T109" s="23"/>
      <c r="AU109" s="23"/>
    </row>
    <row r="110" spans="8:47" x14ac:dyDescent="0.2">
      <c r="H110" s="23"/>
      <c r="N110" s="6"/>
      <c r="Q110" s="23"/>
      <c r="R110" s="23"/>
      <c r="AR110" s="23"/>
      <c r="AS110" s="23"/>
      <c r="AT110" s="23"/>
      <c r="AU110" s="23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  <c r="AU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R115" s="23"/>
      <c r="AS115" s="23"/>
      <c r="AT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T117" s="23"/>
      <c r="AU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3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R125" s="23"/>
      <c r="AS125" s="23"/>
      <c r="AT125" s="23"/>
      <c r="AU125" s="23"/>
    </row>
    <row r="126" spans="8:47" x14ac:dyDescent="0.2">
      <c r="H126" s="23"/>
      <c r="N126" s="6"/>
      <c r="Q126" s="23"/>
      <c r="R126" s="23"/>
      <c r="AR126" s="23"/>
      <c r="AS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  <c r="AR132" s="23"/>
      <c r="AS132" s="23"/>
      <c r="AT132" s="23"/>
      <c r="AU132" s="23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T135" s="23"/>
      <c r="AU135" s="23"/>
    </row>
    <row r="136" spans="8:47" x14ac:dyDescent="0.2">
      <c r="H136" s="23"/>
      <c r="N136" s="6"/>
      <c r="Q136" s="23"/>
      <c r="R136" s="23"/>
      <c r="AR136" s="23"/>
      <c r="AT136" s="23"/>
      <c r="AU136" s="23"/>
    </row>
    <row r="137" spans="8:47" x14ac:dyDescent="0.2">
      <c r="H137" s="23"/>
      <c r="N137" s="6"/>
      <c r="Q137" s="23"/>
      <c r="R137" s="23"/>
      <c r="AT137" s="23"/>
      <c r="AU137" s="24"/>
    </row>
    <row r="138" spans="8:47" x14ac:dyDescent="0.2">
      <c r="H138" s="23"/>
      <c r="N138" s="6"/>
      <c r="Q138" s="23"/>
      <c r="R138" s="23"/>
      <c r="AR138" s="23"/>
      <c r="AS138" s="23"/>
      <c r="AT138" s="23"/>
      <c r="AU138" s="23"/>
    </row>
    <row r="139" spans="8:47" x14ac:dyDescent="0.2">
      <c r="H139" s="23"/>
      <c r="N139" s="6"/>
      <c r="Q139" s="23"/>
      <c r="R139" s="23"/>
      <c r="AT139" s="23"/>
      <c r="AU139" s="24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R141" s="23"/>
      <c r="AS141" s="23"/>
      <c r="AT141" s="23"/>
      <c r="AU141" s="23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S144" s="23"/>
      <c r="AT144" s="23"/>
      <c r="AU144" s="24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T146" s="23"/>
      <c r="AU146" s="23"/>
    </row>
    <row r="147" spans="8:47" x14ac:dyDescent="0.2">
      <c r="H147" s="23"/>
      <c r="N147" s="6"/>
      <c r="Q147" s="23"/>
      <c r="R147" s="23"/>
      <c r="AR147" s="23"/>
      <c r="AS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R150" s="23"/>
      <c r="AS150" s="23"/>
      <c r="AT150" s="23"/>
      <c r="AU150" s="23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  <c r="AR153" s="23"/>
      <c r="AS153" s="23"/>
      <c r="AT153" s="23"/>
      <c r="AU153" s="23"/>
    </row>
    <row r="154" spans="8:47" x14ac:dyDescent="0.2">
      <c r="H154" s="23"/>
      <c r="N154" s="6"/>
      <c r="Q154" s="23"/>
      <c r="R154" s="23"/>
      <c r="AT154" s="23"/>
      <c r="AU154" s="24"/>
    </row>
    <row r="155" spans="8:47" x14ac:dyDescent="0.2">
      <c r="H155" s="23"/>
      <c r="N155" s="6"/>
      <c r="Q155" s="23"/>
      <c r="R155" s="23"/>
      <c r="AR155" s="23"/>
      <c r="AS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  <c r="AR157" s="23"/>
      <c r="AS157" s="23"/>
      <c r="AT157" s="23"/>
      <c r="AU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S159" s="23"/>
      <c r="AT159" s="23"/>
      <c r="AU159" s="23"/>
    </row>
    <row r="160" spans="8:47" x14ac:dyDescent="0.2">
      <c r="H160" s="23"/>
      <c r="N160" s="6"/>
      <c r="Q160" s="23"/>
      <c r="R160" s="23"/>
      <c r="AT160" s="23"/>
      <c r="AU160" s="24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  <c r="AR163" s="23"/>
      <c r="AT163" s="23"/>
      <c r="AU163" s="23"/>
    </row>
    <row r="164" spans="8:47" x14ac:dyDescent="0.2">
      <c r="H164" s="23"/>
      <c r="N164" s="6"/>
      <c r="Q164" s="23"/>
      <c r="R164" s="23"/>
      <c r="AR164" s="23"/>
      <c r="AS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S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S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T170" s="23"/>
      <c r="AU170" s="24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T172" s="23"/>
      <c r="AU172" s="24"/>
    </row>
    <row r="173" spans="8:47" x14ac:dyDescent="0.2">
      <c r="H173" s="23"/>
      <c r="N173" s="6"/>
      <c r="Q173" s="23"/>
      <c r="R173" s="23"/>
      <c r="AR173" s="23"/>
      <c r="AS173" s="23"/>
      <c r="AT173" s="23"/>
      <c r="AU173" s="23"/>
    </row>
    <row r="174" spans="8:47" x14ac:dyDescent="0.2">
      <c r="H174" s="23"/>
      <c r="N174" s="6"/>
      <c r="Q174" s="23"/>
      <c r="R174" s="23"/>
      <c r="AR174" s="23"/>
      <c r="AS174" s="23"/>
      <c r="AT174" s="23"/>
      <c r="AU174" s="23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T180" s="23"/>
    </row>
    <row r="181" spans="8:47" x14ac:dyDescent="0.2">
      <c r="H181" s="23"/>
      <c r="N181" s="6"/>
      <c r="Q181" s="23"/>
      <c r="R181" s="23"/>
      <c r="AR181" s="23"/>
      <c r="AS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S182" s="23"/>
      <c r="AT182" s="23"/>
      <c r="AU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  <c r="AU184" s="23"/>
    </row>
    <row r="185" spans="8:47" x14ac:dyDescent="0.2">
      <c r="H185" s="23"/>
      <c r="N185" s="6"/>
      <c r="Q185" s="23"/>
      <c r="R185" s="23"/>
      <c r="AR185" s="23"/>
      <c r="AS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T186" s="23"/>
      <c r="AU186" s="23"/>
    </row>
    <row r="187" spans="8:47" x14ac:dyDescent="0.2">
      <c r="H187" s="23"/>
      <c r="N187" s="6"/>
      <c r="Q187" s="23"/>
      <c r="R187" s="23"/>
      <c r="AR187" s="23"/>
      <c r="AS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T190" s="23"/>
      <c r="AU190" s="24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T192" s="23"/>
      <c r="AU192" s="24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S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S197" s="23"/>
      <c r="AT197" s="23"/>
      <c r="AU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R200" s="23"/>
      <c r="AS200" s="23"/>
      <c r="AT200" s="23"/>
      <c r="AU200" s="23"/>
    </row>
    <row r="201" spans="8:47" x14ac:dyDescent="0.2">
      <c r="H201" s="23"/>
      <c r="N201" s="6"/>
      <c r="Q201" s="23"/>
      <c r="R201" s="23"/>
      <c r="AR201" s="23"/>
      <c r="AS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S202" s="23"/>
      <c r="AT202" s="23"/>
      <c r="AU202" s="23"/>
    </row>
    <row r="203" spans="8:47" x14ac:dyDescent="0.2">
      <c r="H203" s="23"/>
      <c r="N203" s="6"/>
      <c r="Q203" s="23"/>
      <c r="R203" s="23"/>
      <c r="AR203" s="23"/>
      <c r="AS203" s="23"/>
      <c r="AT203" s="23"/>
      <c r="AU203" s="23"/>
    </row>
    <row r="204" spans="8:47" x14ac:dyDescent="0.2">
      <c r="H204" s="23"/>
      <c r="N204" s="6"/>
      <c r="Q204" s="23"/>
      <c r="R204" s="23"/>
      <c r="AR204" s="23"/>
      <c r="AS204" s="23"/>
      <c r="AT204" s="23"/>
      <c r="AU204" s="23"/>
    </row>
    <row r="205" spans="8:47" x14ac:dyDescent="0.2">
      <c r="H205" s="23"/>
      <c r="N205" s="6"/>
      <c r="Q205" s="23"/>
      <c r="R205" s="23"/>
      <c r="AR205" s="23"/>
      <c r="AS205" s="23"/>
      <c r="AT205" s="23"/>
      <c r="AU205" s="23"/>
    </row>
    <row r="206" spans="8:47" x14ac:dyDescent="0.2">
      <c r="H206" s="23"/>
      <c r="N206" s="6"/>
      <c r="Q206" s="23"/>
      <c r="R206" s="23"/>
      <c r="AR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T207" s="23"/>
      <c r="AU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S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S210" s="23"/>
      <c r="AT210" s="23"/>
      <c r="AU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R213" s="23"/>
      <c r="AS213" s="23"/>
      <c r="AT213" s="23"/>
      <c r="AU213" s="23"/>
    </row>
    <row r="214" spans="8:47" x14ac:dyDescent="0.2">
      <c r="H214" s="23"/>
      <c r="N214" s="6"/>
      <c r="Q214" s="23"/>
      <c r="R214" s="23"/>
      <c r="AR214" s="23"/>
      <c r="AS214" s="23"/>
      <c r="AT214" s="23"/>
      <c r="AU214" s="23"/>
    </row>
    <row r="215" spans="8:47" x14ac:dyDescent="0.2">
      <c r="H215" s="23"/>
      <c r="N215" s="6"/>
      <c r="Q215" s="23"/>
      <c r="R215" s="23"/>
      <c r="AR215" s="23"/>
      <c r="AS215" s="23"/>
      <c r="AT215" s="23"/>
      <c r="AU215" s="23"/>
    </row>
    <row r="216" spans="8:47" x14ac:dyDescent="0.2">
      <c r="H216" s="23"/>
      <c r="N216" s="6"/>
      <c r="Q216" s="23"/>
      <c r="R216" s="23"/>
      <c r="AT216" s="23"/>
      <c r="AU216" s="24"/>
    </row>
    <row r="217" spans="8:47" x14ac:dyDescent="0.2">
      <c r="H217" s="23"/>
      <c r="N217" s="6"/>
      <c r="Q217" s="23"/>
      <c r="R217" s="23"/>
      <c r="AR217" s="23"/>
      <c r="AS217" s="23"/>
      <c r="AT217" s="23"/>
      <c r="AU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S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R228" s="23"/>
      <c r="AS228" s="23"/>
      <c r="AT228" s="23"/>
      <c r="AU228" s="23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R230" s="23"/>
      <c r="AS230" s="23"/>
      <c r="AT230" s="23"/>
      <c r="AU230" s="23"/>
    </row>
    <row r="231" spans="8:47" x14ac:dyDescent="0.2">
      <c r="H231" s="23"/>
      <c r="N231" s="6"/>
      <c r="Q231" s="23"/>
      <c r="R231" s="23"/>
      <c r="AR231" s="23"/>
      <c r="AS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R233" s="23"/>
      <c r="AS233" s="23"/>
      <c r="AT233" s="23"/>
      <c r="AU233" s="23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R240" s="23"/>
      <c r="AS240" s="23"/>
      <c r="AT240" s="23"/>
    </row>
    <row r="241" spans="8:47" x14ac:dyDescent="0.2">
      <c r="H241" s="23"/>
      <c r="N241" s="6"/>
      <c r="Q241" s="23"/>
      <c r="R241" s="23"/>
      <c r="AR241" s="23"/>
      <c r="AS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S242" s="23"/>
      <c r="AT242" s="23"/>
      <c r="AU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R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R256" s="23"/>
      <c r="AS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  <c r="AR259" s="23"/>
      <c r="AS259" s="23"/>
      <c r="AT259" s="23"/>
      <c r="AU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R262" s="23"/>
      <c r="AS262" s="23"/>
      <c r="AT262" s="23"/>
      <c r="AU262" s="23"/>
    </row>
    <row r="263" spans="8:47" x14ac:dyDescent="0.2">
      <c r="H263" s="23"/>
      <c r="N263" s="6"/>
      <c r="Q263" s="23"/>
      <c r="R263" s="23"/>
      <c r="AT263" s="23"/>
      <c r="AU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S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S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R286" s="23"/>
      <c r="AS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T292" s="23"/>
      <c r="AU292" s="23"/>
    </row>
    <row r="293" spans="8:47" x14ac:dyDescent="0.2">
      <c r="H293" s="23"/>
      <c r="N293" s="6"/>
      <c r="Q293" s="23"/>
      <c r="R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S294" s="23"/>
      <c r="AT294" s="23"/>
      <c r="AU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S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  <c r="AR310" s="23"/>
      <c r="AS310" s="23"/>
      <c r="AT310" s="23"/>
      <c r="AU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R316" s="23"/>
      <c r="AS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S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S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S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  <c r="AR354" s="23"/>
      <c r="AS354" s="23"/>
      <c r="AT354" s="23"/>
      <c r="AU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R363" s="23"/>
      <c r="AS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S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S366" s="23"/>
      <c r="AT366" s="23"/>
    </row>
    <row r="367" spans="8:47" x14ac:dyDescent="0.2">
      <c r="H367" s="23"/>
      <c r="N367" s="6"/>
      <c r="Q367" s="23"/>
      <c r="R367" s="23"/>
      <c r="AR367" s="23"/>
      <c r="AS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S372" s="23"/>
      <c r="AT372" s="23"/>
      <c r="AU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S375" s="23"/>
      <c r="AT375" s="23"/>
      <c r="AU375" s="23"/>
    </row>
    <row r="376" spans="8:47" x14ac:dyDescent="0.2">
      <c r="H376" s="23"/>
      <c r="N376" s="6"/>
      <c r="Q376" s="23"/>
      <c r="R376" s="23"/>
      <c r="AR376" s="23"/>
      <c r="AS376" s="23"/>
      <c r="AT376" s="23"/>
      <c r="AU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S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R398" s="23"/>
      <c r="AS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S410" s="23"/>
      <c r="AT410" s="23"/>
      <c r="AU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S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R416" s="23"/>
      <c r="AS416" s="23"/>
      <c r="AT416" s="23"/>
      <c r="AU416" s="23"/>
    </row>
    <row r="417" spans="8:47" x14ac:dyDescent="0.2">
      <c r="H417" s="23"/>
      <c r="N417" s="6"/>
      <c r="Q417" s="23"/>
      <c r="R417" s="23"/>
      <c r="AR417" s="23"/>
      <c r="AS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S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  <c r="AR424" s="23"/>
      <c r="AT424" s="23"/>
      <c r="AU424" s="23"/>
    </row>
    <row r="425" spans="8:47" x14ac:dyDescent="0.2">
      <c r="H425" s="23"/>
      <c r="N425" s="6"/>
      <c r="Q425" s="23"/>
      <c r="R425" s="23"/>
      <c r="AR425" s="23"/>
      <c r="AS425" s="23"/>
      <c r="AT425" s="23"/>
      <c r="AU425" s="23"/>
    </row>
    <row r="426" spans="8:47" x14ac:dyDescent="0.2">
      <c r="H426" s="23"/>
      <c r="N426" s="6"/>
      <c r="Q426" s="23"/>
      <c r="R426" s="23"/>
      <c r="AR426" s="23"/>
      <c r="AS426" s="23"/>
      <c r="AT426" s="23"/>
      <c r="AU426" s="23"/>
    </row>
    <row r="427" spans="8:47" x14ac:dyDescent="0.2">
      <c r="H427" s="23"/>
      <c r="N427" s="6"/>
      <c r="Q427" s="23"/>
      <c r="R427" s="23"/>
      <c r="AR427" s="23"/>
      <c r="AS427" s="23"/>
      <c r="AT427" s="23"/>
      <c r="AU427" s="23"/>
    </row>
    <row r="428" spans="8:47" x14ac:dyDescent="0.2">
      <c r="H428" s="23"/>
      <c r="N428" s="6"/>
      <c r="Q428" s="23"/>
      <c r="R428" s="23"/>
      <c r="AR428" s="23"/>
      <c r="AS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R431" s="23"/>
      <c r="AS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S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  <c r="AR439" s="23"/>
      <c r="AT439" s="23"/>
      <c r="AU439" s="23"/>
    </row>
    <row r="440" spans="8:47" x14ac:dyDescent="0.2">
      <c r="H440" s="23"/>
      <c r="N440" s="6"/>
      <c r="Q440" s="23"/>
      <c r="R440" s="23"/>
      <c r="AR440" s="23"/>
      <c r="AS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S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R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  <c r="AR454" s="23"/>
      <c r="AS454" s="23"/>
      <c r="AT454" s="23"/>
      <c r="AU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  <c r="AR456" s="23"/>
      <c r="AS456" s="23"/>
      <c r="AT456" s="23"/>
      <c r="AU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S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R462" s="23"/>
      <c r="AS462" s="23"/>
      <c r="AT462" s="23"/>
      <c r="AU462" s="23"/>
    </row>
    <row r="463" spans="8:47" x14ac:dyDescent="0.2">
      <c r="H463" s="23"/>
      <c r="N463" s="6"/>
      <c r="Q463" s="23"/>
      <c r="R463" s="23"/>
      <c r="AR463" s="23"/>
      <c r="AS463" s="23"/>
      <c r="AT463" s="23"/>
      <c r="AU463" s="23"/>
    </row>
    <row r="464" spans="8:47" x14ac:dyDescent="0.2">
      <c r="H464" s="23"/>
      <c r="N464" s="6"/>
      <c r="Q464" s="23"/>
      <c r="R464" s="23"/>
      <c r="AR464" s="23"/>
      <c r="AS464" s="23"/>
      <c r="AT464" s="23"/>
      <c r="AU464" s="23"/>
    </row>
    <row r="465" spans="8:47" x14ac:dyDescent="0.2">
      <c r="H465" s="23"/>
      <c r="N465" s="6"/>
      <c r="Q465" s="23"/>
      <c r="R465" s="23"/>
      <c r="AR465" s="23"/>
      <c r="AS465" s="23"/>
      <c r="AT465" s="23"/>
      <c r="AU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  <c r="AR467" s="23"/>
      <c r="AS467" s="23"/>
      <c r="AT467" s="23"/>
      <c r="AU467" s="23"/>
    </row>
    <row r="468" spans="8:47" x14ac:dyDescent="0.2">
      <c r="H468" s="23"/>
      <c r="N468" s="6"/>
      <c r="Q468" s="23"/>
      <c r="R468" s="23"/>
      <c r="AR468" s="23"/>
      <c r="AS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  <c r="AR471" s="23"/>
      <c r="AS471" s="23"/>
      <c r="AT471" s="23"/>
      <c r="AU471" s="23"/>
    </row>
    <row r="472" spans="8:47" x14ac:dyDescent="0.2">
      <c r="H472" s="23"/>
      <c r="N472" s="6"/>
      <c r="Q472" s="23"/>
      <c r="R472" s="23"/>
      <c r="AR472" s="23"/>
      <c r="AS472" s="23"/>
      <c r="AT472" s="23"/>
      <c r="AU472" s="23"/>
    </row>
    <row r="473" spans="8:47" x14ac:dyDescent="0.2">
      <c r="H473" s="23"/>
      <c r="N473" s="6"/>
      <c r="Q473" s="23"/>
      <c r="R473" s="23"/>
      <c r="AR473" s="23"/>
      <c r="AS473" s="23"/>
      <c r="AT473" s="23"/>
      <c r="AU473" s="23"/>
    </row>
    <row r="474" spans="8:47" x14ac:dyDescent="0.2">
      <c r="H474" s="23"/>
      <c r="N474" s="6"/>
      <c r="Q474" s="23"/>
      <c r="R474" s="23"/>
      <c r="AR474" s="23"/>
      <c r="AS474" s="23"/>
      <c r="AT474" s="23"/>
      <c r="AU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S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  <c r="AR478" s="23"/>
      <c r="AS478" s="23"/>
      <c r="AT478" s="23"/>
      <c r="AU478" s="23"/>
    </row>
    <row r="479" spans="8:47" x14ac:dyDescent="0.2">
      <c r="H479" s="23"/>
      <c r="N479" s="6"/>
      <c r="Q479" s="23"/>
      <c r="R479" s="23"/>
      <c r="AR479" s="23"/>
      <c r="AS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S481" s="23"/>
      <c r="AT481" s="23"/>
      <c r="AU481" s="23"/>
    </row>
    <row r="482" spans="8:47" x14ac:dyDescent="0.2">
      <c r="H482" s="23"/>
      <c r="N482" s="6"/>
      <c r="Q482" s="23"/>
      <c r="R482" s="23"/>
      <c r="AR482" s="23"/>
      <c r="AS482" s="23"/>
      <c r="AT482" s="23"/>
      <c r="AU482" s="23"/>
    </row>
    <row r="483" spans="8:47" x14ac:dyDescent="0.2">
      <c r="H483" s="23"/>
      <c r="N483" s="6"/>
      <c r="Q483" s="23"/>
      <c r="R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T484" s="23"/>
      <c r="AU484" s="23"/>
    </row>
    <row r="485" spans="8:47" x14ac:dyDescent="0.2">
      <c r="H485" s="23"/>
      <c r="N485" s="6"/>
      <c r="Q485" s="23"/>
      <c r="R485" s="23"/>
      <c r="AR485" s="23"/>
      <c r="AS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  <c r="AR489" s="23"/>
      <c r="AS489" s="23"/>
      <c r="AT489" s="23"/>
      <c r="AU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R491" s="23"/>
      <c r="AS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  <c r="AR500" s="23"/>
      <c r="AT500" s="23"/>
      <c r="AU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  <c r="AR504" s="23"/>
      <c r="AS504" s="23"/>
      <c r="AT504" s="23"/>
      <c r="AU504" s="23"/>
    </row>
    <row r="505" spans="8:47" x14ac:dyDescent="0.2">
      <c r="H505" s="23"/>
      <c r="N505" s="6"/>
      <c r="Q505" s="23"/>
      <c r="R505" s="23"/>
      <c r="AR505" s="23"/>
      <c r="AS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S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S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  <c r="AR517" s="23"/>
      <c r="AS517" s="23"/>
      <c r="AT517" s="23"/>
      <c r="AU517" s="23"/>
    </row>
    <row r="518" spans="8:47" x14ac:dyDescent="0.2">
      <c r="H518" s="23"/>
      <c r="N518" s="6"/>
      <c r="Q518" s="23"/>
      <c r="R518" s="23"/>
      <c r="AR518" s="23"/>
      <c r="AS518" s="23"/>
      <c r="AT518" s="23"/>
      <c r="AU518" s="23"/>
    </row>
    <row r="519" spans="8:47" x14ac:dyDescent="0.2">
      <c r="H519" s="23"/>
      <c r="N519" s="6"/>
      <c r="Q519" s="23"/>
      <c r="R519" s="23"/>
      <c r="AR519" s="23"/>
      <c r="AS519" s="23"/>
      <c r="AT519" s="23"/>
      <c r="AU519" s="23"/>
    </row>
    <row r="520" spans="8:47" x14ac:dyDescent="0.2">
      <c r="H520" s="23"/>
      <c r="N520" s="6"/>
      <c r="Q520" s="23"/>
      <c r="R520" s="23"/>
      <c r="AR520" s="23"/>
      <c r="AS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S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S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S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S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S538" s="23"/>
      <c r="AT538" s="23"/>
      <c r="AU538" s="23"/>
    </row>
    <row r="539" spans="8:47" x14ac:dyDescent="0.2">
      <c r="H539" s="23"/>
      <c r="N539" s="6"/>
      <c r="Q539" s="23"/>
      <c r="R539" s="23"/>
      <c r="AR539" s="23"/>
      <c r="AS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S540" s="23"/>
      <c r="AT540" s="23"/>
      <c r="AU540" s="23"/>
    </row>
    <row r="541" spans="8:47" x14ac:dyDescent="0.2">
      <c r="H541" s="23"/>
      <c r="N541" s="6"/>
      <c r="Q541" s="23"/>
      <c r="R541" s="23"/>
      <c r="AR541" s="23"/>
      <c r="AS541" s="23"/>
      <c r="AT541" s="23"/>
      <c r="AU541" s="23"/>
    </row>
    <row r="542" spans="8:47" x14ac:dyDescent="0.2">
      <c r="H542" s="23"/>
      <c r="N542" s="6"/>
      <c r="Q542" s="23"/>
      <c r="R542" s="23"/>
      <c r="AR542" s="23"/>
      <c r="AS542" s="23"/>
      <c r="AT542" s="23"/>
      <c r="AU542" s="23"/>
    </row>
    <row r="543" spans="8:47" x14ac:dyDescent="0.2">
      <c r="H543" s="23"/>
      <c r="N543" s="6"/>
      <c r="Q543" s="23"/>
      <c r="R543" s="23"/>
      <c r="AR543" s="23"/>
      <c r="AS543" s="23"/>
      <c r="AT543" s="23"/>
      <c r="AU543" s="23"/>
    </row>
    <row r="544" spans="8:47" x14ac:dyDescent="0.2">
      <c r="H544" s="23"/>
      <c r="N544" s="6"/>
      <c r="Q544" s="23"/>
      <c r="R544" s="23"/>
      <c r="AR544" s="23"/>
      <c r="AS544" s="23"/>
      <c r="AT544" s="23"/>
      <c r="AU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  <c r="AR548" s="23"/>
      <c r="AS548" s="23"/>
      <c r="AT548" s="23"/>
      <c r="AU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S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S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  <c r="AR556" s="23"/>
      <c r="AS556" s="23"/>
      <c r="AT556" s="23"/>
      <c r="AU556" s="23"/>
    </row>
    <row r="557" spans="8:47" x14ac:dyDescent="0.2">
      <c r="H557" s="23"/>
      <c r="N557" s="6"/>
      <c r="Q557" s="23"/>
      <c r="R557" s="23"/>
      <c r="AR557" s="23"/>
      <c r="AS557" s="23"/>
      <c r="AT557" s="23"/>
      <c r="AU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  <c r="AR563" s="23"/>
      <c r="AS563" s="23"/>
      <c r="AT563" s="23"/>
      <c r="AU563" s="23"/>
    </row>
    <row r="564" spans="8:47" x14ac:dyDescent="0.2">
      <c r="H564" s="23"/>
      <c r="N564" s="6"/>
      <c r="Q564" s="23"/>
      <c r="R564" s="23"/>
      <c r="AR564" s="23"/>
      <c r="AS564" s="23"/>
      <c r="AT564" s="23"/>
      <c r="AU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  <c r="AU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S568" s="23"/>
      <c r="AT568" s="23"/>
    </row>
    <row r="569" spans="8:47" x14ac:dyDescent="0.2">
      <c r="H569" s="23"/>
      <c r="N569" s="6"/>
      <c r="Q569" s="23"/>
      <c r="R569" s="23"/>
      <c r="AR569" s="23"/>
      <c r="AS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  <c r="AR581" s="23"/>
      <c r="AS581" s="23"/>
      <c r="AT581" s="23"/>
      <c r="AU581" s="23"/>
    </row>
    <row r="582" spans="8:47" x14ac:dyDescent="0.2">
      <c r="H582" s="23"/>
      <c r="N582" s="6"/>
      <c r="Q582" s="23"/>
      <c r="R582" s="23"/>
      <c r="AR582" s="23"/>
      <c r="AS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  <c r="AR586" s="23"/>
      <c r="AS586" s="23"/>
      <c r="AT586" s="23"/>
      <c r="AU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  <c r="AU588" s="23"/>
    </row>
    <row r="589" spans="8:47" x14ac:dyDescent="0.2">
      <c r="H589" s="23"/>
      <c r="N589" s="6"/>
      <c r="Q589" s="23"/>
      <c r="R589" s="23"/>
      <c r="AR589" s="23"/>
      <c r="AS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S596" s="23"/>
      <c r="AT596" s="23"/>
      <c r="AU596" s="23"/>
    </row>
    <row r="597" spans="8:47" x14ac:dyDescent="0.2">
      <c r="H597" s="23"/>
      <c r="N597" s="6"/>
      <c r="Q597" s="23"/>
      <c r="R597" s="23"/>
      <c r="AR597" s="23"/>
      <c r="AS597" s="23"/>
      <c r="AT597" s="23"/>
      <c r="AU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  <c r="AU599" s="23"/>
    </row>
    <row r="600" spans="8:47" x14ac:dyDescent="0.2">
      <c r="H600" s="23"/>
      <c r="N600" s="6"/>
      <c r="Q600" s="23"/>
      <c r="R600" s="23"/>
      <c r="AR600" s="23"/>
      <c r="AS600" s="23"/>
      <c r="AT600" s="23"/>
      <c r="AU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S606" s="23"/>
      <c r="AT606" s="23"/>
      <c r="AU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3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3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3"/>
    </row>
    <row r="611" spans="8:47" x14ac:dyDescent="0.2">
      <c r="H611" s="23"/>
      <c r="N611" s="6"/>
      <c r="Q611" s="23"/>
      <c r="R611" s="23"/>
      <c r="AR611" s="23"/>
      <c r="AS611" s="23"/>
      <c r="AT611" s="23"/>
      <c r="AU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3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3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3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  <c r="AU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3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3"/>
    </row>
    <row r="623" spans="8:47" x14ac:dyDescent="0.2">
      <c r="H623" s="23"/>
      <c r="N623" s="6"/>
      <c r="Q623" s="23"/>
      <c r="R623" s="23"/>
      <c r="AR623" s="23"/>
      <c r="AS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  <c r="AR628" s="23"/>
      <c r="AS628" s="23"/>
      <c r="AT628" s="23"/>
      <c r="AU628" s="23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3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3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3"/>
    </row>
    <row r="636" spans="8:47" x14ac:dyDescent="0.2">
      <c r="H636" s="23"/>
      <c r="N636" s="6"/>
      <c r="Q636" s="23"/>
      <c r="R636" s="23"/>
      <c r="AR636" s="23"/>
      <c r="AS636" s="23"/>
      <c r="AT636" s="23"/>
      <c r="AU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3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  <c r="AR640" s="23"/>
      <c r="AS640" s="23"/>
      <c r="AT640" s="23"/>
      <c r="AU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3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R643" s="23"/>
      <c r="AS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3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S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</row>
    <row r="649" spans="8:47" x14ac:dyDescent="0.2">
      <c r="H649" s="23"/>
      <c r="N649" s="6"/>
      <c r="Q649" s="23"/>
      <c r="R649" s="23"/>
      <c r="AR649" s="23"/>
      <c r="AS649" s="23"/>
      <c r="AT649" s="23"/>
      <c r="AU649" s="23"/>
    </row>
    <row r="650" spans="8:47" x14ac:dyDescent="0.2">
      <c r="H650" s="23"/>
      <c r="N650" s="6"/>
      <c r="Q650" s="23"/>
      <c r="R650" s="23"/>
      <c r="AR650" s="23"/>
      <c r="AS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3"/>
    </row>
    <row r="652" spans="8:47" x14ac:dyDescent="0.2">
      <c r="H652" s="23"/>
      <c r="N652" s="6"/>
      <c r="Q652" s="23"/>
      <c r="R652" s="23"/>
      <c r="AR652" s="23"/>
      <c r="AS652" s="23"/>
      <c r="AT652" s="23"/>
      <c r="AU652" s="23"/>
    </row>
    <row r="653" spans="8:47" x14ac:dyDescent="0.2">
      <c r="H653" s="23"/>
      <c r="N653" s="6"/>
      <c r="Q653" s="23"/>
      <c r="R653" s="23"/>
      <c r="AR653" s="23"/>
      <c r="AS653" s="23"/>
      <c r="AT653" s="23"/>
      <c r="AU653" s="23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  <c r="AR655" s="23"/>
      <c r="AS655" s="23"/>
      <c r="AT655" s="23"/>
      <c r="AU655" s="23"/>
    </row>
    <row r="656" spans="8:47" x14ac:dyDescent="0.2">
      <c r="H656" s="23"/>
      <c r="N656" s="6"/>
      <c r="Q656" s="23"/>
      <c r="R656" s="23"/>
      <c r="AR656" s="23"/>
      <c r="AS656" s="23"/>
      <c r="AT656" s="23"/>
      <c r="AU656" s="23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T659" s="23"/>
      <c r="AU659" s="23"/>
    </row>
    <row r="660" spans="8:47" x14ac:dyDescent="0.2">
      <c r="H660" s="23"/>
      <c r="N660" s="6"/>
      <c r="Q660" s="23"/>
      <c r="R660" s="23"/>
      <c r="AR660" s="23"/>
      <c r="AS660" s="23"/>
      <c r="AT660" s="23"/>
      <c r="AU660" s="23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3"/>
    </row>
    <row r="662" spans="8:47" x14ac:dyDescent="0.2">
      <c r="H662" s="23"/>
      <c r="N662" s="6"/>
      <c r="Q662" s="23"/>
      <c r="R662" s="23"/>
      <c r="AR662" s="23"/>
      <c r="AS662" s="23"/>
      <c r="AT662" s="23"/>
      <c r="AU662" s="23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  <c r="AR664" s="23"/>
      <c r="AS664" s="23"/>
      <c r="AT664" s="23"/>
      <c r="AU664" s="23"/>
    </row>
    <row r="665" spans="8:47" x14ac:dyDescent="0.2">
      <c r="H665" s="23"/>
      <c r="N665" s="6"/>
      <c r="Q665" s="23"/>
      <c r="R665" s="23"/>
      <c r="AR665" s="23"/>
      <c r="AS665" s="23"/>
      <c r="AT665" s="23"/>
      <c r="AU665" s="23"/>
    </row>
    <row r="666" spans="8:47" x14ac:dyDescent="0.2">
      <c r="H666" s="23"/>
      <c r="N666" s="6"/>
      <c r="Q666" s="23"/>
      <c r="R666" s="23"/>
      <c r="AR666" s="23"/>
      <c r="AS666" s="23"/>
      <c r="AT666" s="23"/>
      <c r="AU666" s="23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S670" s="23"/>
      <c r="AT670" s="23"/>
      <c r="AU670" s="23"/>
    </row>
    <row r="671" spans="8:47" x14ac:dyDescent="0.2">
      <c r="H671" s="23"/>
      <c r="N671" s="6"/>
      <c r="Q671" s="23"/>
      <c r="R671" s="23"/>
      <c r="AR671" s="23"/>
      <c r="AS671" s="23"/>
      <c r="AT671" s="23"/>
      <c r="AU671" s="23"/>
    </row>
    <row r="672" spans="8:47" x14ac:dyDescent="0.2">
      <c r="H672" s="23"/>
      <c r="N672" s="6"/>
      <c r="Q672" s="23"/>
      <c r="R672" s="23"/>
      <c r="AR672" s="23"/>
      <c r="AS672" s="23"/>
      <c r="AT672" s="23"/>
      <c r="AU672" s="23"/>
    </row>
    <row r="673" spans="8:47" x14ac:dyDescent="0.2">
      <c r="H673" s="23"/>
      <c r="N673" s="6"/>
      <c r="Q673" s="23"/>
      <c r="R673" s="23"/>
      <c r="AR673" s="23"/>
      <c r="AS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R675" s="23"/>
      <c r="AS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3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S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S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S683" s="23"/>
      <c r="AT683" s="23"/>
      <c r="AU683" s="23"/>
    </row>
    <row r="684" spans="8:47" x14ac:dyDescent="0.2">
      <c r="H684" s="23"/>
      <c r="N684" s="6"/>
      <c r="Q684" s="23"/>
      <c r="R684" s="23"/>
      <c r="AR684" s="23"/>
      <c r="AS684" s="23"/>
      <c r="AT684" s="23"/>
      <c r="AU684" s="23"/>
    </row>
    <row r="685" spans="8:47" x14ac:dyDescent="0.2">
      <c r="H685" s="23"/>
      <c r="N685" s="6"/>
      <c r="Q685" s="23"/>
      <c r="R685" s="23"/>
      <c r="AR685" s="23"/>
      <c r="AS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3"/>
    </row>
    <row r="687" spans="8:47" x14ac:dyDescent="0.2">
      <c r="H687" s="23"/>
      <c r="N687" s="6"/>
      <c r="Q687" s="23"/>
      <c r="R687" s="23"/>
      <c r="AR687" s="23"/>
      <c r="AS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R690" s="23"/>
      <c r="AS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S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S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S701" s="23"/>
      <c r="AT701" s="23"/>
      <c r="AU701" s="23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3"/>
    </row>
    <row r="704" spans="8:47" x14ac:dyDescent="0.2">
      <c r="H704" s="23"/>
      <c r="N704" s="6"/>
      <c r="Q704" s="23"/>
      <c r="R704" s="23"/>
      <c r="AR704" s="23"/>
      <c r="AS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  <c r="AU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  <c r="AU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3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3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3"/>
    </row>
    <row r="712" spans="8:47" x14ac:dyDescent="0.2">
      <c r="H712" s="23"/>
      <c r="N712" s="6"/>
      <c r="Q712" s="23"/>
      <c r="R712" s="23"/>
      <c r="AR712" s="23"/>
      <c r="AS712" s="23"/>
      <c r="AT712" s="23"/>
      <c r="AU712" s="23"/>
    </row>
    <row r="713" spans="8:47" x14ac:dyDescent="0.2">
      <c r="H713" s="23"/>
      <c r="N713" s="6"/>
      <c r="Q713" s="23"/>
      <c r="R713" s="23"/>
      <c r="AR713" s="23"/>
      <c r="AS713" s="23"/>
      <c r="AT713" s="23"/>
      <c r="AU713" s="23"/>
    </row>
    <row r="714" spans="8:47" x14ac:dyDescent="0.2">
      <c r="H714" s="23"/>
      <c r="N714" s="6"/>
      <c r="Q714" s="23"/>
      <c r="R714" s="23"/>
      <c r="AR714" s="23"/>
      <c r="AS714" s="23"/>
      <c r="AT714" s="23"/>
      <c r="AU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3"/>
    </row>
    <row r="718" spans="8:47" x14ac:dyDescent="0.2">
      <c r="H718" s="23"/>
      <c r="N718" s="6"/>
      <c r="Q718" s="23"/>
      <c r="R718" s="23"/>
      <c r="AR718" s="23"/>
      <c r="AS718" s="23"/>
      <c r="AT718" s="23"/>
      <c r="AU718" s="23"/>
    </row>
    <row r="719" spans="8:47" x14ac:dyDescent="0.2">
      <c r="H719" s="23"/>
      <c r="N719" s="6"/>
      <c r="Q719" s="23"/>
      <c r="R719" s="23"/>
      <c r="AR719" s="23"/>
      <c r="AS719" s="23"/>
      <c r="AT719" s="23"/>
      <c r="AU719" s="23"/>
    </row>
    <row r="720" spans="8:47" x14ac:dyDescent="0.2">
      <c r="H720" s="23"/>
      <c r="N720" s="6"/>
      <c r="Q720" s="23"/>
      <c r="R720" s="23"/>
      <c r="AR720" s="23"/>
      <c r="AS720" s="23"/>
      <c r="AT720" s="23"/>
      <c r="AU720" s="23"/>
    </row>
    <row r="721" spans="8:47" x14ac:dyDescent="0.2">
      <c r="H721" s="23"/>
      <c r="N721" s="6"/>
      <c r="Q721" s="23"/>
      <c r="R721" s="23"/>
      <c r="AR721" s="23"/>
      <c r="AS721" s="23"/>
      <c r="AT721" s="23"/>
      <c r="AU721" s="23"/>
    </row>
    <row r="722" spans="8:47" x14ac:dyDescent="0.2">
      <c r="H722" s="23"/>
      <c r="N722" s="6"/>
      <c r="Q722" s="23"/>
      <c r="R722" s="23"/>
      <c r="AR722" s="23"/>
      <c r="AS722" s="23"/>
      <c r="AT722" s="23"/>
      <c r="AU722" s="23"/>
    </row>
    <row r="723" spans="8:47" x14ac:dyDescent="0.2">
      <c r="H723" s="23"/>
      <c r="N723" s="6"/>
      <c r="Q723" s="23"/>
      <c r="R723" s="23"/>
      <c r="AR723" s="23"/>
      <c r="AS723" s="23"/>
      <c r="AT723" s="23"/>
      <c r="AU723" s="23"/>
    </row>
    <row r="724" spans="8:47" x14ac:dyDescent="0.2">
      <c r="H724" s="23"/>
      <c r="N724" s="6"/>
      <c r="Q724" s="23"/>
      <c r="R724" s="23"/>
      <c r="AR724" s="23"/>
      <c r="AS724" s="23"/>
      <c r="AT724" s="23"/>
      <c r="AU724" s="23"/>
    </row>
    <row r="725" spans="8:47" x14ac:dyDescent="0.2">
      <c r="H725" s="23"/>
      <c r="N725" s="6"/>
      <c r="Q725" s="23"/>
      <c r="R725" s="23"/>
      <c r="AR725" s="23"/>
      <c r="AS725" s="23"/>
      <c r="AT725" s="23"/>
      <c r="AU725" s="23"/>
    </row>
    <row r="726" spans="8:47" x14ac:dyDescent="0.2">
      <c r="H726" s="23"/>
      <c r="N726" s="6"/>
      <c r="Q726" s="23"/>
      <c r="R726" s="23"/>
      <c r="AR726" s="23"/>
      <c r="AS726" s="23"/>
      <c r="AT726" s="23"/>
      <c r="AU726" s="23"/>
    </row>
    <row r="727" spans="8:47" x14ac:dyDescent="0.2">
      <c r="H727" s="23"/>
      <c r="N727" s="6"/>
      <c r="Q727" s="23"/>
      <c r="R727" s="23"/>
      <c r="AR727" s="23"/>
      <c r="AS727" s="23"/>
      <c r="AT727" s="23"/>
      <c r="AU727" s="23"/>
    </row>
    <row r="728" spans="8:47" x14ac:dyDescent="0.2">
      <c r="H728" s="23"/>
      <c r="N728" s="6"/>
      <c r="Q728" s="23"/>
      <c r="R728" s="23"/>
      <c r="AR728" s="23"/>
      <c r="AS728" s="23"/>
      <c r="AT728" s="23"/>
      <c r="AU728" s="23"/>
    </row>
    <row r="729" spans="8:47" x14ac:dyDescent="0.2">
      <c r="H729" s="23"/>
      <c r="N729" s="6"/>
      <c r="Q729" s="23"/>
      <c r="R729" s="23"/>
      <c r="AR729" s="23"/>
      <c r="AS729" s="23"/>
      <c r="AT729" s="23"/>
      <c r="AU729" s="23"/>
    </row>
    <row r="730" spans="8:47" x14ac:dyDescent="0.2">
      <c r="H730" s="23"/>
      <c r="N730" s="6"/>
      <c r="Q730" s="23"/>
      <c r="R730" s="23"/>
      <c r="AR730" s="23"/>
      <c r="AS730" s="23"/>
      <c r="AT730" s="23"/>
      <c r="AU730" s="23"/>
    </row>
    <row r="731" spans="8:47" x14ac:dyDescent="0.2">
      <c r="H731" s="23"/>
      <c r="N731" s="6"/>
      <c r="Q731" s="23"/>
      <c r="R731" s="23"/>
      <c r="AR731" s="23"/>
      <c r="AS731" s="23"/>
      <c r="AT731" s="23"/>
      <c r="AU731" s="23"/>
    </row>
    <row r="732" spans="8:47" x14ac:dyDescent="0.2">
      <c r="H732" s="23"/>
      <c r="N732" s="6"/>
      <c r="Q732" s="23"/>
      <c r="R732" s="23"/>
      <c r="AT732" s="23"/>
      <c r="AU732" s="23"/>
    </row>
    <row r="733" spans="8:47" x14ac:dyDescent="0.2">
      <c r="H733" s="23"/>
      <c r="N733" s="6"/>
      <c r="Q733" s="23"/>
      <c r="R733" s="23"/>
      <c r="AR733" s="23"/>
      <c r="AS733" s="23"/>
      <c r="AT733" s="23"/>
      <c r="AU733" s="23"/>
    </row>
    <row r="734" spans="8:47" x14ac:dyDescent="0.2">
      <c r="H734" s="23"/>
      <c r="N734" s="6"/>
      <c r="Q734" s="23"/>
      <c r="R734" s="23"/>
      <c r="AR734" s="23"/>
      <c r="AS734" s="23"/>
      <c r="AT734" s="23"/>
      <c r="AU734" s="23"/>
    </row>
    <row r="735" spans="8:47" x14ac:dyDescent="0.2">
      <c r="H735" s="23"/>
      <c r="N735" s="6"/>
      <c r="Q735" s="23"/>
      <c r="R735" s="23"/>
      <c r="AR735" s="23"/>
      <c r="AS735" s="23"/>
      <c r="AT735" s="23"/>
      <c r="AU735" s="23"/>
    </row>
    <row r="736" spans="8:47" x14ac:dyDescent="0.2">
      <c r="H736" s="23"/>
      <c r="N736" s="6"/>
      <c r="Q736" s="23"/>
      <c r="R736" s="23"/>
      <c r="AR736" s="23"/>
      <c r="AS736" s="23"/>
      <c r="AT736" s="23"/>
      <c r="AU736" s="23"/>
    </row>
    <row r="737" spans="8:47" x14ac:dyDescent="0.2">
      <c r="H737" s="23"/>
      <c r="N737" s="6"/>
      <c r="Q737" s="23"/>
      <c r="R737" s="23"/>
      <c r="AR737" s="23"/>
      <c r="AS737" s="23"/>
      <c r="AT737" s="23"/>
      <c r="AU737" s="23"/>
    </row>
    <row r="738" spans="8:47" x14ac:dyDescent="0.2">
      <c r="H738" s="23"/>
      <c r="N738" s="6"/>
      <c r="Q738" s="23"/>
      <c r="R738" s="23"/>
      <c r="AR738" s="23"/>
      <c r="AS738" s="23"/>
      <c r="AT738" s="23"/>
      <c r="AU738" s="23"/>
    </row>
    <row r="739" spans="8:47" x14ac:dyDescent="0.2">
      <c r="H739" s="23"/>
      <c r="N739" s="6"/>
      <c r="Q739" s="23"/>
      <c r="R739" s="23"/>
      <c r="AR739" s="23"/>
      <c r="AS739" s="23"/>
      <c r="AT739" s="23"/>
      <c r="AU739" s="23"/>
    </row>
    <row r="740" spans="8:47" x14ac:dyDescent="0.2">
      <c r="H740" s="23"/>
      <c r="N740" s="6"/>
      <c r="Q740" s="23"/>
      <c r="R740" s="23"/>
      <c r="AR740" s="23"/>
      <c r="AS740" s="23"/>
      <c r="AT740" s="23"/>
      <c r="AU740" s="23"/>
    </row>
    <row r="741" spans="8:47" x14ac:dyDescent="0.2">
      <c r="H741" s="23"/>
      <c r="N741" s="6"/>
      <c r="Q741" s="23"/>
      <c r="R741" s="23"/>
      <c r="AR741" s="23"/>
      <c r="AS741" s="23"/>
      <c r="AT741" s="23"/>
      <c r="AU741" s="23"/>
    </row>
    <row r="742" spans="8:47" x14ac:dyDescent="0.2">
      <c r="H742" s="23"/>
      <c r="N742" s="6"/>
      <c r="Q742" s="23"/>
      <c r="R742" s="23"/>
      <c r="AR742" s="23"/>
      <c r="AS742" s="23"/>
      <c r="AT742" s="23"/>
      <c r="AU742" s="23"/>
    </row>
    <row r="743" spans="8:47" x14ac:dyDescent="0.2">
      <c r="H743" s="23"/>
      <c r="N743" s="6"/>
      <c r="Q743" s="23"/>
      <c r="R743" s="23"/>
      <c r="AR743" s="23"/>
      <c r="AS743" s="23"/>
      <c r="AT743" s="23"/>
      <c r="AU743" s="23"/>
    </row>
    <row r="744" spans="8:47" x14ac:dyDescent="0.2">
      <c r="H744" s="23"/>
      <c r="N744" s="6"/>
      <c r="Q744" s="23"/>
      <c r="R744" s="23"/>
      <c r="AR744" s="23"/>
      <c r="AS744" s="23"/>
      <c r="AT744" s="23"/>
      <c r="AU744" s="23"/>
    </row>
    <row r="745" spans="8:47" x14ac:dyDescent="0.2">
      <c r="H745" s="23"/>
      <c r="N745" s="6"/>
      <c r="Q745" s="23"/>
      <c r="R745" s="23"/>
      <c r="AR745" s="23"/>
      <c r="AS745" s="23"/>
      <c r="AT745" s="23"/>
      <c r="AU745" s="23"/>
    </row>
    <row r="746" spans="8:47" x14ac:dyDescent="0.2">
      <c r="H746" s="23"/>
      <c r="N746" s="6"/>
      <c r="Q746" s="23"/>
      <c r="R746" s="23"/>
      <c r="AR746" s="23"/>
      <c r="AS746" s="23"/>
      <c r="AT746" s="23"/>
      <c r="AU746" s="23"/>
    </row>
    <row r="747" spans="8:47" x14ac:dyDescent="0.2">
      <c r="H747" s="23"/>
      <c r="N747" s="6"/>
      <c r="Q747" s="23"/>
      <c r="R747" s="23"/>
      <c r="AR747" s="23"/>
      <c r="AS747" s="23"/>
      <c r="AT747" s="23"/>
      <c r="AU747" s="23"/>
    </row>
    <row r="748" spans="8:47" x14ac:dyDescent="0.2">
      <c r="H748" s="23"/>
      <c r="N748" s="6"/>
      <c r="Q748" s="23"/>
      <c r="R748" s="23"/>
      <c r="AR748" s="23"/>
      <c r="AS748" s="23"/>
      <c r="AT748" s="23"/>
      <c r="AU748" s="23"/>
    </row>
    <row r="749" spans="8:47" x14ac:dyDescent="0.2">
      <c r="H749" s="23"/>
      <c r="N749" s="6"/>
      <c r="Q749" s="23"/>
      <c r="R749" s="23"/>
      <c r="AR749" s="23"/>
      <c r="AS749" s="23"/>
      <c r="AT749" s="23"/>
      <c r="AU749" s="23"/>
    </row>
    <row r="750" spans="8:47" x14ac:dyDescent="0.2">
      <c r="H750" s="23"/>
      <c r="N750" s="6"/>
      <c r="Q750" s="23"/>
      <c r="R750" s="23"/>
      <c r="AR750" s="23"/>
      <c r="AS750" s="23"/>
      <c r="AT750" s="23"/>
      <c r="AU750" s="23"/>
    </row>
    <row r="751" spans="8:47" x14ac:dyDescent="0.2">
      <c r="H751" s="23"/>
      <c r="N751" s="6"/>
      <c r="Q751" s="23"/>
      <c r="R751" s="23"/>
      <c r="AR751" s="23"/>
      <c r="AS751" s="23"/>
      <c r="AT751" s="23"/>
      <c r="AU751" s="23"/>
    </row>
    <row r="752" spans="8:47" x14ac:dyDescent="0.2">
      <c r="H752" s="23"/>
      <c r="N752" s="6"/>
      <c r="Q752" s="23"/>
      <c r="R752" s="23"/>
      <c r="AR752" s="23"/>
      <c r="AS752" s="23"/>
      <c r="AT752" s="23"/>
      <c r="AU752" s="23"/>
    </row>
    <row r="753" spans="8:47" x14ac:dyDescent="0.2">
      <c r="H753" s="23"/>
      <c r="N753" s="6"/>
      <c r="Q753" s="23"/>
      <c r="R753" s="23"/>
      <c r="AR753" s="23"/>
      <c r="AS753" s="23"/>
      <c r="AT753" s="23"/>
      <c r="AU753" s="23"/>
    </row>
    <row r="754" spans="8:47" x14ac:dyDescent="0.2">
      <c r="H754" s="23"/>
      <c r="N754" s="6"/>
      <c r="Q754" s="23"/>
      <c r="R754" s="23"/>
      <c r="AR754" s="23"/>
      <c r="AS754" s="23"/>
      <c r="AT754" s="23"/>
      <c r="AU754" s="23"/>
    </row>
    <row r="755" spans="8:47" x14ac:dyDescent="0.2">
      <c r="H755" s="23"/>
      <c r="N755" s="6"/>
      <c r="Q755" s="23"/>
      <c r="R755" s="23"/>
      <c r="AR755" s="23"/>
      <c r="AS755" s="23"/>
      <c r="AT755" s="23"/>
      <c r="AU755" s="23"/>
    </row>
    <row r="756" spans="8:47" x14ac:dyDescent="0.2">
      <c r="H756" s="23"/>
      <c r="N756" s="6"/>
      <c r="Q756" s="23"/>
      <c r="R756" s="23"/>
      <c r="AR756" s="23"/>
      <c r="AS756" s="23"/>
      <c r="AT756" s="23"/>
      <c r="AU756" s="23"/>
    </row>
    <row r="757" spans="8:47" x14ac:dyDescent="0.2">
      <c r="H757" s="23"/>
      <c r="N757" s="6"/>
      <c r="Q757" s="23"/>
      <c r="R757" s="23"/>
      <c r="AR757" s="23"/>
      <c r="AS757" s="23"/>
      <c r="AT757" s="23"/>
      <c r="AU757" s="23"/>
    </row>
    <row r="758" spans="8:47" x14ac:dyDescent="0.2">
      <c r="H758" s="23"/>
      <c r="N758" s="6"/>
      <c r="Q758" s="23"/>
      <c r="R758" s="23"/>
      <c r="AR758" s="23"/>
      <c r="AS758" s="23"/>
      <c r="AT758" s="23"/>
      <c r="AU758" s="23"/>
    </row>
    <row r="759" spans="8:47" x14ac:dyDescent="0.2">
      <c r="H759" s="23"/>
      <c r="N759" s="6"/>
      <c r="Q759" s="23"/>
      <c r="R759" s="23"/>
      <c r="AR759" s="23"/>
      <c r="AS759" s="23"/>
      <c r="AT759" s="23"/>
      <c r="AU759" s="23"/>
    </row>
    <row r="760" spans="8:47" x14ac:dyDescent="0.2">
      <c r="H760" s="23"/>
      <c r="N760" s="6"/>
      <c r="Q760" s="23"/>
      <c r="R760" s="23"/>
      <c r="AR760" s="23"/>
      <c r="AS760" s="23"/>
      <c r="AT760" s="23"/>
      <c r="AU760" s="23"/>
    </row>
    <row r="761" spans="8:47" x14ac:dyDescent="0.2">
      <c r="H761" s="23"/>
      <c r="N761" s="6"/>
      <c r="Q761" s="23"/>
      <c r="R761" s="23"/>
      <c r="AR761" s="23"/>
      <c r="AT761" s="23"/>
      <c r="AU761" s="23"/>
    </row>
    <row r="762" spans="8:47" x14ac:dyDescent="0.2">
      <c r="H762" s="23"/>
      <c r="N762" s="6"/>
      <c r="Q762" s="23"/>
      <c r="R762" s="23"/>
      <c r="AR762" s="23"/>
      <c r="AS762" s="23"/>
      <c r="AT762" s="23"/>
      <c r="AU762" s="23"/>
    </row>
    <row r="763" spans="8:47" x14ac:dyDescent="0.2">
      <c r="H763" s="23"/>
      <c r="N763" s="6"/>
      <c r="Q763" s="23"/>
      <c r="R763" s="23"/>
      <c r="AR763" s="23"/>
      <c r="AS763" s="23"/>
      <c r="AT763" s="23"/>
      <c r="AU763" s="23"/>
    </row>
    <row r="764" spans="8:47" x14ac:dyDescent="0.2">
      <c r="H764" s="23"/>
      <c r="N764" s="6"/>
      <c r="Q764" s="23"/>
      <c r="R764" s="23"/>
      <c r="AR764" s="23"/>
      <c r="AS764" s="23"/>
      <c r="AT764" s="23"/>
      <c r="AU764" s="23"/>
    </row>
    <row r="765" spans="8:47" x14ac:dyDescent="0.2">
      <c r="H765" s="23"/>
      <c r="N765" s="6"/>
      <c r="Q765" s="23"/>
      <c r="R765" s="23"/>
      <c r="AR765" s="23"/>
      <c r="AS765" s="23"/>
      <c r="AT765" s="23"/>
    </row>
    <row r="766" spans="8:47" x14ac:dyDescent="0.2">
      <c r="H766" s="23"/>
      <c r="N766" s="6"/>
      <c r="Q766" s="23"/>
      <c r="R766" s="23"/>
      <c r="AR766" s="23"/>
      <c r="AS766" s="23"/>
      <c r="AT766" s="23"/>
      <c r="AU766" s="23"/>
    </row>
    <row r="767" spans="8:47" x14ac:dyDescent="0.2">
      <c r="H767" s="23"/>
      <c r="N767" s="6"/>
      <c r="Q767" s="23"/>
      <c r="R767" s="23"/>
      <c r="AR767" s="23"/>
      <c r="AS767" s="23"/>
      <c r="AT767" s="23"/>
      <c r="AU767" s="23"/>
    </row>
    <row r="768" spans="8:47" x14ac:dyDescent="0.2">
      <c r="H768" s="23"/>
      <c r="N768" s="6"/>
      <c r="Q768" s="23"/>
      <c r="R768" s="23"/>
      <c r="AR768" s="23"/>
      <c r="AT768" s="23"/>
      <c r="AU768" s="23"/>
    </row>
    <row r="769" spans="8:47" x14ac:dyDescent="0.2">
      <c r="H769" s="23"/>
      <c r="N769" s="6"/>
      <c r="Q769" s="23"/>
      <c r="R769" s="23"/>
      <c r="AR769" s="23"/>
      <c r="AS769" s="23"/>
      <c r="AT769" s="23"/>
      <c r="AU769" s="23"/>
    </row>
    <row r="770" spans="8:47" x14ac:dyDescent="0.2">
      <c r="H770" s="23"/>
      <c r="N770" s="6"/>
      <c r="Q770" s="23"/>
      <c r="R770" s="23"/>
      <c r="AR770" s="23"/>
      <c r="AS770" s="23"/>
      <c r="AT770" s="23"/>
      <c r="AU770" s="23"/>
    </row>
    <row r="771" spans="8:47" x14ac:dyDescent="0.2">
      <c r="H771" s="23"/>
      <c r="N771" s="6"/>
      <c r="Q771" s="23"/>
      <c r="R771" s="23"/>
      <c r="AR771" s="23"/>
      <c r="AS771" s="23"/>
      <c r="AT771" s="23"/>
      <c r="AU771" s="23"/>
    </row>
    <row r="772" spans="8:47" x14ac:dyDescent="0.2">
      <c r="H772" s="23"/>
      <c r="N772" s="6"/>
      <c r="Q772" s="23"/>
      <c r="R772" s="23"/>
      <c r="AT772" s="23"/>
      <c r="AU772" s="23"/>
    </row>
    <row r="773" spans="8:47" x14ac:dyDescent="0.2">
      <c r="H773" s="23"/>
      <c r="N773" s="6"/>
      <c r="Q773" s="23"/>
      <c r="R773" s="23"/>
      <c r="AR773" s="23"/>
      <c r="AS773" s="23"/>
      <c r="AT773" s="23"/>
      <c r="AU773" s="23"/>
    </row>
    <row r="774" spans="8:47" x14ac:dyDescent="0.2">
      <c r="H774" s="23"/>
      <c r="N774" s="6"/>
      <c r="Q774" s="23"/>
      <c r="R774" s="23"/>
      <c r="AR774" s="23"/>
      <c r="AS774" s="23"/>
      <c r="AT774" s="23"/>
    </row>
    <row r="775" spans="8:47" x14ac:dyDescent="0.2">
      <c r="H775" s="23"/>
      <c r="N775" s="6"/>
      <c r="Q775" s="23"/>
      <c r="R775" s="23"/>
      <c r="AR775" s="23"/>
      <c r="AS775" s="23"/>
      <c r="AT775" s="23"/>
      <c r="AU775" s="23"/>
    </row>
    <row r="776" spans="8:47" x14ac:dyDescent="0.2">
      <c r="H776" s="23"/>
      <c r="N776" s="6"/>
      <c r="Q776" s="23"/>
      <c r="R776" s="23"/>
      <c r="AR776" s="23"/>
      <c r="AT776" s="23"/>
      <c r="AU776" s="23"/>
    </row>
    <row r="777" spans="8:47" x14ac:dyDescent="0.2">
      <c r="H777" s="23"/>
      <c r="N777" s="6"/>
      <c r="Q777" s="23"/>
      <c r="R777" s="23"/>
      <c r="AR777" s="23"/>
      <c r="AS777" s="23"/>
      <c r="AT777" s="23"/>
      <c r="AU777" s="23"/>
    </row>
    <row r="778" spans="8:47" x14ac:dyDescent="0.2">
      <c r="H778" s="23"/>
      <c r="N778" s="6"/>
      <c r="Q778" s="23"/>
      <c r="R778" s="23"/>
      <c r="AR778" s="23"/>
      <c r="AS778" s="23"/>
      <c r="AT778" s="23"/>
      <c r="AU778" s="23"/>
    </row>
    <row r="779" spans="8:47" x14ac:dyDescent="0.2">
      <c r="H779" s="23"/>
      <c r="N779" s="6"/>
      <c r="Q779" s="23"/>
      <c r="R779" s="23"/>
      <c r="AR779" s="23"/>
      <c r="AS779" s="23"/>
      <c r="AT779" s="23"/>
      <c r="AU779" s="23"/>
    </row>
    <row r="780" spans="8:47" x14ac:dyDescent="0.2">
      <c r="H780" s="23"/>
      <c r="N780" s="6"/>
      <c r="Q780" s="23"/>
      <c r="R780" s="23"/>
      <c r="AT780" s="23"/>
      <c r="AU780" s="23"/>
    </row>
    <row r="781" spans="8:47" x14ac:dyDescent="0.2">
      <c r="H781" s="23"/>
      <c r="N781" s="6"/>
      <c r="Q781" s="23"/>
      <c r="R781" s="23"/>
      <c r="AR781" s="23"/>
      <c r="AS781" s="23"/>
      <c r="AT781" s="23"/>
      <c r="AU781" s="23"/>
    </row>
    <row r="782" spans="8:47" x14ac:dyDescent="0.2">
      <c r="H782" s="23"/>
      <c r="N782" s="6"/>
      <c r="Q782" s="23"/>
      <c r="R782" s="23"/>
      <c r="AT782" s="23"/>
      <c r="AU782" s="23"/>
    </row>
    <row r="783" spans="8:47" x14ac:dyDescent="0.2">
      <c r="H783" s="23"/>
      <c r="N783" s="6"/>
      <c r="Q783" s="23"/>
      <c r="R783" s="23"/>
      <c r="AT783" s="23"/>
      <c r="AU783" s="23"/>
    </row>
    <row r="784" spans="8:47" x14ac:dyDescent="0.2">
      <c r="H784" s="23"/>
      <c r="N784" s="6"/>
      <c r="Q784" s="23"/>
      <c r="R784" s="23"/>
      <c r="AR784" s="23"/>
      <c r="AS784" s="23"/>
      <c r="AT784" s="23"/>
      <c r="AU784" s="23"/>
    </row>
    <row r="785" spans="8:47" x14ac:dyDescent="0.2">
      <c r="H785" s="23"/>
      <c r="N785" s="6"/>
      <c r="Q785" s="23"/>
      <c r="R785" s="23"/>
      <c r="AR785" s="23"/>
      <c r="AS785" s="23"/>
      <c r="AT785" s="23"/>
      <c r="AU785" s="23"/>
    </row>
    <row r="786" spans="8:47" x14ac:dyDescent="0.2">
      <c r="H786" s="23"/>
      <c r="N786" s="6"/>
      <c r="Q786" s="23"/>
      <c r="R786" s="23"/>
      <c r="AT786" s="23"/>
      <c r="AU786" s="23"/>
    </row>
    <row r="787" spans="8:47" x14ac:dyDescent="0.2">
      <c r="H787" s="23"/>
      <c r="N787" s="6"/>
      <c r="Q787" s="23"/>
      <c r="R787" s="23"/>
      <c r="AT787" s="23"/>
      <c r="AU787" s="23"/>
    </row>
    <row r="788" spans="8:47" x14ac:dyDescent="0.2">
      <c r="H788" s="23"/>
      <c r="N788" s="6"/>
      <c r="Q788" s="23"/>
      <c r="R788" s="23"/>
      <c r="AR788" s="23"/>
      <c r="AS788" s="23"/>
      <c r="AT788" s="23"/>
      <c r="AU788" s="23"/>
    </row>
    <row r="789" spans="8:47" x14ac:dyDescent="0.2">
      <c r="H789" s="23"/>
      <c r="N789" s="6"/>
      <c r="Q789" s="23"/>
      <c r="R789" s="23"/>
      <c r="AR789" s="23"/>
      <c r="AS789" s="23"/>
      <c r="AT789" s="23"/>
      <c r="AU789" s="23"/>
    </row>
    <row r="790" spans="8:47" x14ac:dyDescent="0.2">
      <c r="H790" s="23"/>
      <c r="N790" s="6"/>
      <c r="Q790" s="23"/>
      <c r="R790" s="23"/>
      <c r="AR790" s="23"/>
      <c r="AS790" s="23"/>
      <c r="AT790" s="23"/>
      <c r="AU790" s="23"/>
    </row>
    <row r="791" spans="8:47" x14ac:dyDescent="0.2">
      <c r="H791" s="23"/>
      <c r="N791" s="6"/>
      <c r="Q791" s="23"/>
      <c r="R791" s="23"/>
      <c r="AT791" s="23"/>
      <c r="AU791" s="23"/>
    </row>
    <row r="792" spans="8:47" x14ac:dyDescent="0.2">
      <c r="H792" s="23"/>
      <c r="N792" s="6"/>
      <c r="Q792" s="23"/>
      <c r="R792" s="23"/>
      <c r="AR792" s="23"/>
      <c r="AS792" s="23"/>
      <c r="AT792" s="23"/>
      <c r="AU792" s="23"/>
    </row>
    <row r="793" spans="8:47" x14ac:dyDescent="0.2">
      <c r="H793" s="23"/>
      <c r="N793" s="6"/>
      <c r="Q793" s="23"/>
      <c r="R793" s="23"/>
      <c r="AR793" s="23"/>
      <c r="AT793" s="23"/>
      <c r="AU793" s="23"/>
    </row>
    <row r="794" spans="8:47" x14ac:dyDescent="0.2">
      <c r="H794" s="23"/>
      <c r="N794" s="6"/>
      <c r="Q794" s="23"/>
      <c r="R794" s="23"/>
      <c r="AR794" s="23"/>
      <c r="AT794" s="23"/>
      <c r="AU794" s="23"/>
    </row>
    <row r="795" spans="8:47" x14ac:dyDescent="0.2">
      <c r="H795" s="23"/>
      <c r="N795" s="6"/>
      <c r="Q795" s="23"/>
      <c r="R795" s="23"/>
      <c r="AR795" s="23"/>
      <c r="AT795" s="23"/>
      <c r="AU795" s="23"/>
    </row>
    <row r="796" spans="8:47" x14ac:dyDescent="0.2">
      <c r="H796" s="23"/>
      <c r="N796" s="6"/>
      <c r="Q796" s="23"/>
      <c r="R796" s="23"/>
      <c r="AR796" s="23"/>
      <c r="AS796" s="23"/>
      <c r="AT796" s="23"/>
      <c r="AU796" s="23"/>
    </row>
    <row r="797" spans="8:47" x14ac:dyDescent="0.2">
      <c r="H797" s="23"/>
      <c r="N797" s="6"/>
      <c r="Q797" s="23"/>
      <c r="R797" s="23"/>
      <c r="AR797" s="23"/>
      <c r="AS797" s="23"/>
      <c r="AT797" s="23"/>
      <c r="AU797" s="23"/>
    </row>
    <row r="798" spans="8:47" x14ac:dyDescent="0.2">
      <c r="H798" s="23"/>
      <c r="N798" s="6"/>
      <c r="Q798" s="23"/>
      <c r="R798" s="23"/>
      <c r="AT798" s="23"/>
      <c r="AU798" s="23"/>
    </row>
    <row r="799" spans="8:47" x14ac:dyDescent="0.2">
      <c r="H799" s="23"/>
      <c r="N799" s="6"/>
      <c r="Q799" s="23"/>
      <c r="R799" s="23"/>
      <c r="AR799" s="23"/>
      <c r="AS799" s="23"/>
      <c r="AT799" s="23"/>
      <c r="AU799" s="23"/>
    </row>
    <row r="800" spans="8:47" x14ac:dyDescent="0.2">
      <c r="H800" s="23"/>
      <c r="N800" s="6"/>
      <c r="Q800" s="23"/>
      <c r="R800" s="23"/>
      <c r="AR800" s="23"/>
      <c r="AS800" s="23"/>
      <c r="AT800" s="23"/>
      <c r="AU800" s="23"/>
    </row>
    <row r="801" spans="8:47" x14ac:dyDescent="0.2">
      <c r="H801" s="23"/>
      <c r="N801" s="6"/>
      <c r="Q801" s="23"/>
      <c r="R801" s="23"/>
      <c r="AR801" s="23"/>
      <c r="AT801" s="23"/>
      <c r="AU801" s="23"/>
    </row>
    <row r="802" spans="8:47" x14ac:dyDescent="0.2">
      <c r="H802" s="23"/>
      <c r="N802" s="6"/>
      <c r="Q802" s="23"/>
      <c r="R802" s="23"/>
      <c r="AR802" s="23"/>
      <c r="AS802" s="23"/>
      <c r="AT802" s="23"/>
      <c r="AU802" s="23"/>
    </row>
    <row r="803" spans="8:47" x14ac:dyDescent="0.2">
      <c r="H803" s="23"/>
      <c r="N803" s="6"/>
      <c r="Q803" s="23"/>
      <c r="R803" s="23"/>
      <c r="AR803" s="23"/>
      <c r="AS803" s="23"/>
      <c r="AT803" s="23"/>
      <c r="AU803" s="23"/>
    </row>
    <row r="804" spans="8:47" x14ac:dyDescent="0.2">
      <c r="H804" s="23"/>
      <c r="N804" s="6"/>
      <c r="Q804" s="23"/>
      <c r="R804" s="23"/>
      <c r="AR804" s="23"/>
      <c r="AS804" s="23"/>
      <c r="AT804" s="23"/>
      <c r="AU804" s="23"/>
    </row>
    <row r="805" spans="8:47" x14ac:dyDescent="0.2">
      <c r="H805" s="23"/>
      <c r="N805" s="6"/>
      <c r="Q805" s="23"/>
      <c r="R805" s="23"/>
      <c r="AR805" s="23"/>
      <c r="AS805" s="23"/>
      <c r="AT805" s="23"/>
      <c r="AU805" s="23"/>
    </row>
    <row r="806" spans="8:47" x14ac:dyDescent="0.2">
      <c r="H806" s="23"/>
      <c r="N806" s="6"/>
      <c r="Q806" s="23"/>
      <c r="R806" s="23"/>
      <c r="AR806" s="23"/>
      <c r="AS806" s="23"/>
      <c r="AT806" s="23"/>
      <c r="AU806" s="23"/>
    </row>
    <row r="807" spans="8:47" x14ac:dyDescent="0.2">
      <c r="H807" s="23"/>
      <c r="N807" s="6"/>
      <c r="Q807" s="23"/>
      <c r="R807" s="23"/>
      <c r="AR807" s="23"/>
      <c r="AS807" s="23"/>
      <c r="AT807" s="23"/>
      <c r="AU807" s="23"/>
    </row>
    <row r="808" spans="8:47" x14ac:dyDescent="0.2">
      <c r="H808" s="23"/>
      <c r="N808" s="6"/>
      <c r="Q808" s="23"/>
      <c r="R808" s="23"/>
      <c r="AR808" s="23"/>
      <c r="AS808" s="23"/>
      <c r="AT808" s="23"/>
      <c r="AU808" s="23"/>
    </row>
    <row r="809" spans="8:47" x14ac:dyDescent="0.2">
      <c r="H809" s="23"/>
      <c r="N809" s="6"/>
      <c r="Q809" s="23"/>
      <c r="R809" s="23"/>
      <c r="AR809" s="23"/>
      <c r="AS809" s="23"/>
      <c r="AT809" s="23"/>
      <c r="AU809" s="23"/>
    </row>
    <row r="810" spans="8:47" x14ac:dyDescent="0.2">
      <c r="H810" s="23"/>
      <c r="N810" s="6"/>
      <c r="Q810" s="23"/>
      <c r="R810" s="23"/>
      <c r="AR810" s="23"/>
      <c r="AS810" s="23"/>
      <c r="AT810" s="23"/>
      <c r="AU810" s="23"/>
    </row>
    <row r="811" spans="8:47" x14ac:dyDescent="0.2">
      <c r="H811" s="23"/>
      <c r="N811" s="6"/>
      <c r="Q811" s="23"/>
      <c r="R811" s="23"/>
      <c r="AR811" s="23"/>
      <c r="AS811" s="23"/>
      <c r="AT811" s="23"/>
      <c r="AU811" s="23"/>
    </row>
    <row r="812" spans="8:47" x14ac:dyDescent="0.2">
      <c r="H812" s="23"/>
      <c r="N812" s="6"/>
      <c r="Q812" s="23"/>
      <c r="R812" s="23"/>
      <c r="AR812" s="23"/>
      <c r="AT812" s="23"/>
      <c r="AU812" s="23"/>
    </row>
    <row r="813" spans="8:47" x14ac:dyDescent="0.2">
      <c r="H813" s="23"/>
      <c r="N813" s="6"/>
      <c r="Q813" s="23"/>
      <c r="R813" s="23"/>
      <c r="AR813" s="23"/>
      <c r="AS813" s="23"/>
      <c r="AT813" s="23"/>
      <c r="AU813" s="23"/>
    </row>
    <row r="814" spans="8:47" x14ac:dyDescent="0.2">
      <c r="H814" s="23"/>
      <c r="N814" s="6"/>
      <c r="Q814" s="23"/>
      <c r="R814" s="23"/>
      <c r="AR814" s="23"/>
      <c r="AT814" s="23"/>
      <c r="AU814" s="23"/>
    </row>
    <row r="815" spans="8:47" x14ac:dyDescent="0.2">
      <c r="H815" s="23"/>
      <c r="N815" s="6"/>
      <c r="Q815" s="23"/>
      <c r="R815" s="23"/>
      <c r="AR815" s="23"/>
      <c r="AS815" s="23"/>
      <c r="AT815" s="23"/>
      <c r="AU815" s="23"/>
    </row>
    <row r="816" spans="8:47" x14ac:dyDescent="0.2">
      <c r="H816" s="23"/>
      <c r="N816" s="6"/>
      <c r="Q816" s="23"/>
      <c r="R816" s="23"/>
      <c r="AR816" s="23"/>
      <c r="AS816" s="23"/>
      <c r="AT816" s="23"/>
      <c r="AU816" s="23"/>
    </row>
    <row r="817" spans="8:47" x14ac:dyDescent="0.2">
      <c r="H817" s="23"/>
      <c r="N817" s="6"/>
      <c r="Q817" s="23"/>
      <c r="R817" s="23"/>
      <c r="AT817" s="23"/>
      <c r="AU817" s="23"/>
    </row>
    <row r="818" spans="8:47" x14ac:dyDescent="0.2">
      <c r="H818" s="23"/>
      <c r="N818" s="6"/>
      <c r="Q818" s="23"/>
      <c r="R818" s="23"/>
      <c r="AT818" s="23"/>
      <c r="AU818" s="23"/>
    </row>
    <row r="819" spans="8:47" x14ac:dyDescent="0.2">
      <c r="H819" s="23"/>
      <c r="N819" s="6"/>
      <c r="Q819" s="23"/>
      <c r="R819" s="23"/>
      <c r="AR819" s="23"/>
      <c r="AS819" s="23"/>
      <c r="AT819" s="23"/>
      <c r="AU819" s="23"/>
    </row>
    <row r="820" spans="8:47" x14ac:dyDescent="0.2">
      <c r="H820" s="23"/>
      <c r="N820" s="6"/>
      <c r="Q820" s="23"/>
      <c r="R820" s="23"/>
      <c r="AR820" s="23"/>
      <c r="AS820" s="23"/>
      <c r="AT820" s="23"/>
      <c r="AU820" s="23"/>
    </row>
    <row r="821" spans="8:47" x14ac:dyDescent="0.2">
      <c r="H821" s="23"/>
      <c r="N821" s="6"/>
      <c r="Q821" s="23"/>
      <c r="R821" s="23"/>
      <c r="AR821" s="23"/>
      <c r="AS821" s="23"/>
      <c r="AT821" s="23"/>
      <c r="AU821" s="23"/>
    </row>
    <row r="822" spans="8:47" x14ac:dyDescent="0.2">
      <c r="H822" s="23"/>
      <c r="N822" s="6"/>
      <c r="Q822" s="23"/>
      <c r="R822" s="23"/>
      <c r="AR822" s="23"/>
      <c r="AS822" s="23"/>
      <c r="AT822" s="23"/>
      <c r="AU822" s="23"/>
    </row>
    <row r="823" spans="8:47" x14ac:dyDescent="0.2">
      <c r="H823" s="23"/>
      <c r="N823" s="6"/>
      <c r="Q823" s="23"/>
      <c r="R823" s="23"/>
      <c r="AR823" s="23"/>
      <c r="AS823" s="23"/>
      <c r="AT823" s="23"/>
      <c r="AU823" s="23"/>
    </row>
    <row r="824" spans="8:47" x14ac:dyDescent="0.2">
      <c r="H824" s="23"/>
      <c r="N824" s="6"/>
      <c r="Q824" s="23"/>
      <c r="R824" s="23"/>
      <c r="AR824" s="23"/>
      <c r="AS824" s="23"/>
      <c r="AT824" s="23"/>
      <c r="AU824" s="23"/>
    </row>
    <row r="825" spans="8:47" x14ac:dyDescent="0.2">
      <c r="H825" s="23"/>
      <c r="N825" s="6"/>
      <c r="Q825" s="23"/>
      <c r="R825" s="23"/>
      <c r="AR825" s="23"/>
      <c r="AS825" s="23"/>
      <c r="AT825" s="23"/>
      <c r="AU825" s="23"/>
    </row>
    <row r="826" spans="8:47" x14ac:dyDescent="0.2">
      <c r="H826" s="23"/>
      <c r="N826" s="6"/>
      <c r="Q826" s="23"/>
      <c r="R826" s="23"/>
      <c r="AR826" s="23"/>
      <c r="AT826" s="23"/>
      <c r="AU826" s="23"/>
    </row>
    <row r="827" spans="8:47" x14ac:dyDescent="0.2">
      <c r="H827" s="23"/>
      <c r="N827" s="6"/>
      <c r="Q827" s="23"/>
      <c r="R827" s="23"/>
      <c r="AR827" s="23"/>
      <c r="AS827" s="23"/>
      <c r="AT827" s="23"/>
      <c r="AU827" s="23"/>
    </row>
    <row r="828" spans="8:47" x14ac:dyDescent="0.2">
      <c r="H828" s="23"/>
      <c r="N828" s="6"/>
      <c r="Q828" s="23"/>
      <c r="R828" s="23"/>
      <c r="AR828" s="23"/>
      <c r="AS828" s="23"/>
      <c r="AT828" s="23"/>
      <c r="AU828" s="23"/>
    </row>
    <row r="829" spans="8:47" x14ac:dyDescent="0.2">
      <c r="H829" s="23"/>
      <c r="N829" s="6"/>
      <c r="Q829" s="23"/>
      <c r="R829" s="23"/>
      <c r="AR829" s="23"/>
      <c r="AS829" s="23"/>
      <c r="AT829" s="23"/>
      <c r="AU829" s="23"/>
    </row>
    <row r="830" spans="8:47" x14ac:dyDescent="0.2">
      <c r="H830" s="23"/>
      <c r="N830" s="6"/>
      <c r="Q830" s="23"/>
      <c r="R830" s="23"/>
      <c r="AR830" s="23"/>
      <c r="AS830" s="23"/>
      <c r="AT830" s="23"/>
      <c r="AU830" s="23"/>
    </row>
    <row r="831" spans="8:47" x14ac:dyDescent="0.2">
      <c r="H831" s="23"/>
      <c r="N831" s="6"/>
      <c r="Q831" s="23"/>
      <c r="R831" s="23"/>
      <c r="AR831" s="23"/>
      <c r="AS831" s="23"/>
      <c r="AT831" s="23"/>
      <c r="AU831" s="23"/>
    </row>
    <row r="832" spans="8:47" x14ac:dyDescent="0.2">
      <c r="H832" s="23"/>
      <c r="N832" s="6"/>
      <c r="Q832" s="23"/>
      <c r="R832" s="23"/>
      <c r="AR832" s="23"/>
      <c r="AS832" s="23"/>
      <c r="AT832" s="23"/>
      <c r="AU832" s="23"/>
    </row>
    <row r="833" spans="8:47" x14ac:dyDescent="0.2">
      <c r="H833" s="23"/>
      <c r="N833" s="6"/>
      <c r="Q833" s="23"/>
      <c r="R833" s="23"/>
      <c r="AR833" s="23"/>
      <c r="AS833" s="23"/>
      <c r="AT833" s="23"/>
      <c r="AU833" s="23"/>
    </row>
    <row r="834" spans="8:47" x14ac:dyDescent="0.2">
      <c r="H834" s="23"/>
      <c r="N834" s="6"/>
      <c r="Q834" s="23"/>
      <c r="R834" s="23"/>
      <c r="AR834" s="23"/>
      <c r="AS834" s="23"/>
      <c r="AT834" s="23"/>
      <c r="AU834" s="23"/>
    </row>
    <row r="835" spans="8:47" x14ac:dyDescent="0.2">
      <c r="H835" s="23"/>
      <c r="N835" s="6"/>
      <c r="Q835" s="23"/>
      <c r="R835" s="23"/>
      <c r="AR835" s="23"/>
      <c r="AS835" s="23"/>
      <c r="AT835" s="23"/>
      <c r="AU835" s="23"/>
    </row>
    <row r="836" spans="8:47" x14ac:dyDescent="0.2">
      <c r="H836" s="23"/>
      <c r="N836" s="6"/>
      <c r="Q836" s="23"/>
      <c r="R836" s="23"/>
      <c r="AR836" s="23"/>
      <c r="AS836" s="23"/>
      <c r="AT836" s="23"/>
      <c r="AU836" s="23"/>
    </row>
    <row r="837" spans="8:47" x14ac:dyDescent="0.2">
      <c r="H837" s="23"/>
      <c r="N837" s="6"/>
      <c r="Q837" s="23"/>
      <c r="R837" s="23"/>
      <c r="AR837" s="23"/>
      <c r="AT837" s="23"/>
      <c r="AU837" s="23"/>
    </row>
    <row r="838" spans="8:47" x14ac:dyDescent="0.2">
      <c r="H838" s="23"/>
      <c r="N838" s="6"/>
      <c r="Q838" s="23"/>
      <c r="R838" s="23"/>
      <c r="AR838" s="23"/>
      <c r="AS838" s="23"/>
      <c r="AT838" s="23"/>
      <c r="AU838" s="23"/>
    </row>
    <row r="839" spans="8:47" x14ac:dyDescent="0.2">
      <c r="H839" s="23"/>
      <c r="N839" s="6"/>
      <c r="Q839" s="23"/>
      <c r="R839" s="23"/>
      <c r="AR839" s="23"/>
      <c r="AS839" s="23"/>
      <c r="AT839" s="23"/>
      <c r="AU839" s="23"/>
    </row>
    <row r="840" spans="8:47" x14ac:dyDescent="0.2">
      <c r="H840" s="23"/>
      <c r="N840" s="6"/>
      <c r="Q840" s="23"/>
      <c r="R840" s="23"/>
      <c r="AR840" s="23"/>
      <c r="AS840" s="23"/>
      <c r="AT840" s="23"/>
      <c r="AU840" s="23"/>
    </row>
    <row r="841" spans="8:47" x14ac:dyDescent="0.2">
      <c r="H841" s="23"/>
      <c r="N841" s="6"/>
      <c r="Q841" s="23"/>
      <c r="R841" s="23"/>
      <c r="AR841" s="23"/>
      <c r="AS841" s="23"/>
      <c r="AT841" s="23"/>
      <c r="AU841" s="23"/>
    </row>
    <row r="842" spans="8:47" x14ac:dyDescent="0.2">
      <c r="H842" s="23"/>
      <c r="N842" s="6"/>
      <c r="Q842" s="23"/>
      <c r="R842" s="23"/>
      <c r="AR842" s="23"/>
      <c r="AS842" s="23"/>
      <c r="AT842" s="23"/>
      <c r="AU842" s="23"/>
    </row>
    <row r="843" spans="8:47" x14ac:dyDescent="0.2">
      <c r="H843" s="23"/>
      <c r="N843" s="6"/>
      <c r="Q843" s="23"/>
      <c r="R843" s="23"/>
      <c r="AR843" s="23"/>
      <c r="AS843" s="23"/>
      <c r="AT843" s="23"/>
      <c r="AU843" s="23"/>
    </row>
    <row r="844" spans="8:47" x14ac:dyDescent="0.2">
      <c r="H844" s="23"/>
      <c r="N844" s="6"/>
      <c r="Q844" s="23"/>
      <c r="R844" s="23"/>
      <c r="AR844" s="23"/>
      <c r="AS844" s="23"/>
      <c r="AT844" s="23"/>
      <c r="AU844" s="23"/>
    </row>
    <row r="845" spans="8:47" x14ac:dyDescent="0.2">
      <c r="H845" s="23"/>
      <c r="N845" s="6"/>
      <c r="Q845" s="23"/>
      <c r="R845" s="23"/>
      <c r="AR845" s="23"/>
      <c r="AS845" s="23"/>
      <c r="AT845" s="23"/>
      <c r="AU845" s="23"/>
    </row>
    <row r="846" spans="8:47" x14ac:dyDescent="0.2">
      <c r="H846" s="23"/>
      <c r="N846" s="6"/>
      <c r="Q846" s="23"/>
      <c r="R846" s="23"/>
      <c r="AR846" s="23"/>
      <c r="AS846" s="23"/>
      <c r="AT846" s="23"/>
      <c r="AU846" s="23"/>
    </row>
    <row r="847" spans="8:47" x14ac:dyDescent="0.2">
      <c r="H847" s="23"/>
      <c r="N847" s="6"/>
      <c r="Q847" s="23"/>
      <c r="R847" s="23"/>
      <c r="AR847" s="23"/>
      <c r="AS847" s="23"/>
      <c r="AT847" s="23"/>
      <c r="AU847" s="23"/>
    </row>
    <row r="848" spans="8:47" x14ac:dyDescent="0.2">
      <c r="H848" s="23"/>
      <c r="N848" s="6"/>
      <c r="Q848" s="23"/>
      <c r="R848" s="23"/>
      <c r="AR848" s="23"/>
      <c r="AS848" s="23"/>
      <c r="AT848" s="23"/>
      <c r="AU848" s="23"/>
    </row>
    <row r="849" spans="8:47" x14ac:dyDescent="0.2">
      <c r="H849" s="23"/>
      <c r="N849" s="6"/>
      <c r="Q849" s="23"/>
      <c r="R849" s="23"/>
      <c r="AR849" s="23"/>
      <c r="AS849" s="23"/>
      <c r="AT849" s="23"/>
      <c r="AU849" s="23"/>
    </row>
    <row r="850" spans="8:47" x14ac:dyDescent="0.2">
      <c r="H850" s="23"/>
      <c r="N850" s="6"/>
      <c r="Q850" s="23"/>
      <c r="R850" s="23"/>
      <c r="AR850" s="23"/>
      <c r="AS850" s="23"/>
      <c r="AT850" s="23"/>
      <c r="AU850" s="23"/>
    </row>
    <row r="851" spans="8:47" x14ac:dyDescent="0.2">
      <c r="H851" s="23"/>
      <c r="N851" s="6"/>
      <c r="Q851" s="23"/>
      <c r="R851" s="23"/>
      <c r="AR851" s="23"/>
      <c r="AS851" s="23"/>
      <c r="AT851" s="23"/>
      <c r="AU851" s="23"/>
    </row>
    <row r="852" spans="8:47" x14ac:dyDescent="0.2">
      <c r="H852" s="23"/>
      <c r="N852" s="6"/>
      <c r="Q852" s="23"/>
      <c r="R852" s="23"/>
      <c r="AT852" s="23"/>
      <c r="AU852" s="23"/>
    </row>
    <row r="853" spans="8:47" x14ac:dyDescent="0.2">
      <c r="H853" s="23"/>
      <c r="N853" s="6"/>
      <c r="Q853" s="23"/>
      <c r="R853" s="23"/>
      <c r="AR853" s="23"/>
      <c r="AT853" s="23"/>
      <c r="AU853" s="23"/>
    </row>
    <row r="854" spans="8:47" x14ac:dyDescent="0.2">
      <c r="H854" s="23"/>
      <c r="N854" s="6"/>
      <c r="Q854" s="23"/>
      <c r="R854" s="23"/>
      <c r="AR854" s="23"/>
      <c r="AS854" s="23"/>
      <c r="AT854" s="23"/>
      <c r="AU854" s="23"/>
    </row>
    <row r="855" spans="8:47" x14ac:dyDescent="0.2">
      <c r="H855" s="23"/>
      <c r="N855" s="6"/>
      <c r="Q855" s="23"/>
      <c r="R855" s="23"/>
      <c r="AR855" s="23"/>
      <c r="AS855" s="23"/>
      <c r="AT855" s="23"/>
      <c r="AU855" s="23"/>
    </row>
    <row r="856" spans="8:47" x14ac:dyDescent="0.2">
      <c r="H856" s="23"/>
      <c r="N856" s="6"/>
      <c r="Q856" s="23"/>
      <c r="R856" s="23"/>
      <c r="AR856" s="23"/>
      <c r="AS856" s="23"/>
      <c r="AT856" s="23"/>
      <c r="AU856" s="23"/>
    </row>
    <row r="857" spans="8:47" x14ac:dyDescent="0.2">
      <c r="H857" s="23"/>
      <c r="N857" s="6"/>
      <c r="Q857" s="23"/>
      <c r="R857" s="23"/>
      <c r="AR857" s="23"/>
      <c r="AS857" s="23"/>
      <c r="AT857" s="23"/>
      <c r="AU857" s="23"/>
    </row>
    <row r="858" spans="8:47" x14ac:dyDescent="0.2">
      <c r="H858" s="23"/>
      <c r="N858" s="6"/>
      <c r="Q858" s="23"/>
      <c r="R858" s="23"/>
      <c r="AR858" s="23"/>
      <c r="AS858" s="23"/>
      <c r="AT858" s="23"/>
      <c r="AU858" s="23"/>
    </row>
    <row r="859" spans="8:47" x14ac:dyDescent="0.2">
      <c r="H859" s="23"/>
      <c r="N859" s="6"/>
      <c r="Q859" s="23"/>
      <c r="R859" s="23"/>
      <c r="AR859" s="23"/>
      <c r="AS859" s="23"/>
      <c r="AT859" s="23"/>
      <c r="AU859" s="23"/>
    </row>
    <row r="860" spans="8:47" x14ac:dyDescent="0.2">
      <c r="H860" s="23"/>
      <c r="N860" s="6"/>
      <c r="Q860" s="23"/>
      <c r="R860" s="23"/>
      <c r="AR860" s="23"/>
      <c r="AS860" s="23"/>
      <c r="AT860" s="23"/>
      <c r="AU860" s="23"/>
    </row>
    <row r="861" spans="8:47" x14ac:dyDescent="0.2">
      <c r="H861" s="23"/>
      <c r="N861" s="6"/>
      <c r="Q861" s="23"/>
      <c r="R861" s="23"/>
      <c r="AR861" s="23"/>
      <c r="AT861" s="23"/>
      <c r="AU861" s="23"/>
    </row>
    <row r="862" spans="8:47" x14ac:dyDescent="0.2">
      <c r="H862" s="23"/>
      <c r="N862" s="6"/>
      <c r="Q862" s="23"/>
      <c r="R862" s="23"/>
      <c r="AR862" s="23"/>
      <c r="AS862" s="23"/>
      <c r="AT862" s="23"/>
      <c r="AU862" s="23"/>
    </row>
    <row r="863" spans="8:47" x14ac:dyDescent="0.2">
      <c r="H863" s="23"/>
      <c r="N863" s="6"/>
      <c r="Q863" s="23"/>
      <c r="R863" s="23"/>
      <c r="AR863" s="23"/>
      <c r="AS863" s="23"/>
      <c r="AT863" s="23"/>
      <c r="AU863" s="23"/>
    </row>
    <row r="864" spans="8:47" x14ac:dyDescent="0.2">
      <c r="H864" s="23"/>
      <c r="N864" s="6"/>
      <c r="Q864" s="23"/>
      <c r="R864" s="23"/>
      <c r="AR864" s="23"/>
      <c r="AT864" s="23"/>
      <c r="AU864" s="23"/>
    </row>
    <row r="865" spans="8:47" x14ac:dyDescent="0.2">
      <c r="H865" s="23"/>
      <c r="N865" s="6"/>
      <c r="Q865" s="23"/>
      <c r="R865" s="23"/>
      <c r="AR865" s="23"/>
      <c r="AS865" s="23"/>
      <c r="AT865" s="23"/>
      <c r="AU865" s="23"/>
    </row>
    <row r="866" spans="8:47" x14ac:dyDescent="0.2">
      <c r="H866" s="23"/>
      <c r="N866" s="6"/>
      <c r="Q866" s="23"/>
      <c r="R866" s="23"/>
      <c r="AT866" s="23"/>
      <c r="AU866" s="23"/>
    </row>
    <row r="867" spans="8:47" x14ac:dyDescent="0.2">
      <c r="H867" s="23"/>
      <c r="N867" s="6"/>
      <c r="Q867" s="23"/>
      <c r="R867" s="23"/>
      <c r="AR867" s="23"/>
      <c r="AS867" s="23"/>
      <c r="AT867" s="23"/>
      <c r="AU867" s="23"/>
    </row>
    <row r="868" spans="8:47" x14ac:dyDescent="0.2">
      <c r="H868" s="23"/>
      <c r="N868" s="6"/>
      <c r="Q868" s="23"/>
      <c r="R868" s="23"/>
      <c r="AR868" s="23"/>
      <c r="AS868" s="23"/>
      <c r="AT868" s="23"/>
      <c r="AU868" s="23"/>
    </row>
    <row r="869" spans="8:47" x14ac:dyDescent="0.2">
      <c r="H869" s="23"/>
      <c r="N869" s="6"/>
      <c r="Q869" s="23"/>
      <c r="R869" s="23"/>
      <c r="AT869" s="23"/>
      <c r="AU869" s="23"/>
    </row>
    <row r="870" spans="8:47" x14ac:dyDescent="0.2">
      <c r="H870" s="23"/>
      <c r="N870" s="6"/>
      <c r="Q870" s="23"/>
      <c r="R870" s="23"/>
      <c r="AT870" s="23"/>
      <c r="AU870" s="23"/>
    </row>
    <row r="871" spans="8:47" x14ac:dyDescent="0.2">
      <c r="H871" s="23"/>
      <c r="N871" s="6"/>
      <c r="Q871" s="23"/>
      <c r="R871" s="23"/>
      <c r="AR871" s="23"/>
      <c r="AS871" s="23"/>
      <c r="AT871" s="23"/>
      <c r="AU871" s="23"/>
    </row>
    <row r="872" spans="8:47" x14ac:dyDescent="0.2">
      <c r="H872" s="23"/>
      <c r="N872" s="6"/>
      <c r="Q872" s="23"/>
      <c r="R872" s="23"/>
      <c r="AR872" s="23"/>
      <c r="AS872" s="23"/>
      <c r="AT872" s="23"/>
      <c r="AU872" s="23"/>
    </row>
    <row r="873" spans="8:47" x14ac:dyDescent="0.2">
      <c r="H873" s="23"/>
      <c r="N873" s="6"/>
      <c r="Q873" s="23"/>
      <c r="R873" s="23"/>
      <c r="AR873" s="23"/>
      <c r="AS873" s="23"/>
      <c r="AT873" s="23"/>
      <c r="AU873" s="23"/>
    </row>
    <row r="874" spans="8:47" x14ac:dyDescent="0.2">
      <c r="H874" s="23"/>
      <c r="N874" s="6"/>
      <c r="Q874" s="23"/>
      <c r="R874" s="23"/>
      <c r="AT874" s="23"/>
      <c r="AU874" s="23"/>
    </row>
    <row r="875" spans="8:47" x14ac:dyDescent="0.2">
      <c r="H875" s="23"/>
      <c r="N875" s="6"/>
      <c r="Q875" s="23"/>
      <c r="R875" s="23"/>
      <c r="AR875" s="23"/>
      <c r="AS875" s="23"/>
      <c r="AT875" s="23"/>
      <c r="AU875" s="23"/>
    </row>
    <row r="876" spans="8:47" x14ac:dyDescent="0.2">
      <c r="H876" s="23"/>
      <c r="N876" s="6"/>
      <c r="Q876" s="23"/>
      <c r="R876" s="23"/>
      <c r="AR876" s="23"/>
      <c r="AS876" s="23"/>
      <c r="AT876" s="23"/>
      <c r="AU876" s="23"/>
    </row>
    <row r="877" spans="8:47" x14ac:dyDescent="0.2">
      <c r="H877" s="23"/>
      <c r="N877" s="6"/>
      <c r="Q877" s="23"/>
      <c r="R877" s="23"/>
      <c r="AR877" s="23"/>
      <c r="AS877" s="23"/>
      <c r="AT877" s="23"/>
      <c r="AU877" s="23"/>
    </row>
    <row r="878" spans="8:47" x14ac:dyDescent="0.2">
      <c r="H878" s="23"/>
      <c r="N878" s="6"/>
      <c r="Q878" s="23"/>
      <c r="R878" s="23"/>
      <c r="AR878" s="23"/>
      <c r="AS878" s="23"/>
      <c r="AT878" s="23"/>
      <c r="AU878" s="23"/>
    </row>
    <row r="879" spans="8:47" x14ac:dyDescent="0.2">
      <c r="H879" s="23"/>
      <c r="N879" s="6"/>
      <c r="Q879" s="23"/>
      <c r="R879" s="23"/>
      <c r="AR879" s="23"/>
      <c r="AS879" s="23"/>
      <c r="AT879" s="23"/>
      <c r="AU879" s="23"/>
    </row>
    <row r="880" spans="8:47" x14ac:dyDescent="0.2">
      <c r="H880" s="23"/>
      <c r="N880" s="6"/>
      <c r="Q880" s="23"/>
      <c r="R880" s="23"/>
      <c r="AR880" s="23"/>
      <c r="AS880" s="23"/>
      <c r="AT880" s="23"/>
      <c r="AU880" s="23"/>
    </row>
    <row r="881" spans="8:47" x14ac:dyDescent="0.2">
      <c r="H881" s="23"/>
      <c r="N881" s="6"/>
      <c r="Q881" s="23"/>
      <c r="R881" s="23"/>
      <c r="AR881" s="23"/>
      <c r="AS881" s="23"/>
      <c r="AT881" s="23"/>
      <c r="AU881" s="23"/>
    </row>
    <row r="882" spans="8:47" x14ac:dyDescent="0.2">
      <c r="H882" s="23"/>
      <c r="N882" s="6"/>
      <c r="Q882" s="23"/>
      <c r="R882" s="23"/>
      <c r="AR882" s="23"/>
      <c r="AS882" s="23"/>
      <c r="AT882" s="23"/>
      <c r="AU882" s="23"/>
    </row>
    <row r="883" spans="8:47" x14ac:dyDescent="0.2">
      <c r="H883" s="23"/>
      <c r="N883" s="6"/>
      <c r="Q883" s="23"/>
      <c r="R883" s="23"/>
      <c r="AR883" s="23"/>
      <c r="AS883" s="23"/>
      <c r="AT883" s="23"/>
      <c r="AU883" s="23"/>
    </row>
    <row r="884" spans="8:47" x14ac:dyDescent="0.2">
      <c r="H884" s="23"/>
      <c r="N884" s="6"/>
      <c r="Q884" s="23"/>
      <c r="R884" s="23"/>
      <c r="AR884" s="23"/>
      <c r="AS884" s="23"/>
      <c r="AT884" s="23"/>
      <c r="AU884" s="23"/>
    </row>
    <row r="885" spans="8:47" x14ac:dyDescent="0.2">
      <c r="H885" s="23"/>
      <c r="N885" s="6"/>
      <c r="Q885" s="23"/>
      <c r="R885" s="23"/>
      <c r="AR885" s="23"/>
      <c r="AS885" s="23"/>
      <c r="AT885" s="23"/>
      <c r="AU885" s="23"/>
    </row>
    <row r="886" spans="8:47" x14ac:dyDescent="0.2">
      <c r="H886" s="23"/>
      <c r="N886" s="6"/>
      <c r="Q886" s="23"/>
      <c r="R886" s="23"/>
      <c r="AR886" s="23"/>
      <c r="AS886" s="23"/>
      <c r="AT886" s="23"/>
      <c r="AU886" s="23"/>
    </row>
    <row r="887" spans="8:47" x14ac:dyDescent="0.2">
      <c r="H887" s="23"/>
      <c r="N887" s="6"/>
      <c r="Q887" s="23"/>
      <c r="R887" s="23"/>
      <c r="AR887" s="23"/>
      <c r="AS887" s="23"/>
      <c r="AT887" s="23"/>
      <c r="AU887" s="23"/>
    </row>
    <row r="888" spans="8:47" x14ac:dyDescent="0.2">
      <c r="H888" s="23"/>
      <c r="N888" s="6"/>
      <c r="Q888" s="23"/>
      <c r="R888" s="23"/>
      <c r="AT888" s="23"/>
      <c r="AU888" s="23"/>
    </row>
    <row r="889" spans="8:47" x14ac:dyDescent="0.2">
      <c r="H889" s="23"/>
      <c r="N889" s="6"/>
      <c r="Q889" s="23"/>
      <c r="R889" s="23"/>
      <c r="AR889" s="23"/>
      <c r="AS889" s="23"/>
      <c r="AT889" s="23"/>
      <c r="AU889" s="23"/>
    </row>
    <row r="890" spans="8:47" x14ac:dyDescent="0.2">
      <c r="H890" s="23"/>
      <c r="N890" s="6"/>
      <c r="Q890" s="23"/>
      <c r="R890" s="23"/>
      <c r="AR890" s="23"/>
      <c r="AS890" s="23"/>
      <c r="AT890" s="23"/>
      <c r="AU890" s="23"/>
    </row>
    <row r="891" spans="8:47" x14ac:dyDescent="0.2">
      <c r="H891" s="23"/>
      <c r="N891" s="6"/>
      <c r="Q891" s="23"/>
      <c r="R891" s="23"/>
      <c r="AT891" s="23"/>
      <c r="AU891" s="23"/>
    </row>
    <row r="892" spans="8:47" x14ac:dyDescent="0.2">
      <c r="H892" s="23"/>
      <c r="N892" s="6"/>
      <c r="Q892" s="23"/>
      <c r="R892" s="23"/>
      <c r="AR892" s="23"/>
      <c r="AS892" s="23"/>
      <c r="AT892" s="23"/>
      <c r="AU892" s="23"/>
    </row>
    <row r="893" spans="8:47" x14ac:dyDescent="0.2">
      <c r="H893" s="23"/>
      <c r="N893" s="6"/>
      <c r="Q893" s="23"/>
      <c r="R893" s="23"/>
      <c r="AR893" s="23"/>
      <c r="AS893" s="23"/>
      <c r="AT893" s="23"/>
      <c r="AU893" s="23"/>
    </row>
    <row r="894" spans="8:47" x14ac:dyDescent="0.2">
      <c r="H894" s="23"/>
      <c r="N894" s="6"/>
      <c r="Q894" s="23"/>
      <c r="R894" s="23"/>
      <c r="AR894" s="23"/>
      <c r="AS894" s="23"/>
      <c r="AT894" s="23"/>
      <c r="AU894" s="23"/>
    </row>
    <row r="895" spans="8:47" x14ac:dyDescent="0.2">
      <c r="H895" s="23"/>
      <c r="N895" s="6"/>
      <c r="Q895" s="23"/>
      <c r="R895" s="23"/>
      <c r="AR895" s="23"/>
      <c r="AS895" s="23"/>
      <c r="AT895" s="23"/>
      <c r="AU895" s="23"/>
    </row>
    <row r="896" spans="8:47" x14ac:dyDescent="0.2">
      <c r="H896" s="23"/>
      <c r="N896" s="6"/>
      <c r="Q896" s="23"/>
      <c r="R896" s="23"/>
      <c r="AR896" s="23"/>
      <c r="AS896" s="23"/>
      <c r="AT896" s="23"/>
      <c r="AU896" s="23"/>
    </row>
    <row r="897" spans="8:47" x14ac:dyDescent="0.2">
      <c r="H897" s="23"/>
      <c r="N897" s="6"/>
      <c r="Q897" s="23"/>
      <c r="R897" s="23"/>
      <c r="AR897" s="23"/>
      <c r="AT897" s="23"/>
      <c r="AU897" s="23"/>
    </row>
    <row r="898" spans="8:47" x14ac:dyDescent="0.2">
      <c r="H898" s="23"/>
      <c r="N898" s="6"/>
      <c r="Q898" s="23"/>
      <c r="R898" s="23"/>
      <c r="AR898" s="23"/>
      <c r="AS898" s="23"/>
      <c r="AT898" s="23"/>
      <c r="AU898" s="23"/>
    </row>
    <row r="899" spans="8:47" x14ac:dyDescent="0.2">
      <c r="H899" s="23"/>
      <c r="N899" s="6"/>
      <c r="Q899" s="23"/>
      <c r="R899" s="23"/>
      <c r="AR899" s="23"/>
      <c r="AS899" s="23"/>
      <c r="AT899" s="23"/>
      <c r="AU899" s="23"/>
    </row>
    <row r="900" spans="8:47" x14ac:dyDescent="0.2">
      <c r="H900" s="23"/>
      <c r="N900" s="6"/>
      <c r="Q900" s="23"/>
      <c r="R900" s="23"/>
      <c r="AR900" s="23"/>
      <c r="AS900" s="23"/>
      <c r="AT900" s="23"/>
      <c r="AU900" s="23"/>
    </row>
    <row r="901" spans="8:47" x14ac:dyDescent="0.2">
      <c r="H901" s="23"/>
      <c r="N901" s="6"/>
      <c r="Q901" s="23"/>
      <c r="R901" s="23"/>
      <c r="AR901" s="23"/>
      <c r="AS901" s="23"/>
      <c r="AT901" s="23"/>
      <c r="AU901" s="23"/>
    </row>
    <row r="902" spans="8:47" x14ac:dyDescent="0.2">
      <c r="H902" s="23"/>
      <c r="N902" s="6"/>
      <c r="Q902" s="23"/>
      <c r="R902" s="23"/>
      <c r="AR902" s="23"/>
      <c r="AS902" s="23"/>
      <c r="AT902" s="23"/>
      <c r="AU902" s="23"/>
    </row>
    <row r="903" spans="8:47" x14ac:dyDescent="0.2">
      <c r="H903" s="23"/>
      <c r="N903" s="6"/>
      <c r="Q903" s="23"/>
      <c r="R903" s="23"/>
      <c r="AR903" s="23"/>
      <c r="AS903" s="23"/>
      <c r="AT903" s="23"/>
      <c r="AU903" s="23"/>
    </row>
    <row r="904" spans="8:47" x14ac:dyDescent="0.2">
      <c r="H904" s="23"/>
      <c r="N904" s="6"/>
      <c r="Q904" s="23"/>
      <c r="R904" s="23"/>
      <c r="AR904" s="23"/>
      <c r="AS904" s="23"/>
      <c r="AT904" s="23"/>
      <c r="AU904" s="23"/>
    </row>
    <row r="905" spans="8:47" x14ac:dyDescent="0.2">
      <c r="H905" s="23"/>
      <c r="N905" s="6"/>
      <c r="Q905" s="23"/>
      <c r="R905" s="23"/>
      <c r="AR905" s="23"/>
      <c r="AS905" s="23"/>
      <c r="AT905" s="23"/>
      <c r="AU905" s="23"/>
    </row>
    <row r="906" spans="8:47" x14ac:dyDescent="0.2">
      <c r="H906" s="23"/>
      <c r="N906" s="6"/>
      <c r="Q906" s="23"/>
      <c r="R906" s="23"/>
      <c r="AR906" s="23"/>
      <c r="AS906" s="23"/>
      <c r="AT906" s="23"/>
      <c r="AU906" s="23"/>
    </row>
    <row r="907" spans="8:47" x14ac:dyDescent="0.2">
      <c r="H907" s="23"/>
      <c r="N907" s="6"/>
      <c r="Q907" s="23"/>
      <c r="R907" s="23"/>
      <c r="AR907" s="23"/>
      <c r="AS907" s="23"/>
      <c r="AT907" s="23"/>
      <c r="AU907" s="23"/>
    </row>
    <row r="908" spans="8:47" x14ac:dyDescent="0.2">
      <c r="H908" s="23"/>
      <c r="N908" s="6"/>
      <c r="Q908" s="23"/>
      <c r="R908" s="23"/>
      <c r="AR908" s="23"/>
      <c r="AT908" s="23"/>
      <c r="AU908" s="23"/>
    </row>
    <row r="909" spans="8:47" x14ac:dyDescent="0.2">
      <c r="H909" s="23"/>
      <c r="N909" s="6"/>
      <c r="Q909" s="23"/>
      <c r="R909" s="23"/>
      <c r="AR909" s="23"/>
      <c r="AS909" s="23"/>
      <c r="AT909" s="23"/>
      <c r="AU909" s="23"/>
    </row>
    <row r="910" spans="8:47" x14ac:dyDescent="0.2">
      <c r="H910" s="23"/>
      <c r="N910" s="6"/>
      <c r="Q910" s="23"/>
      <c r="R910" s="23"/>
      <c r="AR910" s="23"/>
      <c r="AS910" s="23"/>
      <c r="AT910" s="23"/>
      <c r="AU910" s="23"/>
    </row>
    <row r="911" spans="8:47" x14ac:dyDescent="0.2">
      <c r="H911" s="23"/>
      <c r="N911" s="6"/>
      <c r="Q911" s="23"/>
      <c r="R911" s="23"/>
      <c r="AR911" s="23"/>
      <c r="AS911" s="23"/>
      <c r="AT911" s="23"/>
      <c r="AU911" s="23"/>
    </row>
    <row r="912" spans="8:47" x14ac:dyDescent="0.2">
      <c r="H912" s="23"/>
      <c r="N912" s="6"/>
      <c r="Q912" s="23"/>
      <c r="R912" s="23"/>
      <c r="AR912" s="23"/>
      <c r="AS912" s="23"/>
      <c r="AT912" s="23"/>
      <c r="AU912" s="23"/>
    </row>
    <row r="913" spans="8:47" x14ac:dyDescent="0.2">
      <c r="H913" s="23"/>
      <c r="N913" s="6"/>
      <c r="Q913" s="23"/>
      <c r="R913" s="23"/>
      <c r="AR913" s="23"/>
      <c r="AS913" s="23"/>
      <c r="AT913" s="23"/>
      <c r="AU913" s="23"/>
    </row>
    <row r="914" spans="8:47" x14ac:dyDescent="0.2">
      <c r="H914" s="23"/>
      <c r="N914" s="6"/>
      <c r="Q914" s="23"/>
      <c r="R914" s="23"/>
      <c r="AR914" s="23"/>
      <c r="AS914" s="23"/>
      <c r="AT914" s="23"/>
      <c r="AU914" s="23"/>
    </row>
    <row r="915" spans="8:47" x14ac:dyDescent="0.2">
      <c r="H915" s="23"/>
      <c r="N915" s="6"/>
      <c r="Q915" s="23"/>
      <c r="R915" s="23"/>
      <c r="AR915" s="23"/>
      <c r="AS915" s="23"/>
      <c r="AT915" s="23"/>
      <c r="AU915" s="23"/>
    </row>
    <row r="916" spans="8:47" x14ac:dyDescent="0.2">
      <c r="H916" s="23"/>
      <c r="N916" s="6"/>
      <c r="Q916" s="23"/>
      <c r="R916" s="23"/>
      <c r="AR916" s="23"/>
      <c r="AS916" s="23"/>
      <c r="AT916" s="23"/>
      <c r="AU916" s="23"/>
    </row>
    <row r="917" spans="8:47" x14ac:dyDescent="0.2">
      <c r="H917" s="23"/>
      <c r="N917" s="6"/>
      <c r="Q917" s="23"/>
      <c r="R917" s="23"/>
      <c r="AR917" s="23"/>
      <c r="AS917" s="23"/>
      <c r="AT917" s="23"/>
      <c r="AU917" s="23"/>
    </row>
    <row r="918" spans="8:47" x14ac:dyDescent="0.2">
      <c r="H918" s="23"/>
      <c r="N918" s="6"/>
      <c r="Q918" s="23"/>
      <c r="R918" s="23"/>
      <c r="AR918" s="23"/>
      <c r="AS918" s="23"/>
      <c r="AT918" s="23"/>
      <c r="AU918" s="23"/>
    </row>
    <row r="919" spans="8:47" x14ac:dyDescent="0.2">
      <c r="H919" s="23"/>
      <c r="N919" s="6"/>
      <c r="Q919" s="23"/>
      <c r="R919" s="23"/>
      <c r="AR919" s="23"/>
      <c r="AS919" s="23"/>
      <c r="AT919" s="23"/>
      <c r="AU919" s="23"/>
    </row>
    <row r="920" spans="8:47" x14ac:dyDescent="0.2">
      <c r="H920" s="23"/>
      <c r="N920" s="6"/>
      <c r="Q920" s="23"/>
      <c r="R920" s="23"/>
      <c r="AR920" s="23"/>
      <c r="AT920" s="23"/>
      <c r="AU920" s="23"/>
    </row>
    <row r="921" spans="8:47" x14ac:dyDescent="0.2">
      <c r="H921" s="23"/>
      <c r="N921" s="6"/>
      <c r="Q921" s="23"/>
      <c r="R921" s="23"/>
      <c r="AR921" s="23"/>
      <c r="AS921" s="23"/>
      <c r="AT921" s="23"/>
      <c r="AU921" s="23"/>
    </row>
    <row r="922" spans="8:47" x14ac:dyDescent="0.2">
      <c r="H922" s="23"/>
      <c r="N922" s="6"/>
      <c r="Q922" s="23"/>
      <c r="R922" s="23"/>
      <c r="AR922" s="23"/>
      <c r="AS922" s="23"/>
      <c r="AT922" s="23"/>
      <c r="AU922" s="23"/>
    </row>
    <row r="923" spans="8:47" x14ac:dyDescent="0.2">
      <c r="H923" s="23"/>
      <c r="N923" s="6"/>
      <c r="Q923" s="23"/>
      <c r="R923" s="23"/>
    </row>
    <row r="924" spans="8:47" x14ac:dyDescent="0.2">
      <c r="H924" s="23"/>
      <c r="N924" s="6"/>
      <c r="Q924" s="23"/>
      <c r="R924" s="23"/>
      <c r="AR924" s="23"/>
      <c r="AS924" s="23"/>
      <c r="AT924" s="23"/>
      <c r="AU924" s="23"/>
    </row>
    <row r="925" spans="8:47" x14ac:dyDescent="0.2">
      <c r="H925" s="23"/>
      <c r="N925" s="6"/>
      <c r="Q925" s="23"/>
      <c r="R925" s="23"/>
      <c r="AR925" s="23"/>
      <c r="AS925" s="23"/>
      <c r="AT925" s="23"/>
      <c r="AU925" s="23"/>
    </row>
    <row r="926" spans="8:47" x14ac:dyDescent="0.2">
      <c r="H926" s="23"/>
      <c r="N926" s="6"/>
      <c r="Q926" s="23"/>
      <c r="R926" s="23"/>
      <c r="AR926" s="23"/>
      <c r="AS926" s="23"/>
      <c r="AT926" s="23"/>
      <c r="AU926" s="23"/>
    </row>
    <row r="927" spans="8:47" x14ac:dyDescent="0.2">
      <c r="H927" s="23"/>
      <c r="N927" s="6"/>
      <c r="Q927" s="23"/>
      <c r="R927" s="23"/>
      <c r="AT927" s="23"/>
      <c r="AU927" s="23"/>
    </row>
    <row r="928" spans="8:47" x14ac:dyDescent="0.2">
      <c r="H928" s="23"/>
      <c r="N928" s="6"/>
      <c r="Q928" s="23"/>
      <c r="R928" s="23"/>
      <c r="AR928" s="23"/>
      <c r="AS928" s="23"/>
      <c r="AT928" s="23"/>
      <c r="AU928" s="23"/>
    </row>
    <row r="929" spans="8:47" x14ac:dyDescent="0.2">
      <c r="H929" s="23"/>
      <c r="N929" s="6"/>
      <c r="Q929" s="23"/>
      <c r="R929" s="23"/>
      <c r="AR929" s="23"/>
      <c r="AS929" s="23"/>
      <c r="AT929" s="23"/>
      <c r="AU929" s="23"/>
    </row>
    <row r="930" spans="8:47" x14ac:dyDescent="0.2">
      <c r="H930" s="23"/>
      <c r="N930" s="6"/>
      <c r="Q930" s="23"/>
      <c r="R930" s="23"/>
      <c r="AR930" s="23"/>
      <c r="AS930" s="23"/>
      <c r="AT930" s="23"/>
      <c r="AU930" s="23"/>
    </row>
    <row r="931" spans="8:47" x14ac:dyDescent="0.2">
      <c r="H931" s="23"/>
      <c r="N931" s="6"/>
      <c r="Q931" s="23"/>
      <c r="R931" s="23"/>
      <c r="AR931" s="23"/>
      <c r="AS931" s="23"/>
      <c r="AT931" s="23"/>
      <c r="AU931" s="23"/>
    </row>
    <row r="932" spans="8:47" x14ac:dyDescent="0.2">
      <c r="H932" s="23"/>
      <c r="N932" s="6"/>
      <c r="Q932" s="23"/>
      <c r="R932" s="23"/>
      <c r="AR932" s="23"/>
      <c r="AS932" s="23"/>
      <c r="AT932" s="23"/>
      <c r="AU932" s="23"/>
    </row>
    <row r="933" spans="8:47" x14ac:dyDescent="0.2">
      <c r="H933" s="23"/>
      <c r="N933" s="6"/>
      <c r="Q933" s="23"/>
      <c r="R933" s="23"/>
      <c r="AR933" s="23"/>
      <c r="AS933" s="23"/>
      <c r="AT933" s="23"/>
      <c r="AU933" s="23"/>
    </row>
    <row r="934" spans="8:47" x14ac:dyDescent="0.2">
      <c r="H934" s="23"/>
      <c r="N934" s="6"/>
      <c r="Q934" s="23"/>
      <c r="R934" s="23"/>
      <c r="AR934" s="23"/>
      <c r="AS934" s="23"/>
      <c r="AT934" s="23"/>
      <c r="AU934" s="23"/>
    </row>
    <row r="935" spans="8:47" x14ac:dyDescent="0.2">
      <c r="H935" s="23"/>
      <c r="N935" s="6"/>
      <c r="Q935" s="23"/>
      <c r="R935" s="23"/>
      <c r="AR935" s="23"/>
      <c r="AS935" s="23"/>
      <c r="AT935" s="23"/>
      <c r="AU935" s="23"/>
    </row>
    <row r="936" spans="8:47" x14ac:dyDescent="0.2">
      <c r="H936" s="23"/>
      <c r="N936" s="6"/>
      <c r="Q936" s="23"/>
      <c r="R936" s="23"/>
      <c r="AR936" s="23"/>
      <c r="AS936" s="23"/>
      <c r="AT936" s="23"/>
      <c r="AU936" s="23"/>
    </row>
    <row r="937" spans="8:47" x14ac:dyDescent="0.2">
      <c r="H937" s="23"/>
      <c r="N937" s="6"/>
      <c r="Q937" s="23"/>
      <c r="R937" s="23"/>
      <c r="AT937" s="23"/>
      <c r="AU937" s="23"/>
    </row>
    <row r="938" spans="8:47" x14ac:dyDescent="0.2">
      <c r="H938" s="23"/>
      <c r="N938" s="6"/>
      <c r="Q938" s="23"/>
      <c r="R938" s="23"/>
      <c r="AR938" s="23"/>
      <c r="AS938" s="23"/>
      <c r="AT938" s="23"/>
      <c r="AU938" s="23"/>
    </row>
    <row r="939" spans="8:47" x14ac:dyDescent="0.2">
      <c r="H939" s="23"/>
      <c r="N939" s="6"/>
      <c r="Q939" s="23"/>
      <c r="R939" s="23"/>
      <c r="AR939" s="23"/>
      <c r="AS939" s="23"/>
      <c r="AT939" s="23"/>
      <c r="AU939" s="23"/>
    </row>
    <row r="940" spans="8:47" x14ac:dyDescent="0.2">
      <c r="H940" s="23"/>
      <c r="N940" s="6"/>
      <c r="Q940" s="23"/>
      <c r="R940" s="23"/>
      <c r="AR940" s="23"/>
      <c r="AS940" s="23"/>
      <c r="AT940" s="23"/>
      <c r="AU940" s="23"/>
    </row>
    <row r="941" spans="8:47" x14ac:dyDescent="0.2">
      <c r="H941" s="23"/>
      <c r="N941" s="6"/>
      <c r="Q941" s="23"/>
      <c r="R941" s="23"/>
      <c r="AR941" s="23"/>
      <c r="AS941" s="23"/>
      <c r="AT941" s="23"/>
      <c r="AU941" s="23"/>
    </row>
    <row r="942" spans="8:47" x14ac:dyDescent="0.2">
      <c r="H942" s="23"/>
      <c r="N942" s="6"/>
      <c r="Q942" s="23"/>
      <c r="R942" s="23"/>
      <c r="AT942" s="23"/>
      <c r="AU942" s="23"/>
    </row>
    <row r="943" spans="8:47" x14ac:dyDescent="0.2">
      <c r="H943" s="23"/>
      <c r="N943" s="6"/>
      <c r="Q943" s="23"/>
      <c r="R943" s="23"/>
      <c r="AR943" s="23"/>
      <c r="AS943" s="23"/>
      <c r="AT943" s="23"/>
      <c r="AU943" s="23"/>
    </row>
    <row r="944" spans="8:47" x14ac:dyDescent="0.2">
      <c r="H944" s="23"/>
      <c r="N944" s="6"/>
      <c r="Q944" s="23"/>
      <c r="R944" s="23"/>
      <c r="AR944" s="23"/>
      <c r="AS944" s="23"/>
      <c r="AT944" s="23"/>
      <c r="AU944" s="23"/>
    </row>
    <row r="945" spans="8:47" x14ac:dyDescent="0.2">
      <c r="H945" s="23"/>
      <c r="N945" s="6"/>
      <c r="Q945" s="23"/>
      <c r="R945" s="23"/>
      <c r="AR945" s="23"/>
      <c r="AS945" s="23"/>
      <c r="AT945" s="23"/>
      <c r="AU945" s="23"/>
    </row>
    <row r="946" spans="8:47" x14ac:dyDescent="0.2">
      <c r="H946" s="23"/>
      <c r="N946" s="6"/>
      <c r="Q946" s="23"/>
      <c r="R946" s="23"/>
      <c r="AR946" s="23"/>
      <c r="AS946" s="23"/>
      <c r="AT946" s="23"/>
      <c r="AU946" s="23"/>
    </row>
    <row r="947" spans="8:47" x14ac:dyDescent="0.2">
      <c r="H947" s="23"/>
      <c r="N947" s="6"/>
      <c r="Q947" s="23"/>
      <c r="R947" s="23"/>
      <c r="AR947" s="23"/>
      <c r="AS947" s="23"/>
      <c r="AT947" s="23"/>
      <c r="AU947" s="23"/>
    </row>
    <row r="948" spans="8:47" x14ac:dyDescent="0.2">
      <c r="H948" s="23"/>
      <c r="N948" s="6"/>
      <c r="Q948" s="23"/>
      <c r="R948" s="23"/>
      <c r="AT948" s="23"/>
      <c r="AU948" s="23"/>
    </row>
    <row r="949" spans="8:47" x14ac:dyDescent="0.2">
      <c r="H949" s="23"/>
      <c r="N949" s="6"/>
      <c r="Q949" s="23"/>
      <c r="R949" s="23"/>
      <c r="AR949" s="23"/>
      <c r="AS949" s="23"/>
      <c r="AT949" s="23"/>
      <c r="AU949" s="23"/>
    </row>
    <row r="950" spans="8:47" x14ac:dyDescent="0.2">
      <c r="H950" s="23"/>
      <c r="N950" s="6"/>
      <c r="Q950" s="23"/>
      <c r="R950" s="23"/>
      <c r="AR950" s="23"/>
      <c r="AS950" s="23"/>
      <c r="AT950" s="23"/>
      <c r="AU950" s="23"/>
    </row>
    <row r="951" spans="8:47" x14ac:dyDescent="0.2">
      <c r="H951" s="23"/>
      <c r="N951" s="6"/>
      <c r="Q951" s="23"/>
      <c r="R951" s="23"/>
      <c r="AR951" s="23"/>
      <c r="AS951" s="23"/>
      <c r="AT951" s="23"/>
      <c r="AU951" s="23"/>
    </row>
    <row r="952" spans="8:47" x14ac:dyDescent="0.2">
      <c r="H952" s="23"/>
      <c r="N952" s="6"/>
      <c r="Q952" s="23"/>
      <c r="R952" s="23"/>
      <c r="AR952" s="23"/>
      <c r="AS952" s="23"/>
      <c r="AT952" s="23"/>
      <c r="AU952" s="23"/>
    </row>
    <row r="953" spans="8:47" x14ac:dyDescent="0.2">
      <c r="H953" s="23"/>
      <c r="N953" s="6"/>
      <c r="Q953" s="23"/>
      <c r="R953" s="23"/>
      <c r="AR953" s="23"/>
      <c r="AS953" s="23"/>
      <c r="AT953" s="23"/>
      <c r="AU953" s="23"/>
    </row>
    <row r="954" spans="8:47" x14ac:dyDescent="0.2">
      <c r="H954" s="23"/>
      <c r="N954" s="6"/>
      <c r="Q954" s="23"/>
      <c r="R954" s="23"/>
      <c r="AR954" s="23"/>
      <c r="AS954" s="23"/>
      <c r="AT954" s="23"/>
      <c r="AU954" s="23"/>
    </row>
    <row r="955" spans="8:47" x14ac:dyDescent="0.2">
      <c r="H955" s="23"/>
      <c r="N955" s="6"/>
      <c r="Q955" s="23"/>
      <c r="R955" s="23"/>
      <c r="AR955" s="23"/>
      <c r="AS955" s="23"/>
      <c r="AT955" s="23"/>
      <c r="AU955" s="23"/>
    </row>
    <row r="956" spans="8:47" x14ac:dyDescent="0.2">
      <c r="H956" s="23"/>
      <c r="N956" s="6"/>
      <c r="Q956" s="23"/>
      <c r="R956" s="23"/>
      <c r="AR956" s="23"/>
      <c r="AS956" s="23"/>
      <c r="AT956" s="23"/>
      <c r="AU956" s="23"/>
    </row>
    <row r="957" spans="8:47" x14ac:dyDescent="0.2">
      <c r="H957" s="23"/>
      <c r="N957" s="6"/>
      <c r="Q957" s="23"/>
      <c r="R957" s="23"/>
      <c r="AR957" s="23"/>
      <c r="AS957" s="23"/>
      <c r="AT957" s="23"/>
      <c r="AU957" s="23"/>
    </row>
    <row r="958" spans="8:47" x14ac:dyDescent="0.2">
      <c r="H958" s="23"/>
      <c r="N958" s="6"/>
      <c r="Q958" s="23"/>
      <c r="R958" s="23"/>
      <c r="AR958" s="23"/>
      <c r="AS958" s="23"/>
      <c r="AT958" s="23"/>
      <c r="AU958" s="23"/>
    </row>
    <row r="959" spans="8:47" x14ac:dyDescent="0.2">
      <c r="H959" s="23"/>
      <c r="N959" s="6"/>
      <c r="Q959" s="23"/>
      <c r="R959" s="23"/>
      <c r="AR959" s="23"/>
      <c r="AS959" s="23"/>
      <c r="AT959" s="23"/>
      <c r="AU959" s="23"/>
    </row>
    <row r="960" spans="8:47" x14ac:dyDescent="0.2">
      <c r="H960" s="23"/>
      <c r="N960" s="6"/>
      <c r="Q960" s="23"/>
      <c r="R960" s="23"/>
      <c r="AR960" s="23"/>
      <c r="AS960" s="23"/>
      <c r="AT960" s="23"/>
      <c r="AU960" s="23"/>
    </row>
    <row r="961" spans="8:47" x14ac:dyDescent="0.2">
      <c r="H961" s="23"/>
      <c r="N961" s="6"/>
      <c r="Q961" s="23"/>
      <c r="R961" s="23"/>
      <c r="AR961" s="23"/>
      <c r="AS961" s="23"/>
      <c r="AT961" s="23"/>
      <c r="AU961" s="23"/>
    </row>
    <row r="962" spans="8:47" x14ac:dyDescent="0.2">
      <c r="H962" s="23"/>
      <c r="N962" s="6"/>
      <c r="Q962" s="23"/>
      <c r="R962" s="23"/>
      <c r="AR962" s="23"/>
      <c r="AS962" s="23"/>
      <c r="AT962" s="23"/>
      <c r="AU962" s="23"/>
    </row>
    <row r="963" spans="8:47" x14ac:dyDescent="0.2">
      <c r="H963" s="23"/>
      <c r="N963" s="6"/>
      <c r="Q963" s="23"/>
      <c r="R963" s="23"/>
      <c r="AT963" s="23"/>
      <c r="AU963" s="23"/>
    </row>
    <row r="964" spans="8:47" x14ac:dyDescent="0.2">
      <c r="H964" s="23"/>
      <c r="N964" s="6"/>
      <c r="Q964" s="23"/>
      <c r="R964" s="23"/>
      <c r="AR964" s="23"/>
      <c r="AS964" s="23"/>
      <c r="AT964" s="23"/>
      <c r="AU964" s="23"/>
    </row>
    <row r="965" spans="8:47" x14ac:dyDescent="0.2">
      <c r="H965" s="23"/>
      <c r="N965" s="6"/>
      <c r="Q965" s="23"/>
      <c r="R965" s="23"/>
      <c r="AR965" s="23"/>
      <c r="AS965" s="23"/>
      <c r="AT965" s="23"/>
      <c r="AU965" s="23"/>
    </row>
    <row r="966" spans="8:47" x14ac:dyDescent="0.2">
      <c r="H966" s="23"/>
      <c r="N966" s="6"/>
      <c r="Q966" s="23"/>
      <c r="R966" s="23"/>
      <c r="AR966" s="23"/>
      <c r="AS966" s="23"/>
      <c r="AT966" s="23"/>
      <c r="AU966" s="23"/>
    </row>
    <row r="967" spans="8:47" x14ac:dyDescent="0.2">
      <c r="H967" s="23"/>
      <c r="N967" s="6"/>
      <c r="Q967" s="23"/>
      <c r="R967" s="23"/>
      <c r="AR967" s="23"/>
      <c r="AS967" s="23"/>
      <c r="AT967" s="23"/>
      <c r="AU967" s="23"/>
    </row>
    <row r="968" spans="8:47" x14ac:dyDescent="0.2">
      <c r="H968" s="23"/>
      <c r="N968" s="6"/>
      <c r="Q968" s="23"/>
      <c r="R968" s="23"/>
      <c r="AR968" s="23"/>
      <c r="AS968" s="23"/>
      <c r="AT968" s="23"/>
      <c r="AU968" s="23"/>
    </row>
    <row r="969" spans="8:47" x14ac:dyDescent="0.2">
      <c r="H969" s="23"/>
      <c r="N969" s="6"/>
      <c r="Q969" s="23"/>
      <c r="R969" s="23"/>
      <c r="AR969" s="23"/>
      <c r="AT969" s="23"/>
      <c r="AU969" s="23"/>
    </row>
    <row r="970" spans="8:47" x14ac:dyDescent="0.2">
      <c r="H970" s="23"/>
      <c r="N970" s="6"/>
      <c r="Q970" s="23"/>
      <c r="R970" s="23"/>
      <c r="AT970" s="23"/>
      <c r="AU970" s="23"/>
    </row>
    <row r="971" spans="8:47" x14ac:dyDescent="0.2">
      <c r="H971" s="23"/>
      <c r="N971" s="6"/>
      <c r="Q971" s="23"/>
      <c r="R971" s="23"/>
      <c r="AR971" s="23"/>
      <c r="AS971" s="23"/>
      <c r="AT971" s="23"/>
      <c r="AU971" s="23"/>
    </row>
    <row r="972" spans="8:47" x14ac:dyDescent="0.2">
      <c r="H972" s="23"/>
      <c r="N972" s="6"/>
      <c r="Q972" s="23"/>
      <c r="R972" s="23"/>
      <c r="AR972" s="23"/>
      <c r="AS972" s="23"/>
      <c r="AT972" s="23"/>
      <c r="AU972" s="23"/>
    </row>
    <row r="973" spans="8:47" x14ac:dyDescent="0.2">
      <c r="H973" s="23"/>
      <c r="N973" s="6"/>
      <c r="Q973" s="23"/>
      <c r="R973" s="23"/>
      <c r="AR973" s="23"/>
      <c r="AS973" s="23"/>
      <c r="AT973" s="23"/>
      <c r="AU973" s="23"/>
    </row>
    <row r="974" spans="8:47" x14ac:dyDescent="0.2">
      <c r="H974" s="23"/>
      <c r="N974" s="6"/>
      <c r="Q974" s="23"/>
      <c r="R974" s="23"/>
      <c r="AR974" s="23"/>
      <c r="AS974" s="23"/>
      <c r="AT974" s="23"/>
      <c r="AU974" s="23"/>
    </row>
    <row r="975" spans="8:47" x14ac:dyDescent="0.2">
      <c r="H975" s="23"/>
      <c r="N975" s="6"/>
      <c r="Q975" s="23"/>
      <c r="R975" s="23"/>
      <c r="AT975" s="23"/>
      <c r="AU975" s="23"/>
    </row>
    <row r="976" spans="8:47" x14ac:dyDescent="0.2">
      <c r="H976" s="23"/>
      <c r="N976" s="6"/>
      <c r="Q976" s="23"/>
      <c r="R976" s="23"/>
      <c r="AR976" s="23"/>
      <c r="AS976" s="23"/>
      <c r="AT976" s="23"/>
      <c r="AU976" s="23"/>
    </row>
    <row r="977" spans="8:47" x14ac:dyDescent="0.2">
      <c r="H977" s="23"/>
      <c r="N977" s="6"/>
      <c r="Q977" s="23"/>
      <c r="R977" s="23"/>
      <c r="AR977" s="23"/>
      <c r="AS977" s="23"/>
      <c r="AT977" s="23"/>
      <c r="AU977" s="23"/>
    </row>
    <row r="978" spans="8:47" x14ac:dyDescent="0.2">
      <c r="H978" s="23"/>
      <c r="N978" s="6"/>
      <c r="Q978" s="23"/>
      <c r="R978" s="23"/>
      <c r="AR978" s="23"/>
      <c r="AS978" s="23"/>
      <c r="AT978" s="23"/>
      <c r="AU978" s="23"/>
    </row>
    <row r="979" spans="8:47" x14ac:dyDescent="0.2">
      <c r="H979" s="23"/>
      <c r="N979" s="6"/>
      <c r="Q979" s="23"/>
      <c r="R979" s="23"/>
      <c r="AR979" s="23"/>
      <c r="AS979" s="23"/>
      <c r="AT979" s="23"/>
      <c r="AU979" s="23"/>
    </row>
    <row r="980" spans="8:47" x14ac:dyDescent="0.2">
      <c r="H980" s="23"/>
      <c r="N980" s="6"/>
      <c r="Q980" s="23"/>
      <c r="R980" s="23"/>
      <c r="AR980" s="23"/>
      <c r="AS980" s="23"/>
      <c r="AT980" s="23"/>
      <c r="AU980" s="23"/>
    </row>
    <row r="981" spans="8:47" x14ac:dyDescent="0.2">
      <c r="H981" s="23"/>
      <c r="N981" s="6"/>
      <c r="Q981" s="23"/>
      <c r="R981" s="23"/>
      <c r="AR981" s="23"/>
      <c r="AS981" s="23"/>
      <c r="AT981" s="23"/>
      <c r="AU981" s="23"/>
    </row>
    <row r="982" spans="8:47" x14ac:dyDescent="0.2">
      <c r="H982" s="23"/>
      <c r="N982" s="6"/>
      <c r="Q982" s="23"/>
      <c r="R982" s="23"/>
      <c r="AR982" s="23"/>
      <c r="AS982" s="23"/>
      <c r="AT982" s="23"/>
      <c r="AU982" s="23"/>
    </row>
    <row r="983" spans="8:47" x14ac:dyDescent="0.2">
      <c r="H983" s="23"/>
      <c r="N983" s="6"/>
      <c r="Q983" s="23"/>
      <c r="R983" s="23"/>
      <c r="AR983" s="23"/>
      <c r="AS983" s="23"/>
      <c r="AT983" s="23"/>
      <c r="AU983" s="23"/>
    </row>
    <row r="984" spans="8:47" x14ac:dyDescent="0.2">
      <c r="H984" s="23"/>
      <c r="N984" s="6"/>
      <c r="Q984" s="23"/>
      <c r="R984" s="23"/>
      <c r="AR984" s="23"/>
      <c r="AS984" s="23"/>
      <c r="AT984" s="23"/>
      <c r="AU984" s="23"/>
    </row>
    <row r="985" spans="8:47" x14ac:dyDescent="0.2">
      <c r="H985" s="23"/>
      <c r="N985" s="6"/>
      <c r="Q985" s="23"/>
      <c r="R985" s="23"/>
      <c r="AR985" s="23"/>
      <c r="AS985" s="23"/>
      <c r="AT985" s="23"/>
      <c r="AU985" s="23"/>
    </row>
    <row r="986" spans="8:47" x14ac:dyDescent="0.2">
      <c r="H986" s="23"/>
      <c r="N986" s="6"/>
      <c r="Q986" s="23"/>
      <c r="R986" s="23"/>
      <c r="AR986" s="23"/>
      <c r="AS986" s="23"/>
      <c r="AT986" s="23"/>
      <c r="AU986" s="23"/>
    </row>
    <row r="987" spans="8:47" x14ac:dyDescent="0.2">
      <c r="H987" s="23"/>
      <c r="N987" s="6"/>
      <c r="Q987" s="23"/>
      <c r="R987" s="23"/>
      <c r="AR987" s="23"/>
      <c r="AT987" s="23"/>
      <c r="AU987" s="23"/>
    </row>
    <row r="988" spans="8:47" x14ac:dyDescent="0.2">
      <c r="H988" s="23"/>
      <c r="N988" s="6"/>
      <c r="Q988" s="23"/>
      <c r="R988" s="23"/>
      <c r="AR988" s="23"/>
      <c r="AS988" s="23"/>
      <c r="AT988" s="23"/>
      <c r="AU988" s="23"/>
    </row>
    <row r="989" spans="8:47" x14ac:dyDescent="0.2">
      <c r="H989" s="23"/>
      <c r="N989" s="6"/>
      <c r="Q989" s="23"/>
      <c r="R989" s="23"/>
      <c r="AR989" s="23"/>
      <c r="AS989" s="23"/>
      <c r="AT989" s="23"/>
      <c r="AU989" s="23"/>
    </row>
    <row r="990" spans="8:47" x14ac:dyDescent="0.2">
      <c r="H990" s="23"/>
      <c r="N990" s="6"/>
      <c r="Q990" s="23"/>
      <c r="R990" s="23"/>
      <c r="AR990" s="23"/>
      <c r="AS990" s="23"/>
      <c r="AT990" s="23"/>
      <c r="AU990" s="23"/>
    </row>
    <row r="991" spans="8:47" x14ac:dyDescent="0.2">
      <c r="H991" s="23"/>
      <c r="N991" s="6"/>
      <c r="Q991" s="23"/>
      <c r="R991" s="23"/>
      <c r="AR991" s="23"/>
      <c r="AS991" s="23"/>
      <c r="AT991" s="23"/>
      <c r="AU991" s="23"/>
    </row>
    <row r="992" spans="8:47" x14ac:dyDescent="0.2">
      <c r="H992" s="23"/>
      <c r="N992" s="6"/>
      <c r="Q992" s="23"/>
      <c r="R992" s="23"/>
      <c r="AR992" s="23"/>
      <c r="AS992" s="23"/>
      <c r="AT992" s="23"/>
      <c r="AU992" s="23"/>
    </row>
    <row r="993" spans="8:47" x14ac:dyDescent="0.2">
      <c r="H993" s="23"/>
      <c r="N993" s="6"/>
      <c r="Q993" s="23"/>
      <c r="R993" s="23"/>
      <c r="AR993" s="23"/>
      <c r="AS993" s="23"/>
      <c r="AT993" s="23"/>
      <c r="AU993" s="23"/>
    </row>
    <row r="994" spans="8:47" x14ac:dyDescent="0.2">
      <c r="H994" s="23"/>
      <c r="N994" s="6"/>
      <c r="Q994" s="23"/>
      <c r="R994" s="23"/>
      <c r="AR994" s="23"/>
      <c r="AS994" s="23"/>
      <c r="AT994" s="23"/>
      <c r="AU994" s="23"/>
    </row>
    <row r="995" spans="8:47" x14ac:dyDescent="0.2">
      <c r="H995" s="23"/>
      <c r="N995" s="6"/>
      <c r="Q995" s="23"/>
      <c r="R995" s="23"/>
      <c r="AT995" s="23"/>
      <c r="AU995" s="23"/>
    </row>
    <row r="996" spans="8:47" x14ac:dyDescent="0.2">
      <c r="H996" s="23"/>
      <c r="N996" s="6"/>
      <c r="Q996" s="23"/>
      <c r="R996" s="23"/>
      <c r="AR996" s="23"/>
      <c r="AS996" s="23"/>
      <c r="AT996" s="23"/>
      <c r="AU996" s="23"/>
    </row>
    <row r="997" spans="8:47" x14ac:dyDescent="0.2">
      <c r="H997" s="23"/>
      <c r="N997" s="6"/>
      <c r="Q997" s="23"/>
      <c r="R997" s="23"/>
      <c r="AR997" s="23"/>
      <c r="AS997" s="23"/>
      <c r="AT997" s="23"/>
      <c r="AU997" s="23"/>
    </row>
    <row r="998" spans="8:47" x14ac:dyDescent="0.2">
      <c r="H998" s="23"/>
      <c r="N998" s="6"/>
      <c r="Q998" s="23"/>
      <c r="R998" s="23"/>
      <c r="AR998" s="23"/>
      <c r="AT998" s="23"/>
      <c r="AU998" s="23"/>
    </row>
    <row r="999" spans="8:47" x14ac:dyDescent="0.2">
      <c r="H999" s="23"/>
      <c r="N999" s="6"/>
      <c r="Q999" s="23"/>
      <c r="R999" s="23"/>
      <c r="AR999" s="23"/>
      <c r="AS999" s="23"/>
      <c r="AT999" s="23"/>
      <c r="AU999" s="23"/>
    </row>
    <row r="1000" spans="8:47" x14ac:dyDescent="0.2">
      <c r="H1000" s="23"/>
      <c r="N1000" s="6"/>
      <c r="Q1000" s="23"/>
      <c r="R1000" s="23"/>
      <c r="AR1000" s="23"/>
      <c r="AS1000" s="23"/>
      <c r="AT1000" s="23"/>
      <c r="AU1000" s="23"/>
    </row>
    <row r="1001" spans="8:47" x14ac:dyDescent="0.2">
      <c r="H1001" s="23"/>
      <c r="N1001" s="6"/>
      <c r="Q1001" s="23"/>
      <c r="R1001" s="23"/>
      <c r="AR1001" s="23"/>
      <c r="AS1001" s="23"/>
      <c r="AT1001" s="23"/>
      <c r="AU1001" s="23"/>
    </row>
    <row r="1002" spans="8:47" x14ac:dyDescent="0.2">
      <c r="H1002" s="23"/>
      <c r="N1002" s="6"/>
      <c r="Q1002" s="23"/>
      <c r="R1002" s="23"/>
      <c r="AR1002" s="23"/>
      <c r="AS1002" s="23"/>
      <c r="AT1002" s="23"/>
      <c r="AU1002" s="23"/>
    </row>
    <row r="1003" spans="8:47" x14ac:dyDescent="0.2">
      <c r="H1003" s="23"/>
      <c r="N1003" s="6"/>
      <c r="Q1003" s="23"/>
      <c r="R1003" s="23"/>
      <c r="AR1003" s="23"/>
      <c r="AS1003" s="23"/>
      <c r="AT1003" s="23"/>
      <c r="AU1003" s="23"/>
    </row>
    <row r="1004" spans="8:47" x14ac:dyDescent="0.2">
      <c r="H1004" s="23"/>
      <c r="N1004" s="6"/>
      <c r="Q1004" s="23"/>
      <c r="R1004" s="23"/>
      <c r="AR1004" s="23"/>
      <c r="AS1004" s="23"/>
      <c r="AT1004" s="23"/>
      <c r="AU1004" s="23"/>
    </row>
    <row r="1005" spans="8:47" x14ac:dyDescent="0.2">
      <c r="H1005" s="23"/>
      <c r="N1005" s="6"/>
      <c r="Q1005" s="23"/>
      <c r="R1005" s="23"/>
      <c r="AR1005" s="23"/>
      <c r="AS1005" s="23"/>
      <c r="AT1005" s="23"/>
      <c r="AU1005" s="23"/>
    </row>
    <row r="1006" spans="8:47" x14ac:dyDescent="0.2">
      <c r="H1006" s="23"/>
      <c r="N1006" s="6"/>
      <c r="Q1006" s="23"/>
      <c r="R1006" s="23"/>
      <c r="AR1006" s="23"/>
      <c r="AS1006" s="23"/>
      <c r="AT1006" s="23"/>
      <c r="AU1006" s="23"/>
    </row>
    <row r="1007" spans="8:47" x14ac:dyDescent="0.2">
      <c r="H1007" s="23"/>
      <c r="N1007" s="6"/>
      <c r="Q1007" s="23"/>
      <c r="R1007" s="23"/>
      <c r="AR1007" s="23"/>
      <c r="AS1007" s="23"/>
      <c r="AT1007" s="23"/>
      <c r="AU1007" s="23"/>
    </row>
    <row r="1008" spans="8:47" x14ac:dyDescent="0.2">
      <c r="H1008" s="23"/>
      <c r="N1008" s="6"/>
      <c r="Q1008" s="23"/>
      <c r="R1008" s="23"/>
      <c r="AR1008" s="23"/>
      <c r="AS1008" s="23"/>
      <c r="AT1008" s="23"/>
      <c r="AU1008" s="23"/>
    </row>
    <row r="1009" spans="8:47" x14ac:dyDescent="0.2">
      <c r="H1009" s="23"/>
      <c r="N1009" s="6"/>
      <c r="Q1009" s="23"/>
      <c r="R1009" s="23"/>
      <c r="AR1009" s="23"/>
      <c r="AS1009" s="23"/>
      <c r="AT1009" s="23"/>
      <c r="AU1009" s="23"/>
    </row>
    <row r="1010" spans="8:47" x14ac:dyDescent="0.2">
      <c r="H1010" s="23"/>
      <c r="N1010" s="6"/>
      <c r="Q1010" s="23"/>
      <c r="R1010" s="23"/>
      <c r="AR1010" s="23"/>
      <c r="AS1010" s="23"/>
      <c r="AT1010" s="23"/>
      <c r="AU1010" s="23"/>
    </row>
    <row r="1011" spans="8:47" x14ac:dyDescent="0.2">
      <c r="H1011" s="23"/>
      <c r="N1011" s="6"/>
      <c r="Q1011" s="23"/>
      <c r="R1011" s="23"/>
      <c r="AR1011" s="23"/>
      <c r="AS1011" s="23"/>
      <c r="AT1011" s="23"/>
      <c r="AU1011" s="23"/>
    </row>
    <row r="1012" spans="8:47" x14ac:dyDescent="0.2">
      <c r="H1012" s="23"/>
      <c r="N1012" s="6"/>
      <c r="Q1012" s="23"/>
      <c r="R1012" s="23"/>
      <c r="AR1012" s="23"/>
      <c r="AT1012" s="23"/>
      <c r="AU1012" s="23"/>
    </row>
    <row r="1013" spans="8:47" x14ac:dyDescent="0.2">
      <c r="H1013" s="23"/>
      <c r="N1013" s="6"/>
      <c r="Q1013" s="23"/>
      <c r="R1013" s="23"/>
      <c r="AR1013" s="23"/>
      <c r="AS1013" s="23"/>
      <c r="AT1013" s="23"/>
      <c r="AU1013" s="23"/>
    </row>
    <row r="1014" spans="8:47" x14ac:dyDescent="0.2">
      <c r="H1014" s="23"/>
      <c r="N1014" s="6"/>
      <c r="Q1014" s="23"/>
      <c r="R1014" s="23"/>
      <c r="AR1014" s="23"/>
      <c r="AS1014" s="23"/>
      <c r="AT1014" s="23"/>
      <c r="AU1014" s="23"/>
    </row>
    <row r="1015" spans="8:47" x14ac:dyDescent="0.2">
      <c r="H1015" s="23"/>
      <c r="N1015" s="6"/>
      <c r="Q1015" s="23"/>
      <c r="R1015" s="23"/>
      <c r="AR1015" s="23"/>
      <c r="AS1015" s="23"/>
      <c r="AT1015" s="23"/>
      <c r="AU1015" s="23"/>
    </row>
    <row r="1016" spans="8:47" x14ac:dyDescent="0.2">
      <c r="H1016" s="23"/>
      <c r="N1016" s="6"/>
      <c r="Q1016" s="23"/>
      <c r="R1016" s="23"/>
      <c r="AR1016" s="23"/>
      <c r="AS1016" s="23"/>
      <c r="AT1016" s="23"/>
      <c r="AU1016" s="23"/>
    </row>
    <row r="1017" spans="8:47" x14ac:dyDescent="0.2">
      <c r="H1017" s="23"/>
      <c r="N1017" s="6"/>
      <c r="Q1017" s="23"/>
      <c r="R1017" s="23"/>
      <c r="AR1017" s="23"/>
      <c r="AS1017" s="23"/>
      <c r="AT1017" s="23"/>
      <c r="AU1017" s="23"/>
    </row>
    <row r="1018" spans="8:47" x14ac:dyDescent="0.2">
      <c r="H1018" s="23"/>
      <c r="N1018" s="6"/>
      <c r="Q1018" s="23"/>
      <c r="R1018" s="23"/>
      <c r="AR1018" s="23"/>
      <c r="AS1018" s="23"/>
      <c r="AT1018" s="23"/>
      <c r="AU1018" s="23"/>
    </row>
    <row r="1019" spans="8:47" x14ac:dyDescent="0.2">
      <c r="H1019" s="23"/>
      <c r="N1019" s="6"/>
      <c r="Q1019" s="23"/>
      <c r="R1019" s="23"/>
      <c r="AR1019" s="23"/>
      <c r="AT1019" s="23"/>
      <c r="AU1019" s="23"/>
    </row>
    <row r="1020" spans="8:47" x14ac:dyDescent="0.2">
      <c r="H1020" s="23"/>
      <c r="N1020" s="6"/>
      <c r="Q1020" s="23"/>
      <c r="R1020" s="23"/>
      <c r="AR1020" s="23"/>
      <c r="AS1020" s="23"/>
      <c r="AT1020" s="23"/>
      <c r="AU1020" s="23"/>
    </row>
    <row r="1021" spans="8:47" x14ac:dyDescent="0.2">
      <c r="H1021" s="23"/>
      <c r="N1021" s="6"/>
      <c r="Q1021" s="23"/>
      <c r="R1021" s="23"/>
      <c r="AR1021" s="23"/>
      <c r="AS1021" s="23"/>
      <c r="AT1021" s="23"/>
      <c r="AU1021" s="23"/>
    </row>
    <row r="1022" spans="8:47" x14ac:dyDescent="0.2">
      <c r="H1022" s="23"/>
      <c r="N1022" s="6"/>
      <c r="Q1022" s="23"/>
      <c r="R1022" s="23"/>
      <c r="AR1022" s="23"/>
      <c r="AT1022" s="23"/>
      <c r="AU1022" s="23"/>
    </row>
    <row r="1023" spans="8:47" x14ac:dyDescent="0.2">
      <c r="H1023" s="23"/>
      <c r="N1023" s="6"/>
      <c r="Q1023" s="23"/>
      <c r="R1023" s="23"/>
      <c r="AT1023" s="23"/>
      <c r="AU1023" s="23"/>
    </row>
    <row r="1024" spans="8:47" x14ac:dyDescent="0.2">
      <c r="H1024" s="23"/>
      <c r="N1024" s="6"/>
      <c r="Q1024" s="23"/>
      <c r="R1024" s="23"/>
      <c r="AT1024" s="23"/>
      <c r="AU1024" s="23"/>
    </row>
    <row r="1025" spans="8:47" x14ac:dyDescent="0.2">
      <c r="H1025" s="23"/>
      <c r="N1025" s="6"/>
      <c r="Q1025" s="23"/>
      <c r="R1025" s="23"/>
      <c r="AR1025" s="23"/>
      <c r="AS1025" s="23"/>
      <c r="AT1025" s="23"/>
      <c r="AU1025" s="23"/>
    </row>
    <row r="1026" spans="8:47" x14ac:dyDescent="0.2">
      <c r="H1026" s="23"/>
      <c r="N1026" s="6"/>
      <c r="Q1026" s="23"/>
      <c r="R1026" s="23"/>
      <c r="AR1026" s="23"/>
      <c r="AS1026" s="23"/>
      <c r="AT1026" s="23"/>
      <c r="AU1026" s="23"/>
    </row>
    <row r="1027" spans="8:47" x14ac:dyDescent="0.2">
      <c r="H1027" s="23"/>
      <c r="N1027" s="6"/>
      <c r="Q1027" s="23"/>
      <c r="R1027" s="23"/>
      <c r="AR1027" s="23"/>
      <c r="AS1027" s="23"/>
      <c r="AT1027" s="23"/>
    </row>
    <row r="1028" spans="8:47" x14ac:dyDescent="0.2">
      <c r="H1028" s="23"/>
      <c r="N1028" s="6"/>
      <c r="Q1028" s="23"/>
      <c r="R1028" s="23"/>
      <c r="AR1028" s="23"/>
      <c r="AS1028" s="23"/>
      <c r="AT1028" s="23"/>
      <c r="AU1028" s="23"/>
    </row>
    <row r="1029" spans="8:47" x14ac:dyDescent="0.2">
      <c r="H1029" s="23"/>
      <c r="N1029" s="6"/>
      <c r="Q1029" s="23"/>
      <c r="R1029" s="23"/>
      <c r="AR1029" s="23"/>
      <c r="AS1029" s="23"/>
      <c r="AT1029" s="23"/>
      <c r="AU1029" s="23"/>
    </row>
    <row r="1030" spans="8:47" x14ac:dyDescent="0.2">
      <c r="H1030" s="23"/>
      <c r="N1030" s="6"/>
      <c r="Q1030" s="23"/>
      <c r="R1030" s="23"/>
      <c r="AR1030" s="23"/>
      <c r="AS1030" s="23"/>
      <c r="AT1030" s="23"/>
      <c r="AU1030" s="24"/>
    </row>
    <row r="1031" spans="8:47" x14ac:dyDescent="0.2">
      <c r="H1031" s="23"/>
      <c r="N1031" s="6"/>
      <c r="Q1031" s="23"/>
      <c r="R1031" s="23"/>
      <c r="AR1031" s="23"/>
      <c r="AS1031" s="23"/>
      <c r="AT1031" s="23"/>
      <c r="AU1031" s="23"/>
    </row>
    <row r="1032" spans="8:47" x14ac:dyDescent="0.2">
      <c r="H1032" s="23"/>
      <c r="N1032" s="6"/>
      <c r="Q1032" s="23"/>
      <c r="R1032" s="23"/>
      <c r="AR1032" s="23"/>
      <c r="AS1032" s="23"/>
      <c r="AT1032" s="23"/>
      <c r="AU1032" s="23"/>
    </row>
    <row r="1033" spans="8:47" x14ac:dyDescent="0.2">
      <c r="H1033" s="23"/>
      <c r="N1033" s="6"/>
      <c r="Q1033" s="23"/>
      <c r="R1033" s="23"/>
      <c r="AR1033" s="23"/>
      <c r="AS1033" s="23"/>
      <c r="AT1033" s="23"/>
      <c r="AU1033" s="23"/>
    </row>
    <row r="1034" spans="8:47" x14ac:dyDescent="0.2">
      <c r="H1034" s="23"/>
      <c r="N1034" s="6"/>
      <c r="Q1034" s="23"/>
      <c r="R1034" s="23"/>
      <c r="AR1034" s="23"/>
      <c r="AS1034" s="23"/>
      <c r="AT1034" s="23"/>
      <c r="AU1034" s="23"/>
    </row>
    <row r="1035" spans="8:47" x14ac:dyDescent="0.2">
      <c r="H1035" s="23"/>
      <c r="N1035" s="6"/>
      <c r="Q1035" s="23"/>
      <c r="R1035" s="23"/>
      <c r="AR1035" s="23"/>
      <c r="AS1035" s="23"/>
      <c r="AT1035" s="23"/>
      <c r="AU1035" s="23"/>
    </row>
    <row r="1036" spans="8:47" x14ac:dyDescent="0.2">
      <c r="H1036" s="23"/>
      <c r="N1036" s="6"/>
      <c r="Q1036" s="23"/>
      <c r="R1036" s="23"/>
      <c r="AR1036" s="23"/>
      <c r="AS1036" s="23"/>
      <c r="AT1036" s="23"/>
      <c r="AU1036" s="23"/>
    </row>
    <row r="1037" spans="8:47" x14ac:dyDescent="0.2">
      <c r="H1037" s="23"/>
      <c r="N1037" s="6"/>
      <c r="Q1037" s="23"/>
      <c r="R1037" s="23"/>
      <c r="AT1037" s="23"/>
      <c r="AU1037" s="23"/>
    </row>
    <row r="1038" spans="8:47" x14ac:dyDescent="0.2">
      <c r="H1038" s="23"/>
      <c r="N1038" s="6"/>
      <c r="Q1038" s="23"/>
      <c r="R1038" s="23"/>
      <c r="AR1038" s="23"/>
      <c r="AS1038" s="23"/>
      <c r="AT1038" s="23"/>
      <c r="AU1038" s="23"/>
    </row>
    <row r="1039" spans="8:47" x14ac:dyDescent="0.2">
      <c r="H1039" s="23"/>
      <c r="N1039" s="6"/>
      <c r="Q1039" s="23"/>
      <c r="R1039" s="23"/>
      <c r="AR1039" s="23"/>
      <c r="AS1039" s="23"/>
      <c r="AT1039" s="23"/>
      <c r="AU1039" s="23"/>
    </row>
    <row r="1040" spans="8:47" x14ac:dyDescent="0.2">
      <c r="H1040" s="23"/>
      <c r="N1040" s="6"/>
      <c r="Q1040" s="23"/>
      <c r="R1040" s="23"/>
      <c r="AR1040" s="23"/>
      <c r="AS1040" s="23"/>
      <c r="AT1040" s="23"/>
      <c r="AU1040" s="23"/>
    </row>
    <row r="1041" spans="8:47" x14ac:dyDescent="0.2">
      <c r="H1041" s="23"/>
      <c r="N1041" s="6"/>
      <c r="Q1041" s="23"/>
      <c r="R1041" s="23"/>
      <c r="AR1041" s="23"/>
      <c r="AT1041" s="23"/>
      <c r="AU1041" s="23"/>
    </row>
    <row r="1042" spans="8:47" x14ac:dyDescent="0.2">
      <c r="H1042" s="23"/>
      <c r="N1042" s="6"/>
      <c r="Q1042" s="23"/>
      <c r="R1042" s="23"/>
      <c r="AR1042" s="23"/>
      <c r="AS1042" s="23"/>
      <c r="AT1042" s="23"/>
      <c r="AU1042" s="23"/>
    </row>
    <row r="1043" spans="8:47" x14ac:dyDescent="0.2">
      <c r="H1043" s="23"/>
      <c r="N1043" s="6"/>
      <c r="Q1043" s="23"/>
      <c r="R1043" s="23"/>
      <c r="AR1043" s="23"/>
      <c r="AS1043" s="23"/>
      <c r="AT1043" s="23"/>
      <c r="AU1043" s="23"/>
    </row>
    <row r="1044" spans="8:47" x14ac:dyDescent="0.2">
      <c r="H1044" s="23"/>
      <c r="N1044" s="6"/>
      <c r="Q1044" s="23"/>
      <c r="R1044" s="23"/>
      <c r="AR1044" s="23"/>
      <c r="AS1044" s="23"/>
      <c r="AT1044" s="23"/>
      <c r="AU1044" s="23"/>
    </row>
    <row r="1045" spans="8:47" x14ac:dyDescent="0.2">
      <c r="H1045" s="23"/>
      <c r="N1045" s="6"/>
      <c r="Q1045" s="23"/>
      <c r="R1045" s="23"/>
      <c r="AR1045" s="23"/>
      <c r="AS1045" s="23"/>
      <c r="AT1045" s="23"/>
      <c r="AU1045" s="23"/>
    </row>
    <row r="1046" spans="8:47" x14ac:dyDescent="0.2">
      <c r="H1046" s="23"/>
      <c r="N1046" s="6"/>
      <c r="Q1046" s="23"/>
      <c r="R1046" s="23"/>
      <c r="AR1046" s="23"/>
      <c r="AS1046" s="23"/>
      <c r="AT1046" s="23"/>
      <c r="AU1046" s="23"/>
    </row>
    <row r="1047" spans="8:47" x14ac:dyDescent="0.2">
      <c r="H1047" s="23"/>
      <c r="N1047" s="6"/>
      <c r="Q1047" s="23"/>
      <c r="R1047" s="23"/>
      <c r="AR1047" s="23"/>
      <c r="AS1047" s="23"/>
      <c r="AT1047" s="23"/>
      <c r="AU1047" s="23"/>
    </row>
    <row r="1048" spans="8:47" x14ac:dyDescent="0.2">
      <c r="H1048" s="23"/>
      <c r="N1048" s="6"/>
      <c r="Q1048" s="23"/>
      <c r="R1048" s="23"/>
      <c r="AR1048" s="23"/>
      <c r="AS1048" s="23"/>
      <c r="AT1048" s="23"/>
      <c r="AU1048" s="23"/>
    </row>
    <row r="1049" spans="8:47" x14ac:dyDescent="0.2">
      <c r="H1049" s="23"/>
      <c r="N1049" s="6"/>
      <c r="Q1049" s="23"/>
      <c r="R1049" s="23"/>
      <c r="AR1049" s="23"/>
      <c r="AS1049" s="23"/>
      <c r="AT1049" s="23"/>
      <c r="AU1049" s="23"/>
    </row>
    <row r="1050" spans="8:47" x14ac:dyDescent="0.2">
      <c r="H1050" s="23"/>
      <c r="N1050" s="6"/>
      <c r="Q1050" s="23"/>
      <c r="R1050" s="23"/>
      <c r="AR1050" s="23"/>
      <c r="AS1050" s="23"/>
      <c r="AT1050" s="23"/>
      <c r="AU1050" s="23"/>
    </row>
    <row r="1051" spans="8:47" x14ac:dyDescent="0.2">
      <c r="H1051" s="23"/>
      <c r="N1051" s="6"/>
      <c r="Q1051" s="23"/>
      <c r="R1051" s="23"/>
      <c r="AR1051" s="23"/>
      <c r="AS1051" s="23"/>
      <c r="AT1051" s="23"/>
      <c r="AU1051" s="23"/>
    </row>
    <row r="1052" spans="8:47" x14ac:dyDescent="0.2">
      <c r="H1052" s="23"/>
      <c r="N1052" s="6"/>
      <c r="Q1052" s="23"/>
      <c r="R1052" s="23"/>
      <c r="AT1052" s="23"/>
      <c r="AU1052" s="23"/>
    </row>
    <row r="1053" spans="8:47" x14ac:dyDescent="0.2">
      <c r="H1053" s="23"/>
      <c r="N1053" s="6"/>
      <c r="Q1053" s="23"/>
      <c r="R1053" s="23"/>
      <c r="AR1053" s="23"/>
      <c r="AS1053" s="23"/>
      <c r="AT1053" s="23"/>
      <c r="AU1053" s="23"/>
    </row>
    <row r="1054" spans="8:47" x14ac:dyDescent="0.2">
      <c r="H1054" s="23"/>
      <c r="N1054" s="6"/>
      <c r="Q1054" s="23"/>
      <c r="R1054" s="23"/>
      <c r="AR1054" s="23"/>
      <c r="AT1054" s="23"/>
      <c r="AU1054" s="23"/>
    </row>
    <row r="1055" spans="8:47" x14ac:dyDescent="0.2">
      <c r="H1055" s="23"/>
      <c r="N1055" s="6"/>
      <c r="Q1055" s="23"/>
      <c r="R1055" s="23"/>
      <c r="AR1055" s="23"/>
      <c r="AS1055" s="23"/>
      <c r="AT1055" s="23"/>
      <c r="AU1055" s="23"/>
    </row>
    <row r="1056" spans="8:47" x14ac:dyDescent="0.2">
      <c r="H1056" s="23"/>
      <c r="N1056" s="6"/>
      <c r="Q1056" s="23"/>
      <c r="R1056" s="23"/>
      <c r="AR1056" s="23"/>
      <c r="AS1056" s="23"/>
      <c r="AT1056" s="23"/>
      <c r="AU1056" s="23"/>
    </row>
    <row r="1057" spans="8:47" x14ac:dyDescent="0.2">
      <c r="H1057" s="23"/>
      <c r="N1057" s="6"/>
      <c r="Q1057" s="23"/>
      <c r="R1057" s="23"/>
      <c r="AR1057" s="23"/>
      <c r="AS1057" s="23"/>
      <c r="AT1057" s="23"/>
      <c r="AU1057" s="23"/>
    </row>
    <row r="1058" spans="8:47" x14ac:dyDescent="0.2">
      <c r="H1058" s="23"/>
      <c r="N1058" s="6"/>
      <c r="Q1058" s="23"/>
      <c r="R1058" s="23"/>
      <c r="AR1058" s="23"/>
      <c r="AS1058" s="23"/>
      <c r="AT1058" s="23"/>
      <c r="AU1058" s="23"/>
    </row>
    <row r="1059" spans="8:47" x14ac:dyDescent="0.2">
      <c r="H1059" s="23"/>
      <c r="N1059" s="6"/>
      <c r="Q1059" s="23"/>
      <c r="R1059" s="23"/>
      <c r="AR1059" s="23"/>
      <c r="AS1059" s="23"/>
      <c r="AT1059" s="23"/>
      <c r="AU1059" s="23"/>
    </row>
    <row r="1060" spans="8:47" x14ac:dyDescent="0.2">
      <c r="H1060" s="23"/>
      <c r="N1060" s="6"/>
      <c r="Q1060" s="23"/>
      <c r="R1060" s="23"/>
      <c r="AR1060" s="23"/>
      <c r="AS1060" s="23"/>
      <c r="AT1060" s="23"/>
      <c r="AU1060" s="23"/>
    </row>
    <row r="1061" spans="8:47" x14ac:dyDescent="0.2">
      <c r="H1061" s="23"/>
      <c r="N1061" s="6"/>
      <c r="Q1061" s="23"/>
      <c r="R1061" s="23"/>
      <c r="AR1061" s="23"/>
      <c r="AS1061" s="23"/>
      <c r="AT1061" s="23"/>
      <c r="AU1061" s="23"/>
    </row>
    <row r="1062" spans="8:47" x14ac:dyDescent="0.2">
      <c r="H1062" s="23"/>
      <c r="N1062" s="6"/>
      <c r="Q1062" s="23"/>
      <c r="R1062" s="23"/>
      <c r="AR1062" s="23"/>
      <c r="AS1062" s="23"/>
      <c r="AT1062" s="23"/>
      <c r="AU1062" s="23"/>
    </row>
    <row r="1063" spans="8:47" x14ac:dyDescent="0.2">
      <c r="H1063" s="23"/>
      <c r="N1063" s="6"/>
      <c r="Q1063" s="23"/>
      <c r="R1063" s="23"/>
      <c r="AR1063" s="23"/>
      <c r="AS1063" s="23"/>
      <c r="AT1063" s="23"/>
      <c r="AU1063" s="23"/>
    </row>
    <row r="1064" spans="8:47" x14ac:dyDescent="0.2">
      <c r="H1064" s="23"/>
      <c r="N1064" s="6"/>
      <c r="Q1064" s="23"/>
      <c r="R1064" s="23"/>
      <c r="AR1064" s="23"/>
      <c r="AS1064" s="23"/>
      <c r="AT1064" s="23"/>
      <c r="AU1064" s="23"/>
    </row>
    <row r="1065" spans="8:47" x14ac:dyDescent="0.2">
      <c r="H1065" s="23"/>
      <c r="N1065" s="6"/>
      <c r="Q1065" s="23"/>
      <c r="R1065" s="23"/>
      <c r="AR1065" s="23"/>
      <c r="AS1065" s="23"/>
      <c r="AT1065" s="23"/>
      <c r="AU1065" s="23"/>
    </row>
    <row r="1066" spans="8:47" x14ac:dyDescent="0.2">
      <c r="H1066" s="23"/>
      <c r="N1066" s="6"/>
      <c r="Q1066" s="23"/>
      <c r="R1066" s="23"/>
      <c r="AR1066" s="23"/>
      <c r="AT1066" s="23"/>
      <c r="AU1066" s="23"/>
    </row>
    <row r="1067" spans="8:47" x14ac:dyDescent="0.2">
      <c r="H1067" s="23"/>
      <c r="N1067" s="6"/>
      <c r="Q1067" s="23"/>
      <c r="R1067" s="23"/>
    </row>
    <row r="1068" spans="8:47" x14ac:dyDescent="0.2">
      <c r="H1068" s="23"/>
      <c r="N1068" s="6"/>
      <c r="Q1068" s="23"/>
      <c r="R1068" s="23"/>
      <c r="AR1068" s="23"/>
      <c r="AS1068" s="23"/>
      <c r="AT1068" s="23"/>
      <c r="AU1068" s="23"/>
    </row>
    <row r="1069" spans="8:47" x14ac:dyDescent="0.2">
      <c r="H1069" s="23"/>
      <c r="N1069" s="6"/>
      <c r="Q1069" s="23"/>
      <c r="R1069" s="23"/>
      <c r="AT1069" s="23"/>
      <c r="AU1069" s="23"/>
    </row>
    <row r="1070" spans="8:47" x14ac:dyDescent="0.2">
      <c r="H1070" s="23"/>
      <c r="N1070" s="6"/>
      <c r="Q1070" s="23"/>
      <c r="R1070" s="23"/>
      <c r="AR1070" s="23"/>
      <c r="AS1070" s="23"/>
      <c r="AT1070" s="23"/>
      <c r="AU1070" s="23"/>
    </row>
    <row r="1071" spans="8:47" x14ac:dyDescent="0.2">
      <c r="H1071" s="23"/>
      <c r="N1071" s="6"/>
      <c r="Q1071" s="23"/>
      <c r="R1071" s="23"/>
      <c r="AR1071" s="23"/>
      <c r="AS1071" s="23"/>
      <c r="AT1071" s="23"/>
      <c r="AU1071" s="23"/>
    </row>
    <row r="1072" spans="8:47" x14ac:dyDescent="0.2">
      <c r="H1072" s="23"/>
      <c r="N1072" s="6"/>
      <c r="Q1072" s="23"/>
      <c r="R1072" s="23"/>
      <c r="AR1072" s="23"/>
      <c r="AS1072" s="23"/>
      <c r="AT1072" s="23"/>
      <c r="AU1072" s="23"/>
    </row>
    <row r="1073" spans="8:47" x14ac:dyDescent="0.2">
      <c r="H1073" s="23"/>
      <c r="N1073" s="6"/>
      <c r="Q1073" s="23"/>
      <c r="R1073" s="23"/>
      <c r="AR1073" s="23"/>
      <c r="AT1073" s="23"/>
      <c r="AU1073" s="23"/>
    </row>
    <row r="1074" spans="8:47" x14ac:dyDescent="0.2">
      <c r="H1074" s="23"/>
      <c r="N1074" s="6"/>
      <c r="Q1074" s="23"/>
      <c r="R1074" s="23"/>
      <c r="AR1074" s="23"/>
      <c r="AS1074" s="23"/>
      <c r="AT1074" s="23"/>
      <c r="AU1074" s="23"/>
    </row>
    <row r="1075" spans="8:47" x14ac:dyDescent="0.2">
      <c r="H1075" s="23"/>
      <c r="N1075" s="6"/>
      <c r="Q1075" s="23"/>
      <c r="R1075" s="23"/>
      <c r="AR1075" s="23"/>
      <c r="AS1075" s="23"/>
      <c r="AT1075" s="23"/>
      <c r="AU1075" s="23"/>
    </row>
    <row r="1076" spans="8:47" x14ac:dyDescent="0.2">
      <c r="H1076" s="23"/>
      <c r="N1076" s="6"/>
      <c r="Q1076" s="23"/>
      <c r="R1076" s="23"/>
      <c r="AR1076" s="23"/>
      <c r="AS1076" s="23"/>
      <c r="AT1076" s="23"/>
      <c r="AU1076" s="23"/>
    </row>
    <row r="1077" spans="8:47" x14ac:dyDescent="0.2">
      <c r="H1077" s="23"/>
      <c r="N1077" s="6"/>
      <c r="Q1077" s="23"/>
      <c r="R1077" s="23"/>
      <c r="AR1077" s="23"/>
      <c r="AS1077" s="23"/>
      <c r="AT1077" s="23"/>
      <c r="AU1077" s="23"/>
    </row>
    <row r="1078" spans="8:47" x14ac:dyDescent="0.2">
      <c r="H1078" s="23"/>
      <c r="N1078" s="6"/>
      <c r="Q1078" s="23"/>
      <c r="R1078" s="23"/>
      <c r="AR1078" s="23"/>
      <c r="AS1078" s="23"/>
      <c r="AT1078" s="23"/>
      <c r="AU1078" s="23"/>
    </row>
    <row r="1079" spans="8:47" x14ac:dyDescent="0.2">
      <c r="H1079" s="23"/>
      <c r="N1079" s="6"/>
      <c r="Q1079" s="23"/>
      <c r="R1079" s="23"/>
      <c r="AR1079" s="23"/>
      <c r="AS1079" s="23"/>
      <c r="AT1079" s="23"/>
      <c r="AU1079" s="23"/>
    </row>
    <row r="1080" spans="8:47" x14ac:dyDescent="0.2">
      <c r="H1080" s="23"/>
      <c r="N1080" s="6"/>
      <c r="Q1080" s="23"/>
      <c r="R1080" s="23"/>
      <c r="AR1080" s="23"/>
      <c r="AS1080" s="23"/>
      <c r="AT1080" s="23"/>
      <c r="AU1080" s="23"/>
    </row>
    <row r="1081" spans="8:47" x14ac:dyDescent="0.2">
      <c r="H1081" s="23"/>
      <c r="N1081" s="6"/>
      <c r="Q1081" s="23"/>
      <c r="R1081" s="23"/>
      <c r="AR1081" s="23"/>
      <c r="AS1081" s="23"/>
      <c r="AT1081" s="23"/>
      <c r="AU1081" s="23"/>
    </row>
    <row r="1082" spans="8:47" x14ac:dyDescent="0.2">
      <c r="H1082" s="23"/>
      <c r="N1082" s="6"/>
      <c r="Q1082" s="23"/>
      <c r="R1082" s="23"/>
      <c r="AR1082" s="23"/>
      <c r="AS1082" s="23"/>
      <c r="AT1082" s="23"/>
      <c r="AU1082" s="23"/>
    </row>
    <row r="1083" spans="8:47" x14ac:dyDescent="0.2">
      <c r="H1083" s="23"/>
      <c r="N1083" s="6"/>
      <c r="Q1083" s="23"/>
      <c r="R1083" s="23"/>
      <c r="AR1083" s="23"/>
      <c r="AS1083" s="23"/>
      <c r="AT1083" s="23"/>
      <c r="AU1083" s="23"/>
    </row>
    <row r="1084" spans="8:47" x14ac:dyDescent="0.2">
      <c r="H1084" s="23"/>
      <c r="N1084" s="6"/>
      <c r="Q1084" s="23"/>
      <c r="R1084" s="23"/>
      <c r="AR1084" s="23"/>
      <c r="AS1084" s="23"/>
      <c r="AT1084" s="23"/>
      <c r="AU1084" s="23"/>
    </row>
    <row r="1085" spans="8:47" x14ac:dyDescent="0.2">
      <c r="H1085" s="23"/>
      <c r="N1085" s="6"/>
      <c r="Q1085" s="23"/>
      <c r="R1085" s="23"/>
      <c r="AR1085" s="23"/>
      <c r="AS1085" s="23"/>
      <c r="AT1085" s="23"/>
      <c r="AU1085" s="23"/>
    </row>
    <row r="1086" spans="8:47" x14ac:dyDescent="0.2">
      <c r="H1086" s="23"/>
      <c r="N1086" s="6"/>
      <c r="Q1086" s="23"/>
      <c r="R1086" s="23"/>
      <c r="AR1086" s="23"/>
      <c r="AS1086" s="23"/>
      <c r="AT1086" s="23"/>
      <c r="AU1086" s="23"/>
    </row>
    <row r="1087" spans="8:47" x14ac:dyDescent="0.2">
      <c r="H1087" s="23"/>
      <c r="N1087" s="6"/>
      <c r="Q1087" s="23"/>
      <c r="R1087" s="23"/>
      <c r="AR1087" s="23"/>
      <c r="AS1087" s="23"/>
      <c r="AT1087" s="23"/>
    </row>
    <row r="1088" spans="8:47" x14ac:dyDescent="0.2">
      <c r="H1088" s="23"/>
      <c r="N1088" s="6"/>
      <c r="Q1088" s="23"/>
      <c r="R1088" s="23"/>
      <c r="AR1088" s="23"/>
      <c r="AS1088" s="23"/>
      <c r="AT1088" s="23"/>
      <c r="AU1088" s="23"/>
    </row>
    <row r="1089" spans="8:47" x14ac:dyDescent="0.2">
      <c r="H1089" s="23"/>
      <c r="N1089" s="6"/>
      <c r="Q1089" s="23"/>
      <c r="R1089" s="23"/>
      <c r="AR1089" s="23"/>
      <c r="AS1089" s="23"/>
      <c r="AT1089" s="23"/>
      <c r="AU1089" s="23"/>
    </row>
    <row r="1090" spans="8:47" x14ac:dyDescent="0.2">
      <c r="H1090" s="23"/>
      <c r="N1090" s="6"/>
      <c r="Q1090" s="23"/>
      <c r="R1090" s="23"/>
      <c r="AR1090" s="23"/>
      <c r="AS1090" s="23"/>
      <c r="AT1090" s="23"/>
      <c r="AU1090" s="23"/>
    </row>
    <row r="1091" spans="8:47" x14ac:dyDescent="0.2">
      <c r="H1091" s="23"/>
      <c r="N1091" s="6"/>
      <c r="Q1091" s="23"/>
      <c r="R1091" s="23"/>
      <c r="AR1091" s="23"/>
      <c r="AT1091" s="23"/>
      <c r="AU1091" s="23"/>
    </row>
    <row r="1092" spans="8:47" x14ac:dyDescent="0.2">
      <c r="H1092" s="23"/>
      <c r="N1092" s="6"/>
      <c r="Q1092" s="23"/>
      <c r="R1092" s="23"/>
      <c r="AR1092" s="23"/>
      <c r="AS1092" s="23"/>
      <c r="AT1092" s="23"/>
      <c r="AU1092" s="23"/>
    </row>
    <row r="1093" spans="8:47" x14ac:dyDescent="0.2">
      <c r="H1093" s="23"/>
      <c r="N1093" s="6"/>
      <c r="Q1093" s="23"/>
      <c r="R1093" s="23"/>
      <c r="AR1093" s="23"/>
      <c r="AS1093" s="23"/>
      <c r="AT1093" s="23"/>
      <c r="AU1093" s="23"/>
    </row>
    <row r="1094" spans="8:47" x14ac:dyDescent="0.2">
      <c r="H1094" s="23"/>
      <c r="N1094" s="6"/>
      <c r="Q1094" s="23"/>
      <c r="R1094" s="23"/>
      <c r="AR1094" s="23"/>
      <c r="AS1094" s="23"/>
      <c r="AT1094" s="23"/>
      <c r="AU1094" s="23"/>
    </row>
    <row r="1095" spans="8:47" x14ac:dyDescent="0.2">
      <c r="H1095" s="23"/>
      <c r="N1095" s="6"/>
      <c r="Q1095" s="23"/>
      <c r="R1095" s="23"/>
      <c r="AR1095" s="23"/>
      <c r="AS1095" s="23"/>
      <c r="AT1095" s="23"/>
      <c r="AU1095" s="23"/>
    </row>
    <row r="1096" spans="8:47" x14ac:dyDescent="0.2">
      <c r="H1096" s="23"/>
      <c r="N1096" s="6"/>
      <c r="Q1096" s="23"/>
      <c r="R1096" s="23"/>
      <c r="AR1096" s="23"/>
      <c r="AS1096" s="23"/>
      <c r="AT1096" s="23"/>
      <c r="AU1096" s="23"/>
    </row>
    <row r="1097" spans="8:47" x14ac:dyDescent="0.2">
      <c r="H1097" s="23"/>
      <c r="N1097" s="6"/>
      <c r="Q1097" s="23"/>
      <c r="R1097" s="23"/>
      <c r="AR1097" s="23"/>
      <c r="AS1097" s="23"/>
      <c r="AT1097" s="23"/>
      <c r="AU1097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5DBE-D6D5-4497-9BA2-AC9F1E02F230}">
  <dimension ref="H6:AU1069"/>
  <sheetViews>
    <sheetView workbookViewId="0">
      <selection sqref="A1:XFD1048576"/>
    </sheetView>
  </sheetViews>
  <sheetFormatPr defaultRowHeight="12.75" x14ac:dyDescent="0.2"/>
  <cols>
    <col min="1" max="1" width="38.7109375" bestFit="1" customWidth="1"/>
    <col min="2" max="2" width="12" bestFit="1" customWidth="1"/>
    <col min="3" max="3" width="10" bestFit="1" customWidth="1"/>
    <col min="4" max="4" width="36.7109375" bestFit="1" customWidth="1"/>
    <col min="5" max="5" width="10.5703125" bestFit="1" customWidth="1"/>
    <col min="6" max="6" width="7.7109375" bestFit="1" customWidth="1"/>
    <col min="7" max="7" width="29" bestFit="1" customWidth="1"/>
    <col min="8" max="8" width="10" bestFit="1" customWidth="1"/>
    <col min="9" max="9" width="6.5703125" bestFit="1" customWidth="1"/>
    <col min="10" max="10" width="33.28515625" bestFit="1" customWidth="1"/>
    <col min="11" max="11" width="10.28515625" bestFit="1" customWidth="1"/>
    <col min="13" max="13" width="10.28515625" bestFit="1" customWidth="1"/>
    <col min="14" max="14" width="9.42578125" bestFit="1" customWidth="1"/>
    <col min="15" max="15" width="11.28515625" bestFit="1" customWidth="1"/>
    <col min="16" max="16" width="13.7109375" bestFit="1" customWidth="1"/>
    <col min="17" max="17" width="8.42578125" bestFit="1" customWidth="1"/>
    <col min="18" max="18" width="9.28515625" bestFit="1" customWidth="1"/>
    <col min="19" max="19" width="6" bestFit="1" customWidth="1"/>
    <col min="20" max="20" width="8.7109375" bestFit="1" customWidth="1"/>
    <col min="21" max="21" width="8" bestFit="1" customWidth="1"/>
    <col min="22" max="22" width="8.42578125" bestFit="1" customWidth="1"/>
    <col min="23" max="23" width="7.42578125" bestFit="1" customWidth="1"/>
    <col min="24" max="24" width="6.7109375" bestFit="1" customWidth="1"/>
    <col min="25" max="25" width="6.5703125" bestFit="1" customWidth="1"/>
    <col min="26" max="26" width="8.7109375" bestFit="1" customWidth="1"/>
    <col min="27" max="27" width="14.42578125" bestFit="1" customWidth="1"/>
    <col min="28" max="28" width="14.28515625" bestFit="1" customWidth="1"/>
    <col min="29" max="29" width="13.28515625" bestFit="1" customWidth="1"/>
    <col min="30" max="30" width="10.7109375" bestFit="1" customWidth="1"/>
    <col min="31" max="31" width="8" bestFit="1" customWidth="1"/>
    <col min="32" max="32" width="14" bestFit="1" customWidth="1"/>
    <col min="33" max="33" width="13.5703125" bestFit="1" customWidth="1"/>
    <col min="34" max="34" width="11.7109375" bestFit="1" customWidth="1"/>
    <col min="35" max="35" width="11" bestFit="1" customWidth="1"/>
    <col min="36" max="36" width="10.7109375" bestFit="1" customWidth="1"/>
    <col min="37" max="37" width="13.28515625" bestFit="1" customWidth="1"/>
    <col min="38" max="38" width="18.7109375" bestFit="1" customWidth="1"/>
    <col min="39" max="39" width="18.5703125" bestFit="1" customWidth="1"/>
    <col min="40" max="40" width="10.28515625" bestFit="1" customWidth="1"/>
    <col min="41" max="41" width="9.7109375" bestFit="1" customWidth="1"/>
    <col min="42" max="42" width="12.7109375" bestFit="1" customWidth="1"/>
    <col min="43" max="43" width="6.42578125" bestFit="1" customWidth="1"/>
    <col min="44" max="44" width="8.42578125" bestFit="1" customWidth="1"/>
    <col min="45" max="45" width="10.28515625" bestFit="1" customWidth="1"/>
    <col min="46" max="46" width="8.42578125" bestFit="1" customWidth="1"/>
    <col min="47" max="47" width="10.7109375" bestFit="1" customWidth="1"/>
    <col min="48" max="48" width="38.42578125" bestFit="1" customWidth="1"/>
    <col min="49" max="49" width="15.28515625" bestFit="1" customWidth="1"/>
    <col min="50" max="50" width="14" bestFit="1" customWidth="1"/>
    <col min="51" max="51" width="8.28515625" bestFit="1" customWidth="1"/>
    <col min="52" max="52" width="44" bestFit="1" customWidth="1"/>
    <col min="53" max="53" width="12.7109375" bestFit="1" customWidth="1"/>
    <col min="54" max="54" width="16.7109375" bestFit="1" customWidth="1"/>
    <col min="55" max="55" width="21.28515625" bestFit="1" customWidth="1"/>
    <col min="56" max="56" width="17" bestFit="1" customWidth="1"/>
    <col min="57" max="57" width="12.7109375" bestFit="1" customWidth="1"/>
    <col min="58" max="58" width="11.5703125" bestFit="1" customWidth="1"/>
    <col min="59" max="59" width="32.28515625" bestFit="1" customWidth="1"/>
    <col min="60" max="60" width="101.28515625" bestFit="1" customWidth="1"/>
    <col min="61" max="61" width="15.7109375" bestFit="1" customWidth="1"/>
    <col min="62" max="63" width="24.7109375" bestFit="1" customWidth="1"/>
    <col min="64" max="64" width="19.28515625" bestFit="1" customWidth="1"/>
    <col min="65" max="65" width="26.28515625" bestFit="1" customWidth="1"/>
  </cols>
  <sheetData>
    <row r="6" spans="8:47" x14ac:dyDescent="0.2">
      <c r="H6" s="23"/>
      <c r="N6" s="6"/>
      <c r="Q6" s="23"/>
      <c r="R6" s="23"/>
      <c r="AT6" s="23"/>
      <c r="AU6" s="23"/>
    </row>
    <row r="7" spans="8:47" x14ac:dyDescent="0.2">
      <c r="H7" s="23"/>
      <c r="N7" s="6"/>
      <c r="Q7" s="23"/>
      <c r="R7" s="23"/>
      <c r="AR7" s="23"/>
      <c r="AS7" s="23"/>
      <c r="AT7" s="23"/>
      <c r="AU7" s="23"/>
    </row>
    <row r="8" spans="8:47" x14ac:dyDescent="0.2">
      <c r="H8" s="23"/>
      <c r="N8" s="6"/>
      <c r="Q8" s="23"/>
      <c r="R8" s="23"/>
      <c r="AR8" s="23"/>
      <c r="AT8" s="23"/>
      <c r="AU8" s="23"/>
    </row>
    <row r="9" spans="8:47" x14ac:dyDescent="0.2">
      <c r="H9" s="23"/>
      <c r="N9" s="6"/>
      <c r="Q9" s="23"/>
      <c r="R9" s="23"/>
      <c r="AR9" s="23"/>
      <c r="AS9" s="23"/>
      <c r="AT9" s="23"/>
      <c r="AU9" s="23"/>
    </row>
    <row r="10" spans="8:47" x14ac:dyDescent="0.2">
      <c r="H10" s="23"/>
      <c r="N10" s="6"/>
      <c r="Q10" s="23"/>
      <c r="R10" s="23"/>
      <c r="AR10" s="23"/>
      <c r="AS10" s="23"/>
      <c r="AT10" s="23"/>
      <c r="AU10" s="23"/>
    </row>
    <row r="11" spans="8:47" x14ac:dyDescent="0.2">
      <c r="H11" s="23"/>
      <c r="N11" s="6"/>
      <c r="Q11" s="23"/>
      <c r="R11" s="23"/>
      <c r="AR11" s="23"/>
      <c r="AS11" s="23"/>
      <c r="AT11" s="23"/>
      <c r="AU11" s="23"/>
    </row>
    <row r="12" spans="8:47" x14ac:dyDescent="0.2">
      <c r="H12" s="23"/>
      <c r="N12" s="6"/>
      <c r="Q12" s="23"/>
      <c r="R12" s="23"/>
    </row>
    <row r="13" spans="8:47" x14ac:dyDescent="0.2">
      <c r="H13" s="23"/>
      <c r="N13" s="6"/>
      <c r="Q13" s="23"/>
      <c r="R13" s="23"/>
      <c r="AR13" s="23"/>
      <c r="AS13" s="23"/>
      <c r="AT13" s="23"/>
      <c r="AU13" s="23"/>
    </row>
    <row r="14" spans="8:47" x14ac:dyDescent="0.2">
      <c r="H14" s="23"/>
      <c r="N14" s="6"/>
      <c r="Q14" s="23"/>
      <c r="R14" s="23"/>
      <c r="AR14" s="23"/>
      <c r="AS14" s="23"/>
      <c r="AT14" s="23"/>
      <c r="AU14" s="23"/>
    </row>
    <row r="15" spans="8:47" x14ac:dyDescent="0.2">
      <c r="H15" s="23"/>
      <c r="N15" s="6"/>
      <c r="Q15" s="23"/>
      <c r="R15" s="23"/>
      <c r="AR15" s="23"/>
      <c r="AS15" s="23"/>
      <c r="AT15" s="23"/>
      <c r="AU15" s="23"/>
    </row>
    <row r="16" spans="8:47" x14ac:dyDescent="0.2">
      <c r="H16" s="23"/>
      <c r="N16" s="6"/>
      <c r="Q16" s="23"/>
      <c r="R16" s="23"/>
      <c r="AR16" s="23"/>
      <c r="AS16" s="23"/>
      <c r="AT16" s="23"/>
    </row>
    <row r="17" spans="8:47" x14ac:dyDescent="0.2">
      <c r="H17" s="23"/>
      <c r="N17" s="6"/>
      <c r="Q17" s="23"/>
      <c r="R17" s="23"/>
      <c r="AR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  <c r="AR21" s="23"/>
      <c r="AS21" s="23"/>
      <c r="AT21" s="23"/>
      <c r="AU21" s="23"/>
    </row>
    <row r="22" spans="8:47" x14ac:dyDescent="0.2">
      <c r="H22" s="23"/>
      <c r="N22" s="6"/>
      <c r="Q22" s="23"/>
      <c r="R22" s="23"/>
      <c r="AR22" s="23"/>
      <c r="AT22" s="23"/>
      <c r="AU22" s="23"/>
    </row>
    <row r="23" spans="8:47" x14ac:dyDescent="0.2">
      <c r="H23" s="23"/>
      <c r="N23" s="6"/>
      <c r="Q23" s="23"/>
      <c r="R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  <c r="AU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  <c r="AR29" s="23"/>
      <c r="AT29" s="23"/>
      <c r="AU29" s="23"/>
    </row>
    <row r="30" spans="8:47" x14ac:dyDescent="0.2">
      <c r="H30" s="23"/>
      <c r="N30" s="6"/>
      <c r="Q30" s="23"/>
      <c r="R30" s="23"/>
      <c r="AR30" s="23"/>
      <c r="AS30" s="23"/>
      <c r="AT30" s="23"/>
      <c r="AU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</row>
    <row r="39" spans="8:47" x14ac:dyDescent="0.2">
      <c r="H39" s="23"/>
      <c r="N39" s="6"/>
      <c r="Q39" s="23"/>
      <c r="R39" s="23"/>
    </row>
    <row r="40" spans="8:47" x14ac:dyDescent="0.2">
      <c r="H40" s="23"/>
      <c r="N40" s="6"/>
      <c r="Q40" s="23"/>
      <c r="R40" s="23"/>
      <c r="AR40" s="23"/>
      <c r="AS40" s="23"/>
      <c r="AT40" s="23"/>
      <c r="AU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  <c r="AR42" s="23"/>
      <c r="AS42" s="23"/>
      <c r="AT42" s="23"/>
      <c r="AU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  <c r="AR47" s="23"/>
      <c r="AS47" s="23"/>
      <c r="AT47" s="23"/>
      <c r="AU47" s="23"/>
    </row>
    <row r="48" spans="8:47" x14ac:dyDescent="0.2">
      <c r="H48" s="23"/>
      <c r="N48" s="6"/>
      <c r="Q48" s="23"/>
      <c r="R48" s="23"/>
    </row>
    <row r="49" spans="8:47" x14ac:dyDescent="0.2">
      <c r="H49" s="23"/>
      <c r="N49" s="6"/>
      <c r="Q49" s="23"/>
      <c r="R49" s="23"/>
      <c r="AR49" s="23"/>
      <c r="AS49" s="23"/>
      <c r="AT49" s="23"/>
      <c r="AU49" s="23"/>
    </row>
    <row r="50" spans="8:47" x14ac:dyDescent="0.2">
      <c r="H50" s="23"/>
      <c r="N50" s="6"/>
      <c r="Q50" s="23"/>
      <c r="R50" s="23"/>
      <c r="AR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  <c r="AU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  <c r="AR57" s="23"/>
      <c r="AS57" s="23"/>
      <c r="AT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  <c r="AR59" s="23"/>
      <c r="AS59" s="23"/>
      <c r="AT59" s="23"/>
      <c r="AU59" s="23"/>
    </row>
    <row r="60" spans="8:47" x14ac:dyDescent="0.2">
      <c r="H60" s="23"/>
      <c r="N60" s="6"/>
      <c r="Q60" s="23"/>
      <c r="R60" s="23"/>
      <c r="AR60" s="23"/>
      <c r="AS60" s="23"/>
      <c r="AT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T62" s="23"/>
      <c r="AU62" s="24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T68" s="23"/>
      <c r="AU68" s="23"/>
    </row>
    <row r="69" spans="8:47" x14ac:dyDescent="0.2">
      <c r="H69" s="23"/>
      <c r="N69" s="6"/>
      <c r="Q69" s="23"/>
      <c r="R69" s="23"/>
    </row>
    <row r="70" spans="8:47" x14ac:dyDescent="0.2">
      <c r="H70" s="23"/>
      <c r="N70" s="6"/>
      <c r="Q70" s="23"/>
      <c r="R70" s="23"/>
    </row>
    <row r="71" spans="8:47" x14ac:dyDescent="0.2">
      <c r="H71" s="23"/>
      <c r="N71" s="6"/>
      <c r="Q71" s="23"/>
      <c r="R71" s="23"/>
      <c r="AR71" s="23"/>
      <c r="AS71" s="23"/>
      <c r="AT71" s="23"/>
      <c r="AU71" s="23"/>
    </row>
    <row r="72" spans="8:47" x14ac:dyDescent="0.2">
      <c r="H72" s="23"/>
      <c r="N72" s="6"/>
      <c r="Q72" s="23"/>
      <c r="R72" s="23"/>
      <c r="AR72" s="23"/>
      <c r="AT72" s="23"/>
      <c r="AU72" s="23"/>
    </row>
    <row r="73" spans="8:47" x14ac:dyDescent="0.2">
      <c r="H73" s="23"/>
      <c r="N73" s="6"/>
      <c r="Q73" s="23"/>
      <c r="R73" s="23"/>
      <c r="AT73" s="23"/>
      <c r="AU73" s="24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  <c r="AU75" s="23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S77" s="23"/>
      <c r="AT77" s="23"/>
      <c r="AU77" s="23"/>
    </row>
    <row r="78" spans="8:47" x14ac:dyDescent="0.2">
      <c r="H78" s="23"/>
      <c r="N78" s="6"/>
      <c r="Q78" s="23"/>
      <c r="R78" s="23"/>
      <c r="AR78" s="23"/>
      <c r="AS78" s="23"/>
      <c r="AT78" s="23"/>
      <c r="AU78" s="23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T81" s="23"/>
      <c r="AU81" s="24"/>
    </row>
    <row r="82" spans="8:47" x14ac:dyDescent="0.2">
      <c r="H82" s="23"/>
      <c r="N82" s="6"/>
      <c r="Q82" s="23"/>
      <c r="R82" s="23"/>
      <c r="AR82" s="23"/>
      <c r="AT82" s="23"/>
      <c r="AU82" s="23"/>
    </row>
    <row r="83" spans="8:47" x14ac:dyDescent="0.2">
      <c r="H83" s="23"/>
      <c r="N83" s="6"/>
      <c r="Q83" s="23"/>
      <c r="R83" s="23"/>
      <c r="AR83" s="23"/>
      <c r="AS83" s="23"/>
      <c r="AT83" s="23"/>
      <c r="AU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T87" s="23"/>
      <c r="AU87" s="23"/>
    </row>
    <row r="88" spans="8:47" x14ac:dyDescent="0.2">
      <c r="H88" s="23"/>
      <c r="N88" s="6"/>
      <c r="Q88" s="23"/>
      <c r="R88" s="23"/>
      <c r="AT88" s="23"/>
      <c r="AU88" s="24"/>
    </row>
    <row r="89" spans="8:47" x14ac:dyDescent="0.2">
      <c r="H89" s="23"/>
      <c r="N89" s="6"/>
      <c r="Q89" s="23"/>
      <c r="R89" s="23"/>
      <c r="AT89" s="23"/>
      <c r="AU89" s="24"/>
    </row>
    <row r="90" spans="8:47" x14ac:dyDescent="0.2">
      <c r="H90" s="23"/>
      <c r="N90" s="6"/>
      <c r="Q90" s="23"/>
      <c r="R90" s="23"/>
      <c r="AR90" s="23"/>
      <c r="AS90" s="23"/>
      <c r="AT90" s="23"/>
      <c r="AU90" s="23"/>
    </row>
    <row r="91" spans="8:47" x14ac:dyDescent="0.2">
      <c r="H91" s="23"/>
      <c r="N91" s="6"/>
      <c r="Q91" s="23"/>
      <c r="R91" s="23"/>
      <c r="AR91" s="23"/>
      <c r="AS91" s="23"/>
      <c r="AT91" s="23"/>
      <c r="AU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T93" s="23"/>
      <c r="AU93" s="24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S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S97" s="23"/>
      <c r="AT97" s="23"/>
      <c r="AU97" s="23"/>
    </row>
    <row r="98" spans="8:47" x14ac:dyDescent="0.2">
      <c r="H98" s="23"/>
      <c r="N98" s="6"/>
      <c r="Q98" s="23"/>
      <c r="R98" s="23"/>
      <c r="AR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T101" s="23"/>
      <c r="AU101" s="24"/>
    </row>
    <row r="102" spans="8:47" x14ac:dyDescent="0.2">
      <c r="H102" s="23"/>
      <c r="N102" s="6"/>
      <c r="Q102" s="23"/>
      <c r="R102" s="23"/>
      <c r="AR102" s="23"/>
      <c r="AS102" s="23"/>
      <c r="AT102" s="23"/>
      <c r="AU102" s="23"/>
    </row>
    <row r="103" spans="8:47" x14ac:dyDescent="0.2">
      <c r="H103" s="23"/>
      <c r="N103" s="6"/>
      <c r="Q103" s="23"/>
      <c r="R103" s="23"/>
      <c r="AT103" s="23"/>
      <c r="AU103" s="24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T106" s="23"/>
      <c r="AU106" s="24"/>
    </row>
    <row r="107" spans="8:47" x14ac:dyDescent="0.2">
      <c r="H107" s="23"/>
      <c r="N107" s="6"/>
      <c r="Q107" s="23"/>
      <c r="R107" s="23"/>
      <c r="AR107" s="23"/>
      <c r="AS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  <c r="AT110" s="23"/>
      <c r="AU110" s="24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R115" s="23"/>
      <c r="AS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T116" s="23"/>
      <c r="AU116" s="23"/>
    </row>
    <row r="117" spans="8:47" x14ac:dyDescent="0.2">
      <c r="H117" s="23"/>
      <c r="N117" s="6"/>
      <c r="Q117" s="23"/>
      <c r="R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3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R125" s="23"/>
      <c r="AS125" s="23"/>
      <c r="AT125" s="23"/>
      <c r="AU125" s="23"/>
    </row>
    <row r="126" spans="8:47" x14ac:dyDescent="0.2">
      <c r="H126" s="23"/>
      <c r="N126" s="6"/>
      <c r="Q126" s="23"/>
      <c r="R126" s="23"/>
      <c r="AR126" s="23"/>
      <c r="AS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  <c r="AU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  <c r="AT132" s="23"/>
      <c r="AU132" s="24"/>
    </row>
    <row r="133" spans="8:47" x14ac:dyDescent="0.2">
      <c r="H133" s="23"/>
      <c r="N133" s="6"/>
      <c r="Q133" s="23"/>
      <c r="R133" s="23"/>
      <c r="AT133" s="23"/>
      <c r="AU133" s="24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T135" s="23"/>
    </row>
    <row r="136" spans="8:47" x14ac:dyDescent="0.2">
      <c r="H136" s="23"/>
      <c r="N136" s="6"/>
      <c r="Q136" s="23"/>
      <c r="R136" s="23"/>
      <c r="AT136" s="23"/>
      <c r="AU136" s="24"/>
    </row>
    <row r="137" spans="8:47" x14ac:dyDescent="0.2">
      <c r="H137" s="23"/>
      <c r="N137" s="6"/>
      <c r="Q137" s="23"/>
      <c r="R137" s="23"/>
      <c r="AR137" s="23"/>
      <c r="AS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S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R141" s="23"/>
      <c r="AS141" s="23"/>
      <c r="AT141" s="23"/>
      <c r="AU141" s="23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S144" s="23"/>
      <c r="AT144" s="23"/>
      <c r="AU144" s="23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R147" s="23"/>
      <c r="AS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</row>
    <row r="151" spans="8:47" x14ac:dyDescent="0.2">
      <c r="H151" s="23"/>
      <c r="N151" s="6"/>
      <c r="Q151" s="23"/>
      <c r="R151" s="23"/>
      <c r="AR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  <c r="AT153" s="23"/>
      <c r="AU153" s="24"/>
    </row>
    <row r="154" spans="8:47" x14ac:dyDescent="0.2">
      <c r="H154" s="23"/>
      <c r="N154" s="6"/>
      <c r="Q154" s="23"/>
      <c r="R154" s="23"/>
      <c r="AR154" s="23"/>
      <c r="AS154" s="23"/>
      <c r="AT154" s="23"/>
      <c r="AU154" s="23"/>
    </row>
    <row r="155" spans="8:47" x14ac:dyDescent="0.2">
      <c r="H155" s="23"/>
      <c r="N155" s="6"/>
      <c r="Q155" s="23"/>
      <c r="R155" s="23"/>
      <c r="AR155" s="23"/>
      <c r="AS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T156" s="23"/>
      <c r="AU156" s="23"/>
    </row>
    <row r="157" spans="8:47" x14ac:dyDescent="0.2">
      <c r="H157" s="23"/>
      <c r="N157" s="6"/>
      <c r="Q157" s="23"/>
      <c r="R157" s="23"/>
      <c r="AT157" s="23"/>
      <c r="AU157" s="24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S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S160" s="23"/>
      <c r="AT160" s="23"/>
      <c r="AU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  <c r="AT163" s="23"/>
      <c r="AU163" s="24"/>
    </row>
    <row r="164" spans="8:47" x14ac:dyDescent="0.2">
      <c r="H164" s="23"/>
      <c r="N164" s="6"/>
      <c r="Q164" s="23"/>
      <c r="R164" s="23"/>
      <c r="AR164" s="23"/>
      <c r="AS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S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T170" s="23"/>
      <c r="AU170" s="24"/>
    </row>
    <row r="171" spans="8:47" x14ac:dyDescent="0.2">
      <c r="H171" s="23"/>
      <c r="N171" s="6"/>
      <c r="Q171" s="23"/>
      <c r="R171" s="23"/>
    </row>
    <row r="172" spans="8:47" x14ac:dyDescent="0.2">
      <c r="H172" s="23"/>
      <c r="N172" s="6"/>
      <c r="Q172" s="23"/>
      <c r="R172" s="23"/>
      <c r="AR172" s="23"/>
      <c r="AS172" s="23"/>
      <c r="AT172" s="23"/>
      <c r="AU172" s="23"/>
    </row>
    <row r="173" spans="8:47" x14ac:dyDescent="0.2">
      <c r="H173" s="23"/>
      <c r="N173" s="6"/>
      <c r="Q173" s="23"/>
      <c r="R173" s="23"/>
      <c r="AT173" s="23"/>
      <c r="AU173" s="24"/>
    </row>
    <row r="174" spans="8:47" x14ac:dyDescent="0.2">
      <c r="H174" s="23"/>
      <c r="N174" s="6"/>
      <c r="Q174" s="23"/>
      <c r="R174" s="23"/>
      <c r="AT174" s="23"/>
      <c r="AU174" s="24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T178" s="23"/>
    </row>
    <row r="179" spans="8:47" x14ac:dyDescent="0.2">
      <c r="H179" s="23"/>
      <c r="N179" s="6"/>
      <c r="Q179" s="23"/>
      <c r="R179" s="23"/>
      <c r="AT179" s="23"/>
      <c r="AU179" s="24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R181" s="23"/>
      <c r="AS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S182" s="23"/>
      <c r="AT182" s="23"/>
      <c r="AU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  <c r="AU184" s="23"/>
    </row>
    <row r="185" spans="8:47" x14ac:dyDescent="0.2">
      <c r="H185" s="23"/>
      <c r="N185" s="6"/>
      <c r="Q185" s="23"/>
      <c r="R185" s="23"/>
      <c r="AR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S186" s="23"/>
      <c r="AT186" s="23"/>
      <c r="AU186" s="23"/>
    </row>
    <row r="187" spans="8:47" x14ac:dyDescent="0.2">
      <c r="H187" s="23"/>
      <c r="N187" s="6"/>
      <c r="Q187" s="23"/>
      <c r="R187" s="23"/>
      <c r="AT187" s="23"/>
      <c r="AU187" s="24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T190" s="23"/>
      <c r="AU190" s="24"/>
    </row>
    <row r="191" spans="8:47" x14ac:dyDescent="0.2">
      <c r="H191" s="23"/>
      <c r="N191" s="6"/>
      <c r="Q191" s="23"/>
      <c r="R191" s="23"/>
      <c r="AR191" s="23"/>
      <c r="AT191" s="23"/>
    </row>
    <row r="192" spans="8:47" x14ac:dyDescent="0.2">
      <c r="H192" s="23"/>
      <c r="N192" s="6"/>
      <c r="Q192" s="23"/>
      <c r="R192" s="23"/>
      <c r="AT192" s="23"/>
      <c r="AU192" s="24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S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S197" s="23"/>
      <c r="AT197" s="23"/>
      <c r="AU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R200" s="23"/>
      <c r="AS200" s="23"/>
      <c r="AT200" s="23"/>
      <c r="AU200" s="23"/>
    </row>
    <row r="201" spans="8:47" x14ac:dyDescent="0.2">
      <c r="H201" s="23"/>
      <c r="N201" s="6"/>
      <c r="Q201" s="23"/>
      <c r="R201" s="23"/>
      <c r="AR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S202" s="23"/>
      <c r="AT202" s="23"/>
      <c r="AU202" s="23"/>
    </row>
    <row r="203" spans="8:47" x14ac:dyDescent="0.2">
      <c r="H203" s="23"/>
      <c r="N203" s="6"/>
      <c r="Q203" s="23"/>
      <c r="R203" s="23"/>
      <c r="AR203" s="23"/>
      <c r="AS203" s="23"/>
      <c r="AT203" s="23"/>
      <c r="AU203" s="23"/>
    </row>
    <row r="204" spans="8:47" x14ac:dyDescent="0.2">
      <c r="H204" s="23"/>
      <c r="N204" s="6"/>
      <c r="Q204" s="23"/>
      <c r="R204" s="23"/>
      <c r="AR204" s="23"/>
      <c r="AT204" s="23"/>
      <c r="AU204" s="23"/>
    </row>
    <row r="205" spans="8:47" x14ac:dyDescent="0.2">
      <c r="H205" s="23"/>
      <c r="N205" s="6"/>
      <c r="Q205" s="23"/>
      <c r="R205" s="23"/>
      <c r="AT205" s="23"/>
      <c r="AU205" s="24"/>
    </row>
    <row r="206" spans="8:47" x14ac:dyDescent="0.2">
      <c r="H206" s="23"/>
      <c r="N206" s="6"/>
      <c r="Q206" s="23"/>
      <c r="R206" s="23"/>
      <c r="AR206" s="23"/>
      <c r="AS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S207" s="23"/>
      <c r="AT207" s="23"/>
      <c r="AU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S210" s="23"/>
      <c r="AT210" s="23"/>
      <c r="AU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T213" s="23"/>
      <c r="AU213" s="24"/>
    </row>
    <row r="214" spans="8:47" x14ac:dyDescent="0.2">
      <c r="H214" s="23"/>
      <c r="N214" s="6"/>
      <c r="Q214" s="23"/>
      <c r="R214" s="23"/>
      <c r="AR214" s="23"/>
      <c r="AS214" s="23"/>
      <c r="AT214" s="23"/>
      <c r="AU214" s="23"/>
    </row>
    <row r="215" spans="8:47" x14ac:dyDescent="0.2">
      <c r="H215" s="23"/>
      <c r="N215" s="6"/>
      <c r="Q215" s="23"/>
      <c r="R215" s="23"/>
      <c r="AR215" s="23"/>
      <c r="AS215" s="23"/>
      <c r="AT215" s="23"/>
      <c r="AU215" s="23"/>
    </row>
    <row r="216" spans="8:47" x14ac:dyDescent="0.2">
      <c r="H216" s="23"/>
      <c r="N216" s="6"/>
      <c r="Q216" s="23"/>
      <c r="R216" s="23"/>
      <c r="AR216" s="23"/>
      <c r="AS216" s="23"/>
      <c r="AT216" s="23"/>
      <c r="AU216" s="23"/>
    </row>
    <row r="217" spans="8:47" x14ac:dyDescent="0.2">
      <c r="H217" s="23"/>
      <c r="N217" s="6"/>
      <c r="Q217" s="23"/>
      <c r="R217" s="23"/>
      <c r="AR217" s="23"/>
      <c r="AS217" s="23"/>
      <c r="AT217" s="23"/>
      <c r="AU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T224" s="23"/>
      <c r="AU224" s="24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T228" s="23"/>
      <c r="AU228" s="24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R230" s="23"/>
      <c r="AS230" s="23"/>
      <c r="AT230" s="23"/>
      <c r="AU230" s="23"/>
    </row>
    <row r="231" spans="8:47" x14ac:dyDescent="0.2">
      <c r="H231" s="23"/>
      <c r="N231" s="6"/>
      <c r="Q231" s="23"/>
      <c r="R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T233" s="23"/>
      <c r="AU233" s="24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T236" s="23"/>
      <c r="AU236" s="24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</row>
    <row r="240" spans="8:47" x14ac:dyDescent="0.2">
      <c r="H240" s="23"/>
      <c r="N240" s="6"/>
      <c r="Q240" s="23"/>
      <c r="R240" s="23"/>
      <c r="AR240" s="23"/>
      <c r="AS240" s="23"/>
      <c r="AT240" s="23"/>
      <c r="AU240" s="23"/>
    </row>
    <row r="241" spans="8:47" x14ac:dyDescent="0.2">
      <c r="H241" s="23"/>
      <c r="N241" s="6"/>
      <c r="Q241" s="23"/>
      <c r="R241" s="23"/>
      <c r="AR241" s="23"/>
      <c r="AS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S242" s="23"/>
      <c r="AT242" s="23"/>
      <c r="AU242" s="23"/>
    </row>
    <row r="243" spans="8:47" x14ac:dyDescent="0.2">
      <c r="H243" s="23"/>
      <c r="N243" s="6"/>
      <c r="Q243" s="23"/>
      <c r="R243" s="23"/>
      <c r="AT243" s="23"/>
      <c r="AU243" s="24"/>
    </row>
    <row r="244" spans="8:47" x14ac:dyDescent="0.2">
      <c r="H244" s="23"/>
      <c r="N244" s="6"/>
      <c r="Q244" s="23"/>
      <c r="R244" s="23"/>
      <c r="AR244" s="23"/>
      <c r="AS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T248" s="23"/>
      <c r="AU248" s="23"/>
    </row>
    <row r="249" spans="8:47" x14ac:dyDescent="0.2">
      <c r="H249" s="23"/>
      <c r="N249" s="6"/>
      <c r="Q249" s="23"/>
      <c r="R249" s="23"/>
      <c r="AT249" s="23"/>
      <c r="AU249" s="24"/>
    </row>
    <row r="250" spans="8:47" x14ac:dyDescent="0.2">
      <c r="H250" s="23"/>
      <c r="N250" s="6"/>
      <c r="Q250" s="23"/>
      <c r="R250" s="23"/>
      <c r="AT250" s="23"/>
      <c r="AU250" s="24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R252" s="23"/>
      <c r="AS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T256" s="23"/>
      <c r="AU256" s="24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  <c r="AR259" s="23"/>
      <c r="AS259" s="23"/>
      <c r="AT259" s="23"/>
      <c r="AU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R262" s="23"/>
      <c r="AS262" s="23"/>
      <c r="AT262" s="23"/>
      <c r="AU262" s="23"/>
    </row>
    <row r="263" spans="8:47" x14ac:dyDescent="0.2">
      <c r="H263" s="23"/>
      <c r="N263" s="6"/>
      <c r="Q263" s="23"/>
      <c r="R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S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</row>
    <row r="292" spans="8:47" x14ac:dyDescent="0.2">
      <c r="H292" s="23"/>
      <c r="N292" s="6"/>
      <c r="Q292" s="23"/>
      <c r="R292" s="23"/>
      <c r="AR292" s="23"/>
      <c r="AT292" s="23"/>
      <c r="AU292" s="23"/>
    </row>
    <row r="293" spans="8:47" x14ac:dyDescent="0.2">
      <c r="H293" s="23"/>
      <c r="N293" s="6"/>
      <c r="Q293" s="23"/>
      <c r="R293" s="23"/>
      <c r="AR293" s="23"/>
      <c r="AS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S294" s="23"/>
      <c r="AT294" s="23"/>
      <c r="AU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S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  <c r="AR310" s="23"/>
      <c r="AS310" s="23"/>
      <c r="AT310" s="23"/>
      <c r="AU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S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S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  <c r="AR354" s="23"/>
      <c r="AS354" s="23"/>
      <c r="AT354" s="23"/>
      <c r="AU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R363" s="23"/>
      <c r="AS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S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S366" s="23"/>
      <c r="AT366" s="23"/>
      <c r="AU366" s="23"/>
    </row>
    <row r="367" spans="8:47" x14ac:dyDescent="0.2">
      <c r="H367" s="23"/>
      <c r="N367" s="6"/>
      <c r="Q367" s="23"/>
      <c r="R367" s="23"/>
      <c r="AR367" s="23"/>
      <c r="AS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S372" s="23"/>
      <c r="AT372" s="23"/>
      <c r="AU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S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S375" s="23"/>
      <c r="AT375" s="23"/>
      <c r="AU375" s="23"/>
    </row>
    <row r="376" spans="8:47" x14ac:dyDescent="0.2">
      <c r="H376" s="23"/>
      <c r="N376" s="6"/>
      <c r="Q376" s="23"/>
      <c r="R376" s="23"/>
      <c r="AR376" s="23"/>
      <c r="AT376" s="23"/>
      <c r="AU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S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R398" s="23"/>
      <c r="AS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S410" s="23"/>
      <c r="AT410" s="23"/>
      <c r="AU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R413" s="23"/>
      <c r="AS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S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R416" s="23"/>
      <c r="AS416" s="23"/>
      <c r="AT416" s="23"/>
      <c r="AU416" s="23"/>
    </row>
    <row r="417" spans="8:47" x14ac:dyDescent="0.2">
      <c r="H417" s="23"/>
      <c r="N417" s="6"/>
      <c r="Q417" s="23"/>
      <c r="R417" s="23"/>
      <c r="AR417" s="23"/>
      <c r="AS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S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S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  <c r="AR424" s="23"/>
      <c r="AS424" s="23"/>
      <c r="AT424" s="23"/>
      <c r="AU424" s="23"/>
    </row>
    <row r="425" spans="8:47" x14ac:dyDescent="0.2">
      <c r="H425" s="23"/>
      <c r="N425" s="6"/>
      <c r="Q425" s="23"/>
      <c r="R425" s="23"/>
      <c r="AR425" s="23"/>
      <c r="AS425" s="23"/>
      <c r="AT425" s="23"/>
      <c r="AU425" s="23"/>
    </row>
    <row r="426" spans="8:47" x14ac:dyDescent="0.2">
      <c r="H426" s="23"/>
      <c r="N426" s="6"/>
      <c r="Q426" s="23"/>
      <c r="R426" s="23"/>
      <c r="AR426" s="23"/>
      <c r="AS426" s="23"/>
      <c r="AT426" s="23"/>
      <c r="AU426" s="23"/>
    </row>
    <row r="427" spans="8:47" x14ac:dyDescent="0.2">
      <c r="H427" s="23"/>
      <c r="N427" s="6"/>
      <c r="Q427" s="23"/>
      <c r="R427" s="23"/>
      <c r="AR427" s="23"/>
      <c r="AS427" s="23"/>
      <c r="AT427" s="23"/>
      <c r="AU427" s="23"/>
    </row>
    <row r="428" spans="8:47" x14ac:dyDescent="0.2">
      <c r="H428" s="23"/>
      <c r="N428" s="6"/>
      <c r="Q428" s="23"/>
      <c r="R428" s="23"/>
      <c r="AR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  <c r="AR439" s="23"/>
      <c r="AS439" s="23"/>
      <c r="AT439" s="23"/>
      <c r="AU439" s="23"/>
    </row>
    <row r="440" spans="8:47" x14ac:dyDescent="0.2">
      <c r="H440" s="23"/>
      <c r="N440" s="6"/>
      <c r="Q440" s="23"/>
      <c r="R440" s="23"/>
      <c r="AR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S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R451" s="23"/>
      <c r="AS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  <c r="AR454" s="23"/>
      <c r="AS454" s="23"/>
      <c r="AT454" s="23"/>
      <c r="AU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  <c r="AR456" s="23"/>
      <c r="AS456" s="23"/>
      <c r="AT456" s="23"/>
      <c r="AU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S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R462" s="23"/>
      <c r="AS462" s="23"/>
      <c r="AT462" s="23"/>
      <c r="AU462" s="23"/>
    </row>
    <row r="463" spans="8:47" x14ac:dyDescent="0.2">
      <c r="H463" s="23"/>
      <c r="N463" s="6"/>
      <c r="Q463" s="23"/>
      <c r="R463" s="23"/>
    </row>
    <row r="464" spans="8:47" x14ac:dyDescent="0.2">
      <c r="H464" s="23"/>
      <c r="N464" s="6"/>
      <c r="Q464" s="23"/>
      <c r="R464" s="23"/>
      <c r="AR464" s="23"/>
      <c r="AS464" s="23"/>
      <c r="AT464" s="23"/>
      <c r="AU464" s="23"/>
    </row>
    <row r="465" spans="8:47" x14ac:dyDescent="0.2">
      <c r="H465" s="23"/>
      <c r="N465" s="6"/>
      <c r="Q465" s="23"/>
      <c r="R465" s="23"/>
      <c r="AR465" s="23"/>
      <c r="AS465" s="23"/>
      <c r="AT465" s="23"/>
      <c r="AU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  <c r="AR467" s="23"/>
      <c r="AS467" s="23"/>
      <c r="AT467" s="23"/>
      <c r="AU467" s="23"/>
    </row>
    <row r="468" spans="8:47" x14ac:dyDescent="0.2">
      <c r="H468" s="23"/>
      <c r="N468" s="6"/>
      <c r="Q468" s="23"/>
      <c r="R468" s="23"/>
      <c r="AR468" s="23"/>
      <c r="AS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  <c r="AR471" s="23"/>
      <c r="AS471" s="23"/>
      <c r="AT471" s="23"/>
      <c r="AU471" s="23"/>
    </row>
    <row r="472" spans="8:47" x14ac:dyDescent="0.2">
      <c r="H472" s="23"/>
      <c r="N472" s="6"/>
      <c r="Q472" s="23"/>
      <c r="R472" s="23"/>
      <c r="AR472" s="23"/>
      <c r="AT472" s="23"/>
      <c r="AU472" s="23"/>
    </row>
    <row r="473" spans="8:47" x14ac:dyDescent="0.2">
      <c r="H473" s="23"/>
      <c r="N473" s="6"/>
      <c r="Q473" s="23"/>
      <c r="R473" s="23"/>
      <c r="AR473" s="23"/>
      <c r="AS473" s="23"/>
      <c r="AT473" s="23"/>
      <c r="AU473" s="23"/>
    </row>
    <row r="474" spans="8:47" x14ac:dyDescent="0.2">
      <c r="H474" s="23"/>
      <c r="N474" s="6"/>
      <c r="Q474" s="23"/>
      <c r="R474" s="23"/>
      <c r="AR474" s="23"/>
      <c r="AS474" s="23"/>
      <c r="AT474" s="23"/>
      <c r="AU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  <c r="AR478" s="23"/>
      <c r="AS478" s="23"/>
      <c r="AT478" s="23"/>
      <c r="AU478" s="23"/>
    </row>
    <row r="479" spans="8:47" x14ac:dyDescent="0.2">
      <c r="H479" s="23"/>
      <c r="N479" s="6"/>
      <c r="Q479" s="23"/>
      <c r="R479" s="23"/>
      <c r="AR479" s="23"/>
      <c r="AS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T481" s="23"/>
      <c r="AU481" s="23"/>
    </row>
    <row r="482" spans="8:47" x14ac:dyDescent="0.2">
      <c r="H482" s="23"/>
      <c r="N482" s="6"/>
      <c r="Q482" s="23"/>
      <c r="R482" s="23"/>
      <c r="AR482" s="23"/>
      <c r="AS482" s="23"/>
      <c r="AT482" s="23"/>
      <c r="AU482" s="23"/>
    </row>
    <row r="483" spans="8:47" x14ac:dyDescent="0.2">
      <c r="H483" s="23"/>
      <c r="N483" s="6"/>
      <c r="Q483" s="23"/>
      <c r="R483" s="23"/>
      <c r="AR483" s="23"/>
      <c r="AS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S484" s="23"/>
      <c r="AT484" s="23"/>
      <c r="AU484" s="23"/>
    </row>
    <row r="485" spans="8:47" x14ac:dyDescent="0.2">
      <c r="H485" s="23"/>
      <c r="N485" s="6"/>
      <c r="Q485" s="23"/>
      <c r="R485" s="23"/>
      <c r="AR485" s="23"/>
      <c r="AS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  <c r="AR489" s="23"/>
      <c r="AS489" s="23"/>
      <c r="AT489" s="23"/>
      <c r="AU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  <c r="AR500" s="23"/>
      <c r="AS500" s="23"/>
      <c r="AT500" s="23"/>
      <c r="AU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  <c r="AR504" s="23"/>
      <c r="AS504" s="23"/>
      <c r="AT504" s="23"/>
      <c r="AU504" s="23"/>
    </row>
    <row r="505" spans="8:47" x14ac:dyDescent="0.2">
      <c r="H505" s="23"/>
      <c r="N505" s="6"/>
      <c r="Q505" s="23"/>
      <c r="R505" s="23"/>
      <c r="AR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S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S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S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R515" s="23"/>
      <c r="AS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  <c r="AR517" s="23"/>
      <c r="AS517" s="23"/>
      <c r="AT517" s="23"/>
      <c r="AU517" s="23"/>
    </row>
    <row r="518" spans="8:47" x14ac:dyDescent="0.2">
      <c r="H518" s="23"/>
      <c r="N518" s="6"/>
      <c r="Q518" s="23"/>
      <c r="R518" s="23"/>
      <c r="AR518" s="23"/>
      <c r="AS518" s="23"/>
      <c r="AT518" s="23"/>
      <c r="AU518" s="23"/>
    </row>
    <row r="519" spans="8:47" x14ac:dyDescent="0.2">
      <c r="H519" s="23"/>
      <c r="N519" s="6"/>
      <c r="Q519" s="23"/>
      <c r="R519" s="23"/>
      <c r="AR519" s="23"/>
      <c r="AS519" s="23"/>
      <c r="AT519" s="23"/>
      <c r="AU519" s="23"/>
    </row>
    <row r="520" spans="8:47" x14ac:dyDescent="0.2">
      <c r="H520" s="23"/>
      <c r="N520" s="6"/>
      <c r="Q520" s="23"/>
      <c r="R520" s="23"/>
      <c r="AR520" s="23"/>
      <c r="AS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S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S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S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S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S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S538" s="23"/>
      <c r="AT538" s="23"/>
      <c r="AU538" s="23"/>
    </row>
    <row r="539" spans="8:47" x14ac:dyDescent="0.2">
      <c r="H539" s="23"/>
      <c r="N539" s="6"/>
      <c r="Q539" s="23"/>
      <c r="R539" s="23"/>
      <c r="AR539" s="23"/>
      <c r="AS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S540" s="23"/>
      <c r="AT540" s="23"/>
      <c r="AU540" s="23"/>
    </row>
    <row r="541" spans="8:47" x14ac:dyDescent="0.2">
      <c r="H541" s="23"/>
      <c r="N541" s="6"/>
      <c r="Q541" s="23"/>
      <c r="R541" s="23"/>
      <c r="AR541" s="23"/>
      <c r="AS541" s="23"/>
      <c r="AT541" s="23"/>
      <c r="AU541" s="23"/>
    </row>
    <row r="542" spans="8:47" x14ac:dyDescent="0.2">
      <c r="H542" s="23"/>
      <c r="N542" s="6"/>
      <c r="Q542" s="23"/>
      <c r="R542" s="23"/>
      <c r="AR542" s="23"/>
      <c r="AS542" s="23"/>
      <c r="AT542" s="23"/>
      <c r="AU542" s="23"/>
    </row>
    <row r="543" spans="8:47" x14ac:dyDescent="0.2">
      <c r="H543" s="23"/>
      <c r="N543" s="6"/>
      <c r="Q543" s="23"/>
      <c r="R543" s="23"/>
      <c r="AR543" s="23"/>
      <c r="AS543" s="23"/>
      <c r="AT543" s="23"/>
      <c r="AU543" s="23"/>
    </row>
    <row r="544" spans="8:47" x14ac:dyDescent="0.2">
      <c r="H544" s="23"/>
      <c r="N544" s="6"/>
      <c r="Q544" s="23"/>
      <c r="R544" s="23"/>
      <c r="AR544" s="23"/>
      <c r="AS544" s="23"/>
      <c r="AT544" s="23"/>
      <c r="AU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  <c r="AR548" s="23"/>
      <c r="AS548" s="23"/>
      <c r="AT548" s="23"/>
      <c r="AU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S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S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  <c r="AR556" s="23"/>
      <c r="AS556" s="23"/>
      <c r="AT556" s="23"/>
      <c r="AU556" s="23"/>
    </row>
    <row r="557" spans="8:47" x14ac:dyDescent="0.2">
      <c r="H557" s="23"/>
      <c r="N557" s="6"/>
      <c r="Q557" s="23"/>
      <c r="R557" s="23"/>
      <c r="AR557" s="23"/>
      <c r="AS557" s="23"/>
      <c r="AT557" s="23"/>
      <c r="AU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  <c r="AR563" s="23"/>
      <c r="AS563" s="23"/>
      <c r="AT563" s="23"/>
      <c r="AU563" s="23"/>
    </row>
    <row r="564" spans="8:47" x14ac:dyDescent="0.2">
      <c r="H564" s="23"/>
      <c r="N564" s="6"/>
      <c r="Q564" s="23"/>
      <c r="R564" s="23"/>
      <c r="AR564" s="23"/>
      <c r="AS564" s="23"/>
      <c r="AT564" s="23"/>
      <c r="AU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  <c r="AU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S568" s="23"/>
      <c r="AT568" s="23"/>
      <c r="AU568" s="23"/>
    </row>
    <row r="569" spans="8:47" x14ac:dyDescent="0.2">
      <c r="H569" s="23"/>
      <c r="N569" s="6"/>
      <c r="Q569" s="23"/>
      <c r="R569" s="23"/>
      <c r="AR569" s="23"/>
      <c r="AS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R574" s="23"/>
      <c r="AS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  <c r="AR581" s="23"/>
      <c r="AS581" s="23"/>
      <c r="AT581" s="23"/>
      <c r="AU581" s="23"/>
    </row>
    <row r="582" spans="8:47" x14ac:dyDescent="0.2">
      <c r="H582" s="23"/>
      <c r="N582" s="6"/>
      <c r="Q582" s="23"/>
      <c r="R582" s="23"/>
      <c r="AR582" s="23"/>
      <c r="AS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</row>
    <row r="589" spans="8:47" x14ac:dyDescent="0.2">
      <c r="H589" s="23"/>
      <c r="N589" s="6"/>
      <c r="Q589" s="23"/>
      <c r="R589" s="23"/>
      <c r="AR589" s="23"/>
      <c r="AS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S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S596" s="23"/>
      <c r="AT596" s="23"/>
      <c r="AU596" s="23"/>
    </row>
    <row r="597" spans="8:47" x14ac:dyDescent="0.2">
      <c r="H597" s="23"/>
      <c r="N597" s="6"/>
      <c r="Q597" s="23"/>
      <c r="R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  <c r="AU599" s="23"/>
    </row>
    <row r="600" spans="8:47" x14ac:dyDescent="0.2">
      <c r="H600" s="23"/>
      <c r="N600" s="6"/>
      <c r="Q600" s="23"/>
      <c r="R600" s="23"/>
      <c r="AR600" s="23"/>
      <c r="AS600" s="23"/>
      <c r="AT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T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3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3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4"/>
    </row>
    <row r="611" spans="8:47" x14ac:dyDescent="0.2">
      <c r="H611" s="23"/>
      <c r="N611" s="6"/>
      <c r="Q611" s="23"/>
      <c r="R611" s="23"/>
      <c r="AR611" s="23"/>
      <c r="AS611" s="23"/>
      <c r="AT611" s="23"/>
      <c r="AU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4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4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  <c r="AU615" s="24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3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4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3"/>
    </row>
    <row r="623" spans="8:47" x14ac:dyDescent="0.2">
      <c r="H623" s="23"/>
      <c r="N623" s="6"/>
      <c r="Q623" s="23"/>
      <c r="R623" s="23"/>
      <c r="AR623" s="23"/>
      <c r="AS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  <c r="AR628" s="23"/>
      <c r="AS628" s="23"/>
      <c r="AT628" s="23"/>
      <c r="AU628" s="24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3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4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4"/>
    </row>
    <row r="636" spans="8:47" x14ac:dyDescent="0.2">
      <c r="H636" s="23"/>
      <c r="N636" s="6"/>
      <c r="Q636" s="23"/>
      <c r="R636" s="23"/>
      <c r="AR636" s="23"/>
      <c r="AS636" s="23"/>
      <c r="AT636" s="23"/>
      <c r="AU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3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4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R643" s="23"/>
      <c r="AS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3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S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  <c r="AU648" s="24"/>
    </row>
    <row r="649" spans="8:47" x14ac:dyDescent="0.2">
      <c r="H649" s="23"/>
      <c r="N649" s="6"/>
      <c r="Q649" s="23"/>
      <c r="R649" s="23"/>
      <c r="AR649" s="23"/>
      <c r="AS649" s="23"/>
      <c r="AT649" s="23"/>
      <c r="AU649" s="23"/>
    </row>
    <row r="650" spans="8:47" x14ac:dyDescent="0.2">
      <c r="H650" s="23"/>
      <c r="N650" s="6"/>
      <c r="Q650" s="23"/>
      <c r="R650" s="23"/>
      <c r="AR650" s="23"/>
      <c r="AS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3"/>
    </row>
    <row r="652" spans="8:47" x14ac:dyDescent="0.2">
      <c r="H652" s="23"/>
      <c r="N652" s="6"/>
      <c r="Q652" s="23"/>
      <c r="R652" s="23"/>
      <c r="AR652" s="23"/>
      <c r="AS652" s="23"/>
      <c r="AT652" s="23"/>
      <c r="AU652" s="23"/>
    </row>
    <row r="653" spans="8:47" x14ac:dyDescent="0.2">
      <c r="H653" s="23"/>
      <c r="N653" s="6"/>
      <c r="Q653" s="23"/>
      <c r="R653" s="23"/>
      <c r="AR653" s="23"/>
      <c r="AS653" s="23"/>
      <c r="AT653" s="23"/>
      <c r="AU653" s="24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  <c r="AR655" s="23"/>
      <c r="AS655" s="23"/>
      <c r="AT655" s="23"/>
      <c r="AU655" s="24"/>
    </row>
    <row r="656" spans="8:47" x14ac:dyDescent="0.2">
      <c r="H656" s="23"/>
      <c r="N656" s="6"/>
      <c r="Q656" s="23"/>
      <c r="R656" s="23"/>
      <c r="AR656" s="23"/>
      <c r="AS656" s="23"/>
      <c r="AT656" s="23"/>
      <c r="AU656" s="23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S659" s="23"/>
      <c r="AT659" s="23"/>
      <c r="AU659" s="23"/>
    </row>
    <row r="660" spans="8:47" x14ac:dyDescent="0.2">
      <c r="H660" s="23"/>
      <c r="N660" s="6"/>
      <c r="Q660" s="23"/>
      <c r="R660" s="23"/>
      <c r="AR660" s="23"/>
      <c r="AS660" s="23"/>
      <c r="AT660" s="23"/>
      <c r="AU660" s="23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3"/>
    </row>
    <row r="662" spans="8:47" x14ac:dyDescent="0.2">
      <c r="H662" s="23"/>
      <c r="N662" s="6"/>
      <c r="Q662" s="23"/>
      <c r="R662" s="23"/>
      <c r="AR662" s="23"/>
      <c r="AS662" s="23"/>
      <c r="AT662" s="23"/>
      <c r="AU662" s="23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</row>
    <row r="665" spans="8:47" x14ac:dyDescent="0.2">
      <c r="H665" s="23"/>
      <c r="N665" s="6"/>
      <c r="Q665" s="23"/>
      <c r="R665" s="23"/>
      <c r="AR665" s="23"/>
      <c r="AS665" s="23"/>
      <c r="AT665" s="23"/>
      <c r="AU665" s="23"/>
    </row>
    <row r="666" spans="8:47" x14ac:dyDescent="0.2">
      <c r="H666" s="23"/>
      <c r="N666" s="6"/>
      <c r="Q666" s="23"/>
      <c r="R666" s="23"/>
      <c r="AR666" s="23"/>
      <c r="AS666" s="23"/>
      <c r="AT666" s="23"/>
      <c r="AU666" s="24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  <c r="AU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S670" s="23"/>
      <c r="AT670" s="23"/>
      <c r="AU670" s="24"/>
    </row>
    <row r="671" spans="8:47" x14ac:dyDescent="0.2">
      <c r="H671" s="23"/>
      <c r="N671" s="6"/>
      <c r="Q671" s="23"/>
      <c r="R671" s="23"/>
      <c r="AR671" s="23"/>
      <c r="AS671" s="23"/>
      <c r="AT671" s="23"/>
      <c r="AU671" s="23"/>
    </row>
    <row r="672" spans="8:47" x14ac:dyDescent="0.2">
      <c r="H672" s="23"/>
      <c r="N672" s="6"/>
      <c r="Q672" s="23"/>
      <c r="R672" s="23"/>
      <c r="AR672" s="23"/>
      <c r="AS672" s="23"/>
      <c r="AT672" s="23"/>
      <c r="AU672" s="23"/>
    </row>
    <row r="673" spans="8:47" x14ac:dyDescent="0.2">
      <c r="H673" s="23"/>
      <c r="N673" s="6"/>
      <c r="Q673" s="23"/>
      <c r="R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R675" s="23"/>
      <c r="AS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3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S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S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S683" s="23"/>
      <c r="AT683" s="23"/>
      <c r="AU683" s="23"/>
    </row>
    <row r="684" spans="8:47" x14ac:dyDescent="0.2">
      <c r="H684" s="23"/>
      <c r="N684" s="6"/>
      <c r="Q684" s="23"/>
      <c r="R684" s="23"/>
      <c r="AR684" s="23"/>
      <c r="AS684" s="23"/>
      <c r="AT684" s="23"/>
      <c r="AU684" s="23"/>
    </row>
    <row r="685" spans="8:47" x14ac:dyDescent="0.2">
      <c r="H685" s="23"/>
      <c r="N685" s="6"/>
      <c r="Q685" s="23"/>
      <c r="R685" s="23"/>
      <c r="AR685" s="23"/>
      <c r="AS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3"/>
    </row>
    <row r="687" spans="8:47" x14ac:dyDescent="0.2">
      <c r="H687" s="23"/>
      <c r="N687" s="6"/>
      <c r="Q687" s="23"/>
      <c r="R687" s="23"/>
      <c r="AR687" s="23"/>
      <c r="AS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R690" s="23"/>
      <c r="AS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R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S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R698" s="23"/>
      <c r="AS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R700" s="23"/>
      <c r="AS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S701" s="23"/>
      <c r="AT701" s="23"/>
      <c r="AU701" s="23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4"/>
    </row>
    <row r="704" spans="8:47" x14ac:dyDescent="0.2">
      <c r="H704" s="23"/>
      <c r="N704" s="6"/>
      <c r="Q704" s="23"/>
      <c r="R704" s="23"/>
      <c r="AR704" s="23"/>
      <c r="AS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  <c r="AU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  <c r="AU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3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4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4"/>
    </row>
    <row r="712" spans="8:47" x14ac:dyDescent="0.2">
      <c r="H712" s="23"/>
      <c r="N712" s="6"/>
      <c r="Q712" s="23"/>
      <c r="R712" s="23"/>
      <c r="AR712" s="23"/>
      <c r="AS712" s="23"/>
      <c r="AT712" s="23"/>
      <c r="AU712" s="23"/>
    </row>
    <row r="713" spans="8:47" x14ac:dyDescent="0.2">
      <c r="H713" s="23"/>
      <c r="N713" s="6"/>
      <c r="Q713" s="23"/>
      <c r="R713" s="23"/>
      <c r="AR713" s="23"/>
      <c r="AS713" s="23"/>
      <c r="AT713" s="23"/>
      <c r="AU713" s="23"/>
    </row>
    <row r="714" spans="8:47" x14ac:dyDescent="0.2">
      <c r="H714" s="23"/>
      <c r="N714" s="6"/>
      <c r="Q714" s="23"/>
      <c r="R714" s="23"/>
      <c r="AR714" s="23"/>
      <c r="AS714" s="23"/>
      <c r="AT714" s="23"/>
      <c r="AU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3"/>
    </row>
    <row r="718" spans="8:47" x14ac:dyDescent="0.2">
      <c r="H718" s="23"/>
      <c r="N718" s="6"/>
      <c r="Q718" s="23"/>
      <c r="R718" s="23"/>
      <c r="AR718" s="23"/>
      <c r="AS718" s="23"/>
      <c r="AT718" s="23"/>
      <c r="AU718" s="24"/>
    </row>
    <row r="719" spans="8:47" x14ac:dyDescent="0.2">
      <c r="H719" s="23"/>
      <c r="N719" s="6"/>
      <c r="Q719" s="23"/>
      <c r="R719" s="23"/>
      <c r="AR719" s="23"/>
      <c r="AS719" s="23"/>
      <c r="AT719" s="23"/>
      <c r="AU719" s="23"/>
    </row>
    <row r="720" spans="8:47" x14ac:dyDescent="0.2">
      <c r="H720" s="23"/>
      <c r="N720" s="6"/>
      <c r="Q720" s="23"/>
      <c r="R720" s="23"/>
      <c r="AR720" s="23"/>
      <c r="AS720" s="23"/>
      <c r="AT720" s="23"/>
      <c r="AU720" s="23"/>
    </row>
    <row r="721" spans="8:47" x14ac:dyDescent="0.2">
      <c r="H721" s="23"/>
      <c r="N721" s="6"/>
      <c r="Q721" s="23"/>
      <c r="R721" s="23"/>
      <c r="AR721" s="23"/>
      <c r="AS721" s="23"/>
      <c r="AT721" s="23"/>
      <c r="AU721" s="23"/>
    </row>
    <row r="722" spans="8:47" x14ac:dyDescent="0.2">
      <c r="H722" s="23"/>
      <c r="N722" s="6"/>
      <c r="Q722" s="23"/>
      <c r="R722" s="23"/>
      <c r="AR722" s="23"/>
      <c r="AS722" s="23"/>
      <c r="AT722" s="23"/>
      <c r="AU722" s="23"/>
    </row>
    <row r="723" spans="8:47" x14ac:dyDescent="0.2">
      <c r="H723" s="23"/>
      <c r="N723" s="6"/>
      <c r="Q723" s="23"/>
      <c r="R723" s="23"/>
      <c r="AR723" s="23"/>
      <c r="AS723" s="23"/>
      <c r="AT723" s="23"/>
      <c r="AU723" s="24"/>
    </row>
    <row r="724" spans="8:47" x14ac:dyDescent="0.2">
      <c r="H724" s="23"/>
      <c r="N724" s="6"/>
      <c r="Q724" s="23"/>
      <c r="R724" s="23"/>
      <c r="AR724" s="23"/>
      <c r="AS724" s="23"/>
      <c r="AT724" s="23"/>
      <c r="AU724" s="23"/>
    </row>
    <row r="725" spans="8:47" x14ac:dyDescent="0.2">
      <c r="H725" s="23"/>
      <c r="N725" s="6"/>
      <c r="Q725" s="23"/>
      <c r="R725" s="23"/>
      <c r="AR725" s="23"/>
      <c r="AS725" s="23"/>
      <c r="AT725" s="23"/>
      <c r="AU725" s="23"/>
    </row>
    <row r="726" spans="8:47" x14ac:dyDescent="0.2">
      <c r="H726" s="23"/>
      <c r="N726" s="6"/>
      <c r="Q726" s="23"/>
      <c r="R726" s="23"/>
      <c r="AR726" s="23"/>
      <c r="AS726" s="23"/>
      <c r="AT726" s="23"/>
      <c r="AU726" s="23"/>
    </row>
    <row r="727" spans="8:47" x14ac:dyDescent="0.2">
      <c r="H727" s="23"/>
      <c r="N727" s="6"/>
      <c r="Q727" s="23"/>
      <c r="R727" s="23"/>
      <c r="AR727" s="23"/>
      <c r="AS727" s="23"/>
      <c r="AT727" s="23"/>
      <c r="AU727" s="23"/>
    </row>
    <row r="728" spans="8:47" x14ac:dyDescent="0.2">
      <c r="H728" s="23"/>
      <c r="N728" s="6"/>
      <c r="Q728" s="23"/>
      <c r="R728" s="23"/>
      <c r="AR728" s="23"/>
      <c r="AT728" s="23"/>
      <c r="AU728" s="23"/>
    </row>
    <row r="729" spans="8:47" x14ac:dyDescent="0.2">
      <c r="H729" s="23"/>
      <c r="N729" s="6"/>
      <c r="Q729" s="23"/>
      <c r="R729" s="23"/>
      <c r="AR729" s="23"/>
      <c r="AS729" s="23"/>
      <c r="AT729" s="23"/>
      <c r="AU729" s="23"/>
    </row>
    <row r="730" spans="8:47" x14ac:dyDescent="0.2">
      <c r="H730" s="23"/>
      <c r="N730" s="6"/>
      <c r="Q730" s="23"/>
      <c r="R730" s="23"/>
      <c r="AR730" s="23"/>
      <c r="AS730" s="23"/>
      <c r="AT730" s="23"/>
      <c r="AU730" s="23"/>
    </row>
    <row r="731" spans="8:47" x14ac:dyDescent="0.2">
      <c r="H731" s="23"/>
      <c r="N731" s="6"/>
      <c r="Q731" s="23"/>
      <c r="R731" s="23"/>
      <c r="AR731" s="23"/>
      <c r="AS731" s="23"/>
      <c r="AT731" s="23"/>
      <c r="AU731" s="23"/>
    </row>
    <row r="732" spans="8:47" x14ac:dyDescent="0.2">
      <c r="H732" s="23"/>
      <c r="N732" s="6"/>
      <c r="Q732" s="23"/>
      <c r="R732" s="23"/>
      <c r="AR732" s="23"/>
      <c r="AS732" s="23"/>
      <c r="AT732" s="23"/>
      <c r="AU732" s="23"/>
    </row>
    <row r="733" spans="8:47" x14ac:dyDescent="0.2">
      <c r="H733" s="23"/>
      <c r="N733" s="6"/>
      <c r="Q733" s="23"/>
      <c r="R733" s="23"/>
      <c r="AR733" s="23"/>
      <c r="AS733" s="23"/>
      <c r="AT733" s="23"/>
      <c r="AU733" s="23"/>
    </row>
    <row r="734" spans="8:47" x14ac:dyDescent="0.2">
      <c r="H734" s="23"/>
      <c r="N734" s="6"/>
      <c r="Q734" s="23"/>
      <c r="R734" s="23"/>
      <c r="AR734" s="23"/>
      <c r="AS734" s="23"/>
      <c r="AT734" s="23"/>
      <c r="AU734" s="23"/>
    </row>
    <row r="735" spans="8:47" x14ac:dyDescent="0.2">
      <c r="H735" s="23"/>
      <c r="N735" s="6"/>
      <c r="Q735" s="23"/>
      <c r="R735" s="23"/>
      <c r="AR735" s="23"/>
      <c r="AS735" s="23"/>
      <c r="AT735" s="23"/>
      <c r="AU735" s="23"/>
    </row>
    <row r="736" spans="8:47" x14ac:dyDescent="0.2">
      <c r="H736" s="23"/>
      <c r="N736" s="6"/>
      <c r="Q736" s="23"/>
      <c r="R736" s="23"/>
      <c r="AR736" s="23"/>
      <c r="AS736" s="23"/>
      <c r="AT736" s="23"/>
      <c r="AU736" s="23"/>
    </row>
    <row r="737" spans="8:47" x14ac:dyDescent="0.2">
      <c r="H737" s="23"/>
      <c r="N737" s="6"/>
      <c r="Q737" s="23"/>
      <c r="R737" s="23"/>
      <c r="AR737" s="23"/>
      <c r="AS737" s="23"/>
      <c r="AT737" s="23"/>
      <c r="AU737" s="23"/>
    </row>
    <row r="738" spans="8:47" x14ac:dyDescent="0.2">
      <c r="H738" s="23"/>
      <c r="N738" s="6"/>
      <c r="Q738" s="23"/>
      <c r="R738" s="23"/>
      <c r="AR738" s="23"/>
      <c r="AS738" s="23"/>
      <c r="AT738" s="23"/>
    </row>
    <row r="739" spans="8:47" x14ac:dyDescent="0.2">
      <c r="H739" s="23"/>
      <c r="N739" s="6"/>
      <c r="Q739" s="23"/>
      <c r="R739" s="23"/>
      <c r="AR739" s="23"/>
      <c r="AS739" s="23"/>
      <c r="AT739" s="23"/>
      <c r="AU739" s="23"/>
    </row>
    <row r="740" spans="8:47" x14ac:dyDescent="0.2">
      <c r="H740" s="23"/>
      <c r="N740" s="6"/>
      <c r="Q740" s="23"/>
      <c r="R740" s="23"/>
      <c r="AR740" s="23"/>
      <c r="AS740" s="23"/>
      <c r="AT740" s="23"/>
      <c r="AU740" s="23"/>
    </row>
    <row r="741" spans="8:47" x14ac:dyDescent="0.2">
      <c r="H741" s="23"/>
      <c r="N741" s="6"/>
      <c r="Q741" s="23"/>
      <c r="R741" s="23"/>
      <c r="AR741" s="23"/>
      <c r="AT741" s="23"/>
      <c r="AU741" s="23"/>
    </row>
    <row r="742" spans="8:47" x14ac:dyDescent="0.2">
      <c r="H742" s="23"/>
      <c r="N742" s="6"/>
      <c r="Q742" s="23"/>
      <c r="R742" s="23"/>
      <c r="AR742" s="23"/>
      <c r="AS742" s="23"/>
      <c r="AT742" s="23"/>
      <c r="AU742" s="23"/>
    </row>
    <row r="743" spans="8:47" x14ac:dyDescent="0.2">
      <c r="H743" s="23"/>
      <c r="N743" s="6"/>
      <c r="Q743" s="23"/>
      <c r="R743" s="23"/>
      <c r="AR743" s="23"/>
      <c r="AS743" s="23"/>
      <c r="AT743" s="23"/>
      <c r="AU743" s="23"/>
    </row>
    <row r="744" spans="8:47" x14ac:dyDescent="0.2">
      <c r="H744" s="23"/>
      <c r="N744" s="6"/>
      <c r="Q744" s="23"/>
      <c r="R744" s="23"/>
      <c r="AT744" s="23"/>
      <c r="AU744" s="23"/>
    </row>
    <row r="745" spans="8:47" x14ac:dyDescent="0.2">
      <c r="H745" s="23"/>
      <c r="N745" s="6"/>
      <c r="Q745" s="23"/>
      <c r="R745" s="23"/>
      <c r="AR745" s="23"/>
      <c r="AS745" s="23"/>
      <c r="AT745" s="23"/>
      <c r="AU745" s="23"/>
    </row>
    <row r="746" spans="8:47" x14ac:dyDescent="0.2">
      <c r="H746" s="23"/>
      <c r="N746" s="6"/>
      <c r="Q746" s="23"/>
      <c r="R746" s="23"/>
      <c r="AR746" s="23"/>
      <c r="AS746" s="23"/>
      <c r="AT746" s="23"/>
      <c r="AU746" s="23"/>
    </row>
    <row r="747" spans="8:47" x14ac:dyDescent="0.2">
      <c r="H747" s="23"/>
      <c r="N747" s="6"/>
      <c r="Q747" s="23"/>
      <c r="R747" s="23"/>
    </row>
    <row r="748" spans="8:47" x14ac:dyDescent="0.2">
      <c r="H748" s="23"/>
      <c r="N748" s="6"/>
      <c r="Q748" s="23"/>
      <c r="R748" s="23"/>
      <c r="AR748" s="23"/>
      <c r="AS748" s="23"/>
      <c r="AT748" s="23"/>
      <c r="AU748" s="23"/>
    </row>
    <row r="749" spans="8:47" x14ac:dyDescent="0.2">
      <c r="H749" s="23"/>
      <c r="N749" s="6"/>
      <c r="Q749" s="23"/>
      <c r="R749" s="23"/>
      <c r="AR749" s="23"/>
      <c r="AT749" s="23"/>
      <c r="AU749" s="23"/>
    </row>
    <row r="750" spans="8:47" x14ac:dyDescent="0.2">
      <c r="H750" s="23"/>
      <c r="N750" s="6"/>
      <c r="Q750" s="23"/>
      <c r="R750" s="23"/>
      <c r="AT750" s="23"/>
      <c r="AU750" s="23"/>
    </row>
    <row r="751" spans="8:47" x14ac:dyDescent="0.2">
      <c r="H751" s="23"/>
      <c r="N751" s="6"/>
      <c r="Q751" s="23"/>
      <c r="R751" s="23"/>
      <c r="AR751" s="23"/>
      <c r="AS751" s="23"/>
      <c r="AT751" s="23"/>
      <c r="AU751" s="23"/>
    </row>
    <row r="752" spans="8:47" x14ac:dyDescent="0.2">
      <c r="H752" s="23"/>
      <c r="N752" s="6"/>
      <c r="Q752" s="23"/>
      <c r="R752" s="23"/>
      <c r="AR752" s="23"/>
      <c r="AS752" s="23"/>
      <c r="AT752" s="23"/>
      <c r="AU752" s="23"/>
    </row>
    <row r="753" spans="8:47" x14ac:dyDescent="0.2">
      <c r="H753" s="23"/>
      <c r="N753" s="6"/>
      <c r="Q753" s="23"/>
      <c r="R753" s="23"/>
      <c r="AR753" s="23"/>
      <c r="AS753" s="23"/>
      <c r="AT753" s="23"/>
      <c r="AU753" s="23"/>
    </row>
    <row r="754" spans="8:47" x14ac:dyDescent="0.2">
      <c r="H754" s="23"/>
      <c r="N754" s="6"/>
      <c r="Q754" s="23"/>
      <c r="R754" s="23"/>
      <c r="AR754" s="23"/>
      <c r="AS754" s="23"/>
      <c r="AT754" s="23"/>
      <c r="AU754" s="23"/>
    </row>
    <row r="755" spans="8:47" x14ac:dyDescent="0.2">
      <c r="H755" s="23"/>
      <c r="N755" s="6"/>
      <c r="Q755" s="23"/>
      <c r="R755" s="23"/>
      <c r="AR755" s="23"/>
      <c r="AS755" s="23"/>
      <c r="AT755" s="23"/>
      <c r="AU755" s="23"/>
    </row>
    <row r="756" spans="8:47" x14ac:dyDescent="0.2">
      <c r="H756" s="23"/>
      <c r="N756" s="6"/>
      <c r="Q756" s="23"/>
      <c r="R756" s="23"/>
      <c r="AR756" s="23"/>
      <c r="AS756" s="23"/>
      <c r="AT756" s="23"/>
      <c r="AU756" s="23"/>
    </row>
    <row r="757" spans="8:47" x14ac:dyDescent="0.2">
      <c r="H757" s="23"/>
      <c r="N757" s="6"/>
      <c r="Q757" s="23"/>
      <c r="R757" s="23"/>
      <c r="AR757" s="23"/>
      <c r="AT757" s="23"/>
      <c r="AU757" s="23"/>
    </row>
    <row r="758" spans="8:47" x14ac:dyDescent="0.2">
      <c r="H758" s="23"/>
      <c r="N758" s="6"/>
      <c r="Q758" s="23"/>
      <c r="R758" s="23"/>
      <c r="AR758" s="23"/>
      <c r="AS758" s="23"/>
      <c r="AT758" s="23"/>
      <c r="AU758" s="23"/>
    </row>
    <row r="759" spans="8:47" x14ac:dyDescent="0.2">
      <c r="H759" s="23"/>
      <c r="N759" s="6"/>
      <c r="Q759" s="23"/>
      <c r="R759" s="23"/>
      <c r="AT759" s="23"/>
      <c r="AU759" s="23"/>
    </row>
    <row r="760" spans="8:47" x14ac:dyDescent="0.2">
      <c r="H760" s="23"/>
      <c r="N760" s="6"/>
      <c r="Q760" s="23"/>
      <c r="R760" s="23"/>
      <c r="AR760" s="23"/>
      <c r="AS760" s="23"/>
      <c r="AT760" s="23"/>
      <c r="AU760" s="23"/>
    </row>
    <row r="761" spans="8:47" x14ac:dyDescent="0.2">
      <c r="H761" s="23"/>
      <c r="N761" s="6"/>
      <c r="Q761" s="23"/>
      <c r="R761" s="23"/>
      <c r="AR761" s="23"/>
      <c r="AS761" s="23"/>
      <c r="AT761" s="23"/>
      <c r="AU761" s="23"/>
    </row>
    <row r="762" spans="8:47" x14ac:dyDescent="0.2">
      <c r="H762" s="23"/>
      <c r="N762" s="6"/>
      <c r="Q762" s="23"/>
      <c r="R762" s="23"/>
      <c r="AT762" s="23"/>
      <c r="AU762" s="23"/>
    </row>
    <row r="763" spans="8:47" x14ac:dyDescent="0.2">
      <c r="H763" s="23"/>
      <c r="N763" s="6"/>
      <c r="Q763" s="23"/>
      <c r="R763" s="23"/>
      <c r="AR763" s="23"/>
      <c r="AS763" s="23"/>
      <c r="AT763" s="23"/>
      <c r="AU763" s="23"/>
    </row>
    <row r="764" spans="8:47" x14ac:dyDescent="0.2">
      <c r="H764" s="23"/>
      <c r="N764" s="6"/>
      <c r="Q764" s="23"/>
      <c r="R764" s="23"/>
      <c r="AR764" s="23"/>
      <c r="AS764" s="23"/>
      <c r="AT764" s="23"/>
      <c r="AU764" s="23"/>
    </row>
    <row r="765" spans="8:47" x14ac:dyDescent="0.2">
      <c r="H765" s="23"/>
      <c r="N765" s="6"/>
      <c r="Q765" s="23"/>
      <c r="R765" s="23"/>
      <c r="AR765" s="23"/>
      <c r="AT765" s="23"/>
      <c r="AU765" s="23"/>
    </row>
    <row r="766" spans="8:47" x14ac:dyDescent="0.2">
      <c r="H766" s="23"/>
      <c r="N766" s="6"/>
      <c r="Q766" s="23"/>
      <c r="R766" s="23"/>
      <c r="AT766" s="23"/>
      <c r="AU766" s="23"/>
    </row>
    <row r="767" spans="8:47" x14ac:dyDescent="0.2">
      <c r="H767" s="23"/>
      <c r="N767" s="6"/>
      <c r="Q767" s="23"/>
      <c r="R767" s="23"/>
      <c r="AR767" s="23"/>
      <c r="AS767" s="23"/>
      <c r="AT767" s="23"/>
      <c r="AU767" s="23"/>
    </row>
    <row r="768" spans="8:47" x14ac:dyDescent="0.2">
      <c r="H768" s="23"/>
      <c r="N768" s="6"/>
      <c r="Q768" s="23"/>
      <c r="R768" s="23"/>
      <c r="AR768" s="23"/>
      <c r="AS768" s="23"/>
      <c r="AT768" s="23"/>
      <c r="AU768" s="23"/>
    </row>
    <row r="769" spans="8:47" x14ac:dyDescent="0.2">
      <c r="H769" s="23"/>
      <c r="N769" s="6"/>
      <c r="Q769" s="23"/>
      <c r="R769" s="23"/>
      <c r="AR769" s="23"/>
      <c r="AS769" s="23"/>
      <c r="AT769" s="23"/>
      <c r="AU769" s="23"/>
    </row>
    <row r="770" spans="8:47" x14ac:dyDescent="0.2">
      <c r="H770" s="23"/>
      <c r="N770" s="6"/>
      <c r="Q770" s="23"/>
      <c r="R770" s="23"/>
      <c r="AR770" s="23"/>
      <c r="AS770" s="23"/>
      <c r="AT770" s="23"/>
      <c r="AU770" s="23"/>
    </row>
    <row r="771" spans="8:47" x14ac:dyDescent="0.2">
      <c r="H771" s="23"/>
      <c r="N771" s="6"/>
      <c r="Q771" s="23"/>
      <c r="R771" s="23"/>
      <c r="AT771" s="23"/>
      <c r="AU771" s="23"/>
    </row>
    <row r="772" spans="8:47" x14ac:dyDescent="0.2">
      <c r="H772" s="23"/>
      <c r="N772" s="6"/>
      <c r="Q772" s="23"/>
      <c r="R772" s="23"/>
      <c r="AR772" s="23"/>
      <c r="AS772" s="23"/>
      <c r="AT772" s="23"/>
      <c r="AU772" s="23"/>
    </row>
    <row r="773" spans="8:47" x14ac:dyDescent="0.2">
      <c r="H773" s="23"/>
      <c r="N773" s="6"/>
      <c r="Q773" s="23"/>
      <c r="R773" s="23"/>
      <c r="AR773" s="23"/>
      <c r="AS773" s="23"/>
      <c r="AT773" s="23"/>
      <c r="AU773" s="23"/>
    </row>
    <row r="774" spans="8:47" x14ac:dyDescent="0.2">
      <c r="H774" s="23"/>
      <c r="N774" s="6"/>
      <c r="Q774" s="23"/>
      <c r="R774" s="23"/>
      <c r="AR774" s="23"/>
      <c r="AS774" s="23"/>
      <c r="AT774" s="23"/>
      <c r="AU774" s="23"/>
    </row>
    <row r="775" spans="8:47" x14ac:dyDescent="0.2">
      <c r="H775" s="23"/>
      <c r="N775" s="6"/>
      <c r="Q775" s="23"/>
      <c r="R775" s="23"/>
      <c r="AR775" s="23"/>
      <c r="AS775" s="23"/>
      <c r="AT775" s="23"/>
      <c r="AU775" s="23"/>
    </row>
    <row r="776" spans="8:47" x14ac:dyDescent="0.2">
      <c r="H776" s="23"/>
      <c r="N776" s="6"/>
      <c r="Q776" s="23"/>
      <c r="R776" s="23"/>
      <c r="AR776" s="23"/>
      <c r="AS776" s="23"/>
      <c r="AT776" s="23"/>
      <c r="AU776" s="23"/>
    </row>
    <row r="777" spans="8:47" x14ac:dyDescent="0.2">
      <c r="H777" s="23"/>
      <c r="N777" s="6"/>
      <c r="Q777" s="23"/>
      <c r="R777" s="23"/>
      <c r="AR777" s="23"/>
      <c r="AS777" s="23"/>
      <c r="AT777" s="23"/>
      <c r="AU777" s="23"/>
    </row>
    <row r="778" spans="8:47" x14ac:dyDescent="0.2">
      <c r="H778" s="23"/>
      <c r="N778" s="6"/>
      <c r="Q778" s="23"/>
      <c r="R778" s="23"/>
      <c r="AT778" s="23"/>
      <c r="AU778" s="23"/>
    </row>
    <row r="779" spans="8:47" x14ac:dyDescent="0.2">
      <c r="H779" s="23"/>
      <c r="N779" s="6"/>
      <c r="Q779" s="23"/>
      <c r="R779" s="23"/>
      <c r="AR779" s="23"/>
      <c r="AS779" s="23"/>
      <c r="AT779" s="23"/>
      <c r="AU779" s="23"/>
    </row>
    <row r="780" spans="8:47" x14ac:dyDescent="0.2">
      <c r="H780" s="23"/>
      <c r="N780" s="6"/>
      <c r="Q780" s="23"/>
      <c r="R780" s="23"/>
      <c r="AR780" s="23"/>
      <c r="AS780" s="23"/>
      <c r="AT780" s="23"/>
      <c r="AU780" s="23"/>
    </row>
    <row r="781" spans="8:47" x14ac:dyDescent="0.2">
      <c r="H781" s="23"/>
      <c r="N781" s="6"/>
      <c r="Q781" s="23"/>
      <c r="R781" s="23"/>
      <c r="AR781" s="23"/>
      <c r="AS781" s="23"/>
      <c r="AT781" s="23"/>
      <c r="AU781" s="23"/>
    </row>
    <row r="782" spans="8:47" x14ac:dyDescent="0.2">
      <c r="H782" s="23"/>
      <c r="N782" s="6"/>
      <c r="Q782" s="23"/>
      <c r="R782" s="23"/>
      <c r="AR782" s="23"/>
      <c r="AS782" s="23"/>
      <c r="AT782" s="23"/>
      <c r="AU782" s="23"/>
    </row>
    <row r="783" spans="8:47" x14ac:dyDescent="0.2">
      <c r="H783" s="23"/>
      <c r="N783" s="6"/>
      <c r="Q783" s="23"/>
      <c r="R783" s="23"/>
      <c r="AT783" s="23"/>
      <c r="AU783" s="23"/>
    </row>
    <row r="784" spans="8:47" x14ac:dyDescent="0.2">
      <c r="H784" s="23"/>
      <c r="N784" s="6"/>
      <c r="Q784" s="23"/>
      <c r="R784" s="23"/>
      <c r="AR784" s="23"/>
      <c r="AS784" s="23"/>
      <c r="AT784" s="23"/>
      <c r="AU784" s="23"/>
    </row>
    <row r="785" spans="8:47" x14ac:dyDescent="0.2">
      <c r="H785" s="23"/>
      <c r="N785" s="6"/>
      <c r="Q785" s="23"/>
      <c r="R785" s="23"/>
      <c r="AR785" s="23"/>
      <c r="AT785" s="23"/>
      <c r="AU785" s="23"/>
    </row>
    <row r="786" spans="8:47" x14ac:dyDescent="0.2">
      <c r="H786" s="23"/>
      <c r="N786" s="6"/>
      <c r="Q786" s="23"/>
      <c r="R786" s="23"/>
      <c r="AR786" s="23"/>
      <c r="AS786" s="23"/>
      <c r="AT786" s="23"/>
      <c r="AU786" s="23"/>
    </row>
    <row r="787" spans="8:47" x14ac:dyDescent="0.2">
      <c r="H787" s="23"/>
      <c r="N787" s="6"/>
      <c r="Q787" s="23"/>
      <c r="R787" s="23"/>
      <c r="AR787" s="23"/>
      <c r="AS787" s="23"/>
      <c r="AT787" s="23"/>
      <c r="AU787" s="23"/>
    </row>
    <row r="788" spans="8:47" x14ac:dyDescent="0.2">
      <c r="H788" s="23"/>
      <c r="N788" s="6"/>
      <c r="Q788" s="23"/>
      <c r="R788" s="23"/>
      <c r="AR788" s="23"/>
      <c r="AS788" s="23"/>
      <c r="AT788" s="23"/>
      <c r="AU788" s="23"/>
    </row>
    <row r="789" spans="8:47" x14ac:dyDescent="0.2">
      <c r="H789" s="23"/>
      <c r="N789" s="6"/>
      <c r="Q789" s="23"/>
      <c r="R789" s="23"/>
      <c r="AR789" s="23"/>
      <c r="AS789" s="23"/>
      <c r="AT789" s="23"/>
      <c r="AU789" s="23"/>
    </row>
    <row r="790" spans="8:47" x14ac:dyDescent="0.2">
      <c r="H790" s="23"/>
      <c r="N790" s="6"/>
      <c r="Q790" s="23"/>
      <c r="R790" s="23"/>
      <c r="AR790" s="23"/>
      <c r="AS790" s="23"/>
      <c r="AT790" s="23"/>
      <c r="AU790" s="23"/>
    </row>
    <row r="791" spans="8:47" x14ac:dyDescent="0.2">
      <c r="H791" s="23"/>
      <c r="N791" s="6"/>
      <c r="Q791" s="23"/>
      <c r="R791" s="23"/>
      <c r="AR791" s="23"/>
      <c r="AS791" s="23"/>
      <c r="AT791" s="23"/>
      <c r="AU791" s="23"/>
    </row>
    <row r="792" spans="8:47" x14ac:dyDescent="0.2">
      <c r="H792" s="23"/>
      <c r="N792" s="6"/>
      <c r="Q792" s="23"/>
      <c r="R792" s="23"/>
      <c r="AR792" s="23"/>
      <c r="AS792" s="23"/>
      <c r="AT792" s="23"/>
      <c r="AU792" s="23"/>
    </row>
    <row r="793" spans="8:47" x14ac:dyDescent="0.2">
      <c r="H793" s="23"/>
      <c r="N793" s="6"/>
      <c r="Q793" s="23"/>
      <c r="R793" s="23"/>
      <c r="AR793" s="23"/>
      <c r="AS793" s="23"/>
      <c r="AT793" s="23"/>
      <c r="AU793" s="23"/>
    </row>
    <row r="794" spans="8:47" x14ac:dyDescent="0.2">
      <c r="H794" s="23"/>
      <c r="N794" s="6"/>
      <c r="Q794" s="23"/>
      <c r="R794" s="23"/>
      <c r="AT794" s="23"/>
      <c r="AU794" s="23"/>
    </row>
    <row r="795" spans="8:47" x14ac:dyDescent="0.2">
      <c r="H795" s="23"/>
      <c r="N795" s="6"/>
      <c r="Q795" s="23"/>
      <c r="R795" s="23"/>
      <c r="AR795" s="23"/>
      <c r="AS795" s="23"/>
      <c r="AT795" s="23"/>
      <c r="AU795" s="23"/>
    </row>
    <row r="796" spans="8:47" x14ac:dyDescent="0.2">
      <c r="H796" s="23"/>
      <c r="N796" s="6"/>
      <c r="Q796" s="23"/>
      <c r="R796" s="23"/>
      <c r="AR796" s="23"/>
      <c r="AS796" s="23"/>
      <c r="AT796" s="23"/>
      <c r="AU796" s="23"/>
    </row>
    <row r="797" spans="8:47" x14ac:dyDescent="0.2">
      <c r="H797" s="23"/>
      <c r="N797" s="6"/>
      <c r="Q797" s="23"/>
      <c r="R797" s="23"/>
      <c r="AR797" s="23"/>
      <c r="AS797" s="23"/>
      <c r="AT797" s="23"/>
      <c r="AU797" s="23"/>
    </row>
    <row r="798" spans="8:47" x14ac:dyDescent="0.2">
      <c r="H798" s="23"/>
      <c r="N798" s="6"/>
      <c r="Q798" s="23"/>
      <c r="R798" s="23"/>
      <c r="AT798" s="23"/>
      <c r="AU798" s="23"/>
    </row>
    <row r="799" spans="8:47" x14ac:dyDescent="0.2">
      <c r="H799" s="23"/>
      <c r="N799" s="6"/>
      <c r="Q799" s="23"/>
      <c r="R799" s="23"/>
      <c r="AR799" s="23"/>
      <c r="AS799" s="23"/>
      <c r="AT799" s="23"/>
      <c r="AU799" s="23"/>
    </row>
    <row r="800" spans="8:47" x14ac:dyDescent="0.2">
      <c r="H800" s="23"/>
      <c r="N800" s="6"/>
      <c r="Q800" s="23"/>
      <c r="R800" s="23"/>
      <c r="AR800" s="23"/>
      <c r="AS800" s="23"/>
      <c r="AT800" s="23"/>
      <c r="AU800" s="23"/>
    </row>
    <row r="801" spans="8:47" x14ac:dyDescent="0.2">
      <c r="H801" s="23"/>
      <c r="N801" s="6"/>
      <c r="Q801" s="23"/>
      <c r="R801" s="23"/>
      <c r="AR801" s="23"/>
      <c r="AS801" s="23"/>
      <c r="AT801" s="23"/>
      <c r="AU801" s="23"/>
    </row>
    <row r="802" spans="8:47" x14ac:dyDescent="0.2">
      <c r="H802" s="23"/>
      <c r="N802" s="6"/>
      <c r="Q802" s="23"/>
      <c r="R802" s="23"/>
      <c r="AR802" s="23"/>
      <c r="AS802" s="23"/>
      <c r="AT802" s="23"/>
      <c r="AU802" s="23"/>
    </row>
    <row r="803" spans="8:47" x14ac:dyDescent="0.2">
      <c r="H803" s="23"/>
      <c r="N803" s="6"/>
      <c r="Q803" s="23"/>
      <c r="R803" s="23"/>
      <c r="AT803" s="23"/>
      <c r="AU803" s="23"/>
    </row>
    <row r="804" spans="8:47" x14ac:dyDescent="0.2">
      <c r="H804" s="23"/>
      <c r="N804" s="6"/>
      <c r="Q804" s="23"/>
      <c r="R804" s="23"/>
      <c r="AR804" s="23"/>
      <c r="AS804" s="23"/>
      <c r="AT804" s="23"/>
      <c r="AU804" s="23"/>
    </row>
    <row r="805" spans="8:47" x14ac:dyDescent="0.2">
      <c r="H805" s="23"/>
      <c r="N805" s="6"/>
      <c r="Q805" s="23"/>
      <c r="R805" s="23"/>
      <c r="AR805" s="23"/>
      <c r="AS805" s="23"/>
      <c r="AT805" s="23"/>
      <c r="AU805" s="23"/>
    </row>
    <row r="806" spans="8:47" x14ac:dyDescent="0.2">
      <c r="H806" s="23"/>
      <c r="N806" s="6"/>
      <c r="Q806" s="23"/>
      <c r="R806" s="23"/>
      <c r="AT806" s="23"/>
      <c r="AU806" s="23"/>
    </row>
    <row r="807" spans="8:47" x14ac:dyDescent="0.2">
      <c r="H807" s="23"/>
      <c r="N807" s="6"/>
      <c r="Q807" s="23"/>
      <c r="R807" s="23"/>
      <c r="AR807" s="23"/>
      <c r="AS807" s="23"/>
      <c r="AT807" s="23"/>
      <c r="AU807" s="23"/>
    </row>
    <row r="808" spans="8:47" x14ac:dyDescent="0.2">
      <c r="H808" s="23"/>
      <c r="N808" s="6"/>
      <c r="Q808" s="23"/>
      <c r="R808" s="23"/>
      <c r="AT808" s="23"/>
      <c r="AU808" s="23"/>
    </row>
    <row r="809" spans="8:47" x14ac:dyDescent="0.2">
      <c r="H809" s="23"/>
      <c r="N809" s="6"/>
      <c r="Q809" s="23"/>
      <c r="R809" s="23"/>
      <c r="AR809" s="23"/>
      <c r="AS809" s="23"/>
      <c r="AT809" s="23"/>
      <c r="AU809" s="23"/>
    </row>
    <row r="810" spans="8:47" x14ac:dyDescent="0.2">
      <c r="H810" s="23"/>
      <c r="N810" s="6"/>
      <c r="Q810" s="23"/>
      <c r="R810" s="23"/>
      <c r="AR810" s="23"/>
      <c r="AS810" s="23"/>
      <c r="AT810" s="23"/>
      <c r="AU810" s="23"/>
    </row>
    <row r="811" spans="8:47" x14ac:dyDescent="0.2">
      <c r="H811" s="23"/>
      <c r="N811" s="6"/>
      <c r="Q811" s="23"/>
      <c r="R811" s="23"/>
      <c r="AR811" s="23"/>
      <c r="AS811" s="23"/>
      <c r="AT811" s="23"/>
      <c r="AU811" s="23"/>
    </row>
    <row r="812" spans="8:47" x14ac:dyDescent="0.2">
      <c r="H812" s="23"/>
      <c r="N812" s="6"/>
      <c r="Q812" s="23"/>
      <c r="R812" s="23"/>
      <c r="AR812" s="23"/>
      <c r="AS812" s="23"/>
      <c r="AT812" s="23"/>
      <c r="AU812" s="23"/>
    </row>
    <row r="813" spans="8:47" x14ac:dyDescent="0.2">
      <c r="H813" s="23"/>
      <c r="N813" s="6"/>
      <c r="Q813" s="23"/>
      <c r="R813" s="23"/>
      <c r="AR813" s="23"/>
      <c r="AS813" s="23"/>
      <c r="AT813" s="23"/>
      <c r="AU813" s="23"/>
    </row>
    <row r="814" spans="8:47" x14ac:dyDescent="0.2">
      <c r="H814" s="23"/>
      <c r="N814" s="6"/>
      <c r="Q814" s="23"/>
      <c r="R814" s="23"/>
      <c r="AR814" s="23"/>
      <c r="AS814" s="23"/>
      <c r="AT814" s="23"/>
      <c r="AU814" s="23"/>
    </row>
    <row r="815" spans="8:47" x14ac:dyDescent="0.2">
      <c r="H815" s="23"/>
      <c r="N815" s="6"/>
      <c r="Q815" s="23"/>
      <c r="R815" s="23"/>
      <c r="AT815" s="23"/>
      <c r="AU815" s="23"/>
    </row>
    <row r="816" spans="8:47" x14ac:dyDescent="0.2">
      <c r="H816" s="23"/>
      <c r="N816" s="6"/>
      <c r="Q816" s="23"/>
      <c r="R816" s="23"/>
      <c r="AT816" s="23"/>
      <c r="AU816" s="23"/>
    </row>
    <row r="817" spans="8:47" x14ac:dyDescent="0.2">
      <c r="H817" s="23"/>
      <c r="N817" s="6"/>
      <c r="Q817" s="23"/>
      <c r="R817" s="23"/>
    </row>
    <row r="818" spans="8:47" x14ac:dyDescent="0.2">
      <c r="H818" s="23"/>
      <c r="N818" s="6"/>
      <c r="Q818" s="23"/>
      <c r="R818" s="23"/>
    </row>
    <row r="819" spans="8:47" x14ac:dyDescent="0.2">
      <c r="H819" s="23"/>
      <c r="N819" s="6"/>
      <c r="Q819" s="23"/>
      <c r="R819" s="23"/>
      <c r="AR819" s="23"/>
      <c r="AS819" s="23"/>
      <c r="AT819" s="23"/>
      <c r="AU819" s="23"/>
    </row>
    <row r="820" spans="8:47" x14ac:dyDescent="0.2">
      <c r="H820" s="23"/>
      <c r="N820" s="6"/>
      <c r="Q820" s="23"/>
      <c r="R820" s="23"/>
      <c r="AR820" s="23"/>
      <c r="AS820" s="23"/>
      <c r="AT820" s="23"/>
      <c r="AU820" s="23"/>
    </row>
    <row r="821" spans="8:47" x14ac:dyDescent="0.2">
      <c r="H821" s="23"/>
      <c r="N821" s="6"/>
      <c r="Q821" s="23"/>
      <c r="R821" s="23"/>
      <c r="AR821" s="23"/>
      <c r="AS821" s="23"/>
      <c r="AT821" s="23"/>
      <c r="AU821" s="23"/>
    </row>
    <row r="822" spans="8:47" x14ac:dyDescent="0.2">
      <c r="H822" s="23"/>
      <c r="N822" s="6"/>
      <c r="Q822" s="23"/>
      <c r="R822" s="23"/>
      <c r="AR822" s="23"/>
      <c r="AS822" s="23"/>
      <c r="AT822" s="23"/>
      <c r="AU822" s="23"/>
    </row>
    <row r="823" spans="8:47" x14ac:dyDescent="0.2">
      <c r="H823" s="23"/>
      <c r="N823" s="6"/>
      <c r="Q823" s="23"/>
      <c r="R823" s="23"/>
      <c r="AR823" s="23"/>
      <c r="AS823" s="23"/>
      <c r="AT823" s="23"/>
      <c r="AU823" s="23"/>
    </row>
    <row r="824" spans="8:47" x14ac:dyDescent="0.2">
      <c r="H824" s="23"/>
      <c r="N824" s="6"/>
      <c r="Q824" s="23"/>
      <c r="R824" s="23"/>
      <c r="AR824" s="23"/>
      <c r="AS824" s="23"/>
      <c r="AT824" s="23"/>
      <c r="AU824" s="23"/>
    </row>
    <row r="825" spans="8:47" x14ac:dyDescent="0.2">
      <c r="H825" s="23"/>
      <c r="N825" s="6"/>
      <c r="Q825" s="23"/>
      <c r="R825" s="23"/>
      <c r="AT825" s="23"/>
      <c r="AU825" s="23"/>
    </row>
    <row r="826" spans="8:47" x14ac:dyDescent="0.2">
      <c r="H826" s="23"/>
      <c r="N826" s="6"/>
      <c r="Q826" s="23"/>
      <c r="R826" s="23"/>
      <c r="AR826" s="23"/>
      <c r="AS826" s="23"/>
      <c r="AT826" s="23"/>
      <c r="AU826" s="23"/>
    </row>
    <row r="827" spans="8:47" x14ac:dyDescent="0.2">
      <c r="H827" s="23"/>
      <c r="N827" s="6"/>
      <c r="Q827" s="23"/>
      <c r="R827" s="23"/>
      <c r="AR827" s="23"/>
      <c r="AS827" s="23"/>
      <c r="AT827" s="23"/>
      <c r="AU827" s="23"/>
    </row>
    <row r="828" spans="8:47" x14ac:dyDescent="0.2">
      <c r="H828" s="23"/>
      <c r="N828" s="6"/>
      <c r="Q828" s="23"/>
      <c r="R828" s="23"/>
      <c r="AR828" s="23"/>
      <c r="AS828" s="23"/>
      <c r="AT828" s="23"/>
      <c r="AU828" s="23"/>
    </row>
    <row r="829" spans="8:47" x14ac:dyDescent="0.2">
      <c r="H829" s="23"/>
      <c r="N829" s="6"/>
      <c r="Q829" s="23"/>
      <c r="R829" s="23"/>
      <c r="AR829" s="23"/>
      <c r="AS829" s="23"/>
      <c r="AT829" s="23"/>
      <c r="AU829" s="23"/>
    </row>
    <row r="830" spans="8:47" x14ac:dyDescent="0.2">
      <c r="H830" s="23"/>
      <c r="N830" s="6"/>
      <c r="Q830" s="23"/>
      <c r="R830" s="23"/>
      <c r="AR830" s="23"/>
      <c r="AS830" s="23"/>
      <c r="AT830" s="23"/>
      <c r="AU830" s="23"/>
    </row>
    <row r="831" spans="8:47" x14ac:dyDescent="0.2">
      <c r="H831" s="23"/>
      <c r="N831" s="6"/>
      <c r="Q831" s="23"/>
      <c r="R831" s="23"/>
      <c r="AR831" s="23"/>
      <c r="AS831" s="23"/>
      <c r="AT831" s="23"/>
      <c r="AU831" s="23"/>
    </row>
    <row r="832" spans="8:47" x14ac:dyDescent="0.2">
      <c r="H832" s="23"/>
      <c r="N832" s="6"/>
      <c r="Q832" s="23"/>
      <c r="R832" s="23"/>
      <c r="AR832" s="23"/>
      <c r="AT832" s="23"/>
      <c r="AU832" s="23"/>
    </row>
    <row r="833" spans="8:47" x14ac:dyDescent="0.2">
      <c r="H833" s="23"/>
      <c r="N833" s="6"/>
      <c r="Q833" s="23"/>
      <c r="R833" s="23"/>
      <c r="AT833" s="23"/>
      <c r="AU833" s="23"/>
    </row>
    <row r="834" spans="8:47" x14ac:dyDescent="0.2">
      <c r="H834" s="23"/>
      <c r="N834" s="6"/>
      <c r="Q834" s="23"/>
      <c r="R834" s="23"/>
      <c r="AR834" s="23"/>
      <c r="AS834" s="23"/>
      <c r="AT834" s="23"/>
      <c r="AU834" s="23"/>
    </row>
    <row r="835" spans="8:47" x14ac:dyDescent="0.2">
      <c r="H835" s="23"/>
      <c r="N835" s="6"/>
      <c r="Q835" s="23"/>
      <c r="R835" s="23"/>
      <c r="AR835" s="23"/>
      <c r="AT835" s="23"/>
      <c r="AU835" s="23"/>
    </row>
    <row r="836" spans="8:47" x14ac:dyDescent="0.2">
      <c r="H836" s="23"/>
      <c r="N836" s="6"/>
      <c r="Q836" s="23"/>
      <c r="R836" s="23"/>
      <c r="AT836" s="23"/>
      <c r="AU836" s="23"/>
    </row>
    <row r="837" spans="8:47" x14ac:dyDescent="0.2">
      <c r="H837" s="23"/>
      <c r="N837" s="6"/>
      <c r="Q837" s="23"/>
      <c r="R837" s="23"/>
      <c r="AR837" s="23"/>
      <c r="AS837" s="23"/>
      <c r="AT837" s="23"/>
      <c r="AU837" s="23"/>
    </row>
    <row r="838" spans="8:47" x14ac:dyDescent="0.2">
      <c r="H838" s="23"/>
      <c r="N838" s="6"/>
      <c r="Q838" s="23"/>
      <c r="R838" s="23"/>
      <c r="AR838" s="23"/>
      <c r="AS838" s="23"/>
      <c r="AT838" s="23"/>
      <c r="AU838" s="23"/>
    </row>
    <row r="839" spans="8:47" x14ac:dyDescent="0.2">
      <c r="H839" s="23"/>
      <c r="N839" s="6"/>
      <c r="Q839" s="23"/>
      <c r="R839" s="23"/>
      <c r="AR839" s="23"/>
      <c r="AS839" s="23"/>
      <c r="AT839" s="23"/>
      <c r="AU839" s="23"/>
    </row>
    <row r="840" spans="8:47" x14ac:dyDescent="0.2">
      <c r="H840" s="23"/>
      <c r="N840" s="6"/>
      <c r="Q840" s="23"/>
      <c r="R840" s="23"/>
      <c r="AR840" s="23"/>
      <c r="AS840" s="23"/>
      <c r="AT840" s="23"/>
      <c r="AU840" s="23"/>
    </row>
    <row r="841" spans="8:47" x14ac:dyDescent="0.2">
      <c r="H841" s="23"/>
      <c r="N841" s="6"/>
      <c r="Q841" s="23"/>
      <c r="R841" s="23"/>
      <c r="AR841" s="23"/>
      <c r="AS841" s="23"/>
      <c r="AT841" s="23"/>
      <c r="AU841" s="23"/>
    </row>
    <row r="842" spans="8:47" x14ac:dyDescent="0.2">
      <c r="H842" s="23"/>
      <c r="N842" s="6"/>
      <c r="Q842" s="23"/>
      <c r="R842" s="23"/>
      <c r="AR842" s="23"/>
      <c r="AS842" s="23"/>
      <c r="AT842" s="23"/>
      <c r="AU842" s="23"/>
    </row>
    <row r="843" spans="8:47" x14ac:dyDescent="0.2">
      <c r="H843" s="23"/>
      <c r="N843" s="6"/>
      <c r="Q843" s="23"/>
      <c r="R843" s="23"/>
      <c r="AR843" s="23"/>
      <c r="AS843" s="23"/>
      <c r="AT843" s="23"/>
      <c r="AU843" s="23"/>
    </row>
    <row r="844" spans="8:47" x14ac:dyDescent="0.2">
      <c r="H844" s="23"/>
      <c r="N844" s="6"/>
      <c r="Q844" s="23"/>
      <c r="R844" s="23"/>
      <c r="AR844" s="23"/>
      <c r="AS844" s="23"/>
      <c r="AT844" s="23"/>
      <c r="AU844" s="23"/>
    </row>
    <row r="845" spans="8:47" x14ac:dyDescent="0.2">
      <c r="H845" s="23"/>
      <c r="N845" s="6"/>
      <c r="Q845" s="23"/>
      <c r="R845" s="23"/>
      <c r="AR845" s="23"/>
      <c r="AS845" s="23"/>
      <c r="AT845" s="23"/>
      <c r="AU845" s="23"/>
    </row>
    <row r="846" spans="8:47" x14ac:dyDescent="0.2">
      <c r="H846" s="23"/>
      <c r="N846" s="6"/>
      <c r="Q846" s="23"/>
      <c r="R846" s="23"/>
    </row>
    <row r="847" spans="8:47" x14ac:dyDescent="0.2">
      <c r="H847" s="23"/>
      <c r="N847" s="6"/>
      <c r="Q847" s="23"/>
      <c r="R847" s="23"/>
      <c r="AR847" s="23"/>
      <c r="AT847" s="23"/>
      <c r="AU847" s="23"/>
    </row>
    <row r="848" spans="8:47" x14ac:dyDescent="0.2">
      <c r="H848" s="23"/>
      <c r="N848" s="6"/>
      <c r="Q848" s="23"/>
      <c r="R848" s="23"/>
      <c r="AR848" s="23"/>
      <c r="AS848" s="23"/>
      <c r="AT848" s="23"/>
      <c r="AU848" s="23"/>
    </row>
    <row r="849" spans="8:47" x14ac:dyDescent="0.2">
      <c r="H849" s="23"/>
      <c r="N849" s="6"/>
      <c r="Q849" s="23"/>
      <c r="R849" s="23"/>
    </row>
    <row r="850" spans="8:47" x14ac:dyDescent="0.2">
      <c r="H850" s="23"/>
      <c r="N850" s="6"/>
      <c r="Q850" s="23"/>
      <c r="R850" s="23"/>
      <c r="AR850" s="23"/>
      <c r="AS850" s="23"/>
      <c r="AT850" s="23"/>
      <c r="AU850" s="23"/>
    </row>
    <row r="851" spans="8:47" x14ac:dyDescent="0.2">
      <c r="H851" s="23"/>
      <c r="N851" s="6"/>
      <c r="Q851" s="23"/>
      <c r="R851" s="23"/>
      <c r="AT851" s="23"/>
      <c r="AU851" s="23"/>
    </row>
    <row r="852" spans="8:47" x14ac:dyDescent="0.2">
      <c r="H852" s="23"/>
      <c r="N852" s="6"/>
      <c r="Q852" s="23"/>
      <c r="R852" s="23"/>
      <c r="AR852" s="23"/>
      <c r="AS852" s="23"/>
      <c r="AT852" s="23"/>
      <c r="AU852" s="23"/>
    </row>
    <row r="853" spans="8:47" x14ac:dyDescent="0.2">
      <c r="H853" s="23"/>
      <c r="N853" s="6"/>
      <c r="Q853" s="23"/>
      <c r="R853" s="23"/>
      <c r="AR853" s="23"/>
      <c r="AS853" s="23"/>
      <c r="AT853" s="23"/>
      <c r="AU853" s="23"/>
    </row>
    <row r="854" spans="8:47" x14ac:dyDescent="0.2">
      <c r="H854" s="23"/>
      <c r="N854" s="6"/>
      <c r="Q854" s="23"/>
      <c r="R854" s="23"/>
      <c r="AR854" s="23"/>
      <c r="AS854" s="23"/>
      <c r="AT854" s="23"/>
      <c r="AU854" s="23"/>
    </row>
    <row r="855" spans="8:47" x14ac:dyDescent="0.2">
      <c r="H855" s="23"/>
      <c r="N855" s="6"/>
      <c r="Q855" s="23"/>
      <c r="R855" s="23"/>
      <c r="AR855" s="23"/>
      <c r="AS855" s="23"/>
      <c r="AT855" s="23"/>
      <c r="AU855" s="23"/>
    </row>
    <row r="856" spans="8:47" x14ac:dyDescent="0.2">
      <c r="H856" s="23"/>
      <c r="N856" s="6"/>
      <c r="Q856" s="23"/>
      <c r="R856" s="23"/>
      <c r="AR856" s="23"/>
      <c r="AS856" s="23"/>
      <c r="AT856" s="23"/>
      <c r="AU856" s="23"/>
    </row>
    <row r="857" spans="8:47" x14ac:dyDescent="0.2">
      <c r="H857" s="23"/>
      <c r="N857" s="6"/>
      <c r="Q857" s="23"/>
      <c r="R857" s="23"/>
      <c r="AR857" s="23"/>
      <c r="AS857" s="23"/>
      <c r="AT857" s="23"/>
      <c r="AU857" s="23"/>
    </row>
    <row r="858" spans="8:47" x14ac:dyDescent="0.2">
      <c r="H858" s="23"/>
      <c r="N858" s="6"/>
      <c r="Q858" s="23"/>
      <c r="R858" s="23"/>
      <c r="AR858" s="23"/>
      <c r="AS858" s="23"/>
      <c r="AT858" s="23"/>
      <c r="AU858" s="23"/>
    </row>
    <row r="859" spans="8:47" x14ac:dyDescent="0.2">
      <c r="H859" s="23"/>
      <c r="N859" s="6"/>
      <c r="Q859" s="23"/>
      <c r="R859" s="23"/>
      <c r="AR859" s="23"/>
      <c r="AS859" s="23"/>
      <c r="AT859" s="23"/>
      <c r="AU859" s="23"/>
    </row>
    <row r="860" spans="8:47" x14ac:dyDescent="0.2">
      <c r="H860" s="23"/>
      <c r="N860" s="6"/>
      <c r="Q860" s="23"/>
      <c r="R860" s="23"/>
      <c r="AT860" s="23"/>
      <c r="AU860" s="24"/>
    </row>
    <row r="861" spans="8:47" x14ac:dyDescent="0.2">
      <c r="H861" s="23"/>
      <c r="N861" s="6"/>
      <c r="Q861" s="23"/>
      <c r="R861" s="23"/>
      <c r="AR861" s="23"/>
      <c r="AS861" s="23"/>
      <c r="AT861" s="23"/>
      <c r="AU861" s="23"/>
    </row>
    <row r="862" spans="8:47" x14ac:dyDescent="0.2">
      <c r="H862" s="23"/>
      <c r="N862" s="6"/>
      <c r="Q862" s="23"/>
      <c r="R862" s="23"/>
      <c r="AR862" s="23"/>
      <c r="AS862" s="23"/>
      <c r="AT862" s="23"/>
      <c r="AU862" s="23"/>
    </row>
    <row r="863" spans="8:47" x14ac:dyDescent="0.2">
      <c r="H863" s="23"/>
      <c r="N863" s="6"/>
      <c r="Q863" s="23"/>
      <c r="R863" s="23"/>
      <c r="AR863" s="23"/>
      <c r="AS863" s="23"/>
      <c r="AT863" s="23"/>
      <c r="AU863" s="23"/>
    </row>
    <row r="864" spans="8:47" x14ac:dyDescent="0.2">
      <c r="H864" s="23"/>
      <c r="N864" s="6"/>
      <c r="Q864" s="23"/>
      <c r="R864" s="23"/>
      <c r="AR864" s="23"/>
      <c r="AS864" s="23"/>
      <c r="AT864" s="23"/>
      <c r="AU864" s="23"/>
    </row>
    <row r="865" spans="8:47" x14ac:dyDescent="0.2">
      <c r="H865" s="23"/>
      <c r="N865" s="6"/>
      <c r="Q865" s="23"/>
      <c r="R865" s="23"/>
      <c r="AR865" s="23"/>
      <c r="AS865" s="23"/>
      <c r="AT865" s="23"/>
      <c r="AU865" s="23"/>
    </row>
    <row r="866" spans="8:47" x14ac:dyDescent="0.2">
      <c r="H866" s="23"/>
      <c r="N866" s="6"/>
      <c r="Q866" s="23"/>
      <c r="R866" s="23"/>
      <c r="AR866" s="23"/>
      <c r="AS866" s="23"/>
      <c r="AT866" s="23"/>
      <c r="AU866" s="23"/>
    </row>
    <row r="867" spans="8:47" x14ac:dyDescent="0.2">
      <c r="H867" s="23"/>
      <c r="N867" s="6"/>
      <c r="Q867" s="23"/>
      <c r="R867" s="23"/>
      <c r="AR867" s="23"/>
      <c r="AT867" s="23"/>
      <c r="AU867" s="23"/>
    </row>
    <row r="868" spans="8:47" x14ac:dyDescent="0.2">
      <c r="H868" s="23"/>
      <c r="N868" s="6"/>
      <c r="Q868" s="23"/>
      <c r="R868" s="23"/>
      <c r="AR868" s="23"/>
      <c r="AT868" s="23"/>
      <c r="AU868" s="23"/>
    </row>
    <row r="869" spans="8:47" x14ac:dyDescent="0.2">
      <c r="H869" s="23"/>
      <c r="N869" s="6"/>
      <c r="Q869" s="23"/>
      <c r="R869" s="23"/>
      <c r="AR869" s="23"/>
      <c r="AS869" s="23"/>
      <c r="AT869" s="23"/>
      <c r="AU869" s="23"/>
    </row>
    <row r="870" spans="8:47" x14ac:dyDescent="0.2">
      <c r="H870" s="23"/>
      <c r="N870" s="6"/>
      <c r="Q870" s="23"/>
      <c r="R870" s="23"/>
      <c r="AR870" s="23"/>
      <c r="AS870" s="23"/>
      <c r="AT870" s="23"/>
      <c r="AU870" s="23"/>
    </row>
    <row r="871" spans="8:47" x14ac:dyDescent="0.2">
      <c r="H871" s="23"/>
      <c r="N871" s="6"/>
      <c r="Q871" s="23"/>
      <c r="R871" s="23"/>
      <c r="AR871" s="23"/>
      <c r="AS871" s="23"/>
      <c r="AT871" s="23"/>
      <c r="AU871" s="23"/>
    </row>
    <row r="872" spans="8:47" x14ac:dyDescent="0.2">
      <c r="H872" s="23"/>
      <c r="N872" s="6"/>
      <c r="Q872" s="23"/>
      <c r="R872" s="23"/>
      <c r="AR872" s="23"/>
      <c r="AS872" s="23"/>
      <c r="AT872" s="23"/>
      <c r="AU872" s="23"/>
    </row>
    <row r="873" spans="8:47" x14ac:dyDescent="0.2">
      <c r="H873" s="23"/>
      <c r="N873" s="6"/>
      <c r="Q873" s="23"/>
      <c r="R873" s="23"/>
      <c r="AT873" s="23"/>
      <c r="AU873" s="23"/>
    </row>
    <row r="874" spans="8:47" x14ac:dyDescent="0.2">
      <c r="H874" s="23"/>
      <c r="N874" s="6"/>
      <c r="Q874" s="23"/>
      <c r="R874" s="23"/>
      <c r="AT874" s="23"/>
      <c r="AU874" s="24"/>
    </row>
    <row r="875" spans="8:47" x14ac:dyDescent="0.2">
      <c r="H875" s="23"/>
      <c r="N875" s="6"/>
      <c r="Q875" s="23"/>
      <c r="R875" s="23"/>
      <c r="AR875" s="23"/>
      <c r="AS875" s="23"/>
      <c r="AT875" s="23"/>
      <c r="AU875" s="23"/>
    </row>
    <row r="876" spans="8:47" x14ac:dyDescent="0.2">
      <c r="H876" s="23"/>
      <c r="N876" s="6"/>
      <c r="Q876" s="23"/>
      <c r="R876" s="23"/>
      <c r="AR876" s="23"/>
      <c r="AS876" s="23"/>
      <c r="AT876" s="23"/>
      <c r="AU876" s="23"/>
    </row>
    <row r="877" spans="8:47" x14ac:dyDescent="0.2">
      <c r="H877" s="23"/>
      <c r="N877" s="6"/>
      <c r="Q877" s="23"/>
      <c r="R877" s="23"/>
      <c r="AR877" s="23"/>
      <c r="AS877" s="23"/>
      <c r="AT877" s="23"/>
      <c r="AU877" s="23"/>
    </row>
    <row r="878" spans="8:47" x14ac:dyDescent="0.2">
      <c r="H878" s="23"/>
      <c r="N878" s="6"/>
      <c r="Q878" s="23"/>
      <c r="R878" s="23"/>
      <c r="AR878" s="23"/>
      <c r="AS878" s="23"/>
      <c r="AT878" s="23"/>
      <c r="AU878" s="23"/>
    </row>
    <row r="879" spans="8:47" x14ac:dyDescent="0.2">
      <c r="H879" s="23"/>
      <c r="N879" s="6"/>
      <c r="Q879" s="23"/>
      <c r="R879" s="23"/>
      <c r="AR879" s="23"/>
      <c r="AS879" s="23"/>
      <c r="AT879" s="23"/>
      <c r="AU879" s="23"/>
    </row>
    <row r="880" spans="8:47" x14ac:dyDescent="0.2">
      <c r="H880" s="23"/>
      <c r="N880" s="6"/>
      <c r="Q880" s="23"/>
      <c r="R880" s="23"/>
      <c r="AR880" s="23"/>
      <c r="AS880" s="23"/>
      <c r="AT880" s="23"/>
      <c r="AU880" s="23"/>
    </row>
    <row r="881" spans="8:47" x14ac:dyDescent="0.2">
      <c r="H881" s="23"/>
      <c r="N881" s="6"/>
      <c r="Q881" s="23"/>
      <c r="R881" s="23"/>
      <c r="AR881" s="23"/>
      <c r="AS881" s="23"/>
      <c r="AT881" s="23"/>
      <c r="AU881" s="23"/>
    </row>
    <row r="882" spans="8:47" x14ac:dyDescent="0.2">
      <c r="H882" s="23"/>
      <c r="N882" s="6"/>
      <c r="Q882" s="23"/>
      <c r="R882" s="23"/>
      <c r="AT882" s="23"/>
      <c r="AU882" s="23"/>
    </row>
    <row r="883" spans="8:47" x14ac:dyDescent="0.2">
      <c r="H883" s="23"/>
      <c r="N883" s="6"/>
      <c r="Q883" s="23"/>
      <c r="R883" s="23"/>
      <c r="AR883" s="23"/>
      <c r="AS883" s="23"/>
      <c r="AT883" s="23"/>
      <c r="AU883" s="23"/>
    </row>
    <row r="884" spans="8:47" x14ac:dyDescent="0.2">
      <c r="H884" s="23"/>
      <c r="N884" s="6"/>
      <c r="Q884" s="23"/>
      <c r="R884" s="23"/>
      <c r="AR884" s="23"/>
      <c r="AS884" s="23"/>
      <c r="AT884" s="23"/>
      <c r="AU884" s="23"/>
    </row>
    <row r="885" spans="8:47" x14ac:dyDescent="0.2">
      <c r="H885" s="23"/>
      <c r="N885" s="6"/>
      <c r="Q885" s="23"/>
      <c r="R885" s="23"/>
      <c r="AR885" s="23"/>
      <c r="AS885" s="23"/>
      <c r="AT885" s="23"/>
      <c r="AU885" s="23"/>
    </row>
    <row r="886" spans="8:47" x14ac:dyDescent="0.2">
      <c r="H886" s="23"/>
      <c r="N886" s="6"/>
      <c r="Q886" s="23"/>
      <c r="R886" s="23"/>
      <c r="AR886" s="23"/>
      <c r="AS886" s="23"/>
      <c r="AT886" s="23"/>
      <c r="AU886" s="23"/>
    </row>
    <row r="887" spans="8:47" x14ac:dyDescent="0.2">
      <c r="H887" s="23"/>
      <c r="N887" s="6"/>
      <c r="Q887" s="23"/>
      <c r="R887" s="23"/>
      <c r="AR887" s="23"/>
      <c r="AS887" s="23"/>
      <c r="AT887" s="23"/>
      <c r="AU887" s="23"/>
    </row>
    <row r="888" spans="8:47" x14ac:dyDescent="0.2">
      <c r="H888" s="23"/>
      <c r="N888" s="6"/>
      <c r="Q888" s="23"/>
      <c r="R888" s="23"/>
      <c r="AR888" s="23"/>
      <c r="AS888" s="23"/>
      <c r="AT888" s="23"/>
      <c r="AU888" s="23"/>
    </row>
    <row r="889" spans="8:47" x14ac:dyDescent="0.2">
      <c r="H889" s="23"/>
      <c r="N889" s="6"/>
      <c r="Q889" s="23"/>
      <c r="R889" s="23"/>
      <c r="AR889" s="23"/>
      <c r="AS889" s="23"/>
      <c r="AT889" s="23"/>
      <c r="AU889" s="23"/>
    </row>
    <row r="890" spans="8:47" x14ac:dyDescent="0.2">
      <c r="H890" s="23"/>
      <c r="N890" s="6"/>
      <c r="Q890" s="23"/>
      <c r="R890" s="23"/>
      <c r="AR890" s="23"/>
      <c r="AS890" s="23"/>
      <c r="AT890" s="23"/>
      <c r="AU890" s="23"/>
    </row>
    <row r="891" spans="8:47" x14ac:dyDescent="0.2">
      <c r="H891" s="23"/>
      <c r="N891" s="6"/>
      <c r="Q891" s="23"/>
      <c r="R891" s="23"/>
      <c r="AR891" s="23"/>
      <c r="AS891" s="23"/>
      <c r="AT891" s="23"/>
      <c r="AU891" s="23"/>
    </row>
    <row r="892" spans="8:47" x14ac:dyDescent="0.2">
      <c r="H892" s="23"/>
      <c r="N892" s="6"/>
      <c r="Q892" s="23"/>
      <c r="R892" s="23"/>
    </row>
    <row r="893" spans="8:47" x14ac:dyDescent="0.2">
      <c r="H893" s="23"/>
      <c r="N893" s="6"/>
      <c r="Q893" s="23"/>
      <c r="R893" s="23"/>
      <c r="AT893" s="23"/>
      <c r="AU893" s="24"/>
    </row>
    <row r="894" spans="8:47" x14ac:dyDescent="0.2">
      <c r="H894" s="23"/>
      <c r="N894" s="6"/>
      <c r="Q894" s="23"/>
      <c r="R894" s="23"/>
      <c r="AR894" s="23"/>
      <c r="AS894" s="23"/>
      <c r="AT894" s="23"/>
      <c r="AU894" s="23"/>
    </row>
    <row r="895" spans="8:47" x14ac:dyDescent="0.2">
      <c r="H895" s="23"/>
      <c r="N895" s="6"/>
      <c r="Q895" s="23"/>
      <c r="R895" s="23"/>
      <c r="AR895" s="23"/>
      <c r="AS895" s="23"/>
      <c r="AT895" s="23"/>
      <c r="AU895" s="23"/>
    </row>
    <row r="896" spans="8:47" x14ac:dyDescent="0.2">
      <c r="H896" s="23"/>
      <c r="N896" s="6"/>
      <c r="Q896" s="23"/>
      <c r="R896" s="23"/>
      <c r="AR896" s="23"/>
      <c r="AS896" s="23"/>
      <c r="AT896" s="23"/>
      <c r="AU896" s="23"/>
    </row>
    <row r="897" spans="8:47" x14ac:dyDescent="0.2">
      <c r="H897" s="23"/>
      <c r="N897" s="6"/>
      <c r="Q897" s="23"/>
      <c r="R897" s="23"/>
      <c r="AR897" s="23"/>
      <c r="AS897" s="23"/>
      <c r="AT897" s="23"/>
      <c r="AU897" s="23"/>
    </row>
    <row r="898" spans="8:47" x14ac:dyDescent="0.2">
      <c r="H898" s="23"/>
      <c r="N898" s="6"/>
      <c r="Q898" s="23"/>
      <c r="R898" s="23"/>
      <c r="AR898" s="23"/>
      <c r="AS898" s="23"/>
      <c r="AT898" s="23"/>
      <c r="AU898" s="23"/>
    </row>
    <row r="899" spans="8:47" x14ac:dyDescent="0.2">
      <c r="H899" s="23"/>
      <c r="N899" s="6"/>
      <c r="Q899" s="23"/>
      <c r="R899" s="23"/>
      <c r="AR899" s="23"/>
      <c r="AS899" s="23"/>
      <c r="AT899" s="23"/>
      <c r="AU899" s="23"/>
    </row>
    <row r="900" spans="8:47" x14ac:dyDescent="0.2">
      <c r="H900" s="23"/>
      <c r="N900" s="6"/>
      <c r="Q900" s="23"/>
      <c r="R900" s="23"/>
      <c r="AR900" s="23"/>
      <c r="AS900" s="23"/>
      <c r="AT900" s="23"/>
      <c r="AU900" s="23"/>
    </row>
    <row r="901" spans="8:47" x14ac:dyDescent="0.2">
      <c r="H901" s="23"/>
      <c r="N901" s="6"/>
      <c r="Q901" s="23"/>
      <c r="R901" s="23"/>
      <c r="AR901" s="23"/>
      <c r="AT901" s="23"/>
      <c r="AU901" s="23"/>
    </row>
    <row r="902" spans="8:47" x14ac:dyDescent="0.2">
      <c r="H902" s="23"/>
      <c r="N902" s="6"/>
      <c r="Q902" s="23"/>
      <c r="R902" s="23"/>
      <c r="AR902" s="23"/>
      <c r="AS902" s="23"/>
      <c r="AT902" s="23"/>
      <c r="AU902" s="23"/>
    </row>
    <row r="903" spans="8:47" x14ac:dyDescent="0.2">
      <c r="H903" s="23"/>
      <c r="N903" s="6"/>
      <c r="Q903" s="23"/>
      <c r="R903" s="23"/>
      <c r="AR903" s="23"/>
      <c r="AS903" s="23"/>
      <c r="AT903" s="23"/>
      <c r="AU903" s="23"/>
    </row>
    <row r="904" spans="8:47" x14ac:dyDescent="0.2">
      <c r="H904" s="23"/>
      <c r="N904" s="6"/>
      <c r="Q904" s="23"/>
      <c r="R904" s="23"/>
      <c r="AR904" s="23"/>
      <c r="AT904" s="23"/>
      <c r="AU904" s="23"/>
    </row>
    <row r="905" spans="8:47" x14ac:dyDescent="0.2">
      <c r="H905" s="23"/>
      <c r="N905" s="6"/>
      <c r="Q905" s="23"/>
      <c r="R905" s="23"/>
      <c r="AR905" s="23"/>
      <c r="AS905" s="23"/>
      <c r="AT905" s="23"/>
      <c r="AU905" s="23"/>
    </row>
    <row r="906" spans="8:47" x14ac:dyDescent="0.2">
      <c r="H906" s="23"/>
      <c r="N906" s="6"/>
      <c r="Q906" s="23"/>
      <c r="R906" s="23"/>
      <c r="AR906" s="23"/>
      <c r="AS906" s="23"/>
      <c r="AT906" s="23"/>
      <c r="AU906" s="23"/>
    </row>
    <row r="907" spans="8:47" x14ac:dyDescent="0.2">
      <c r="H907" s="23"/>
      <c r="N907" s="6"/>
      <c r="Q907" s="23"/>
      <c r="R907" s="23"/>
      <c r="AT907" s="23"/>
      <c r="AU907" s="23"/>
    </row>
    <row r="908" spans="8:47" x14ac:dyDescent="0.2">
      <c r="H908" s="23"/>
      <c r="N908" s="6"/>
      <c r="Q908" s="23"/>
      <c r="R908" s="23"/>
      <c r="AT908" s="23"/>
      <c r="AU908" s="24"/>
    </row>
    <row r="909" spans="8:47" x14ac:dyDescent="0.2">
      <c r="H909" s="23"/>
      <c r="N909" s="6"/>
      <c r="Q909" s="23"/>
      <c r="R909" s="23"/>
      <c r="AR909" s="23"/>
      <c r="AS909" s="23"/>
      <c r="AT909" s="23"/>
      <c r="AU909" s="23"/>
    </row>
    <row r="910" spans="8:47" x14ac:dyDescent="0.2">
      <c r="H910" s="23"/>
      <c r="N910" s="6"/>
      <c r="Q910" s="23"/>
      <c r="R910" s="23"/>
      <c r="AR910" s="23"/>
      <c r="AS910" s="23"/>
      <c r="AT910" s="23"/>
      <c r="AU910" s="23"/>
    </row>
    <row r="911" spans="8:47" x14ac:dyDescent="0.2">
      <c r="H911" s="23"/>
      <c r="N911" s="6"/>
      <c r="Q911" s="23"/>
      <c r="R911" s="23"/>
      <c r="AR911" s="23"/>
      <c r="AS911" s="23"/>
      <c r="AT911" s="23"/>
      <c r="AU911" s="23"/>
    </row>
    <row r="912" spans="8:47" x14ac:dyDescent="0.2">
      <c r="H912" s="23"/>
      <c r="N912" s="6"/>
      <c r="Q912" s="23"/>
      <c r="R912" s="23"/>
      <c r="AR912" s="23"/>
      <c r="AS912" s="23"/>
      <c r="AT912" s="23"/>
      <c r="AU912" s="23"/>
    </row>
    <row r="913" spans="8:47" x14ac:dyDescent="0.2">
      <c r="H913" s="23"/>
      <c r="N913" s="6"/>
      <c r="Q913" s="23"/>
      <c r="R913" s="23"/>
      <c r="AT913" s="23"/>
      <c r="AU913" s="24"/>
    </row>
    <row r="914" spans="8:47" x14ac:dyDescent="0.2">
      <c r="H914" s="23"/>
      <c r="N914" s="6"/>
      <c r="Q914" s="23"/>
      <c r="R914" s="23"/>
      <c r="AR914" s="23"/>
      <c r="AS914" s="23"/>
      <c r="AT914" s="23"/>
      <c r="AU914" s="23"/>
    </row>
    <row r="915" spans="8:47" x14ac:dyDescent="0.2">
      <c r="H915" s="23"/>
      <c r="N915" s="6"/>
      <c r="Q915" s="23"/>
      <c r="R915" s="23"/>
      <c r="AR915" s="23"/>
      <c r="AS915" s="23"/>
      <c r="AT915" s="23"/>
      <c r="AU915" s="23"/>
    </row>
    <row r="916" spans="8:47" x14ac:dyDescent="0.2">
      <c r="H916" s="23"/>
      <c r="N916" s="6"/>
      <c r="Q916" s="23"/>
      <c r="R916" s="23"/>
      <c r="AR916" s="23"/>
      <c r="AS916" s="23"/>
      <c r="AT916" s="23"/>
      <c r="AU916" s="23"/>
    </row>
    <row r="917" spans="8:47" x14ac:dyDescent="0.2">
      <c r="H917" s="23"/>
      <c r="N917" s="6"/>
      <c r="Q917" s="23"/>
      <c r="R917" s="23"/>
      <c r="AR917" s="23"/>
      <c r="AS917" s="23"/>
      <c r="AT917" s="23"/>
      <c r="AU917" s="23"/>
    </row>
    <row r="918" spans="8:47" x14ac:dyDescent="0.2">
      <c r="H918" s="23"/>
      <c r="N918" s="6"/>
      <c r="Q918" s="23"/>
      <c r="R918" s="23"/>
      <c r="AR918" s="23"/>
      <c r="AS918" s="23"/>
      <c r="AT918" s="23"/>
      <c r="AU918" s="23"/>
    </row>
    <row r="919" spans="8:47" x14ac:dyDescent="0.2">
      <c r="H919" s="23"/>
      <c r="N919" s="6"/>
      <c r="Q919" s="23"/>
      <c r="R919" s="23"/>
      <c r="AR919" s="23"/>
      <c r="AS919" s="23"/>
      <c r="AT919" s="23"/>
      <c r="AU919" s="23"/>
    </row>
    <row r="920" spans="8:47" x14ac:dyDescent="0.2">
      <c r="H920" s="23"/>
      <c r="N920" s="6"/>
      <c r="Q920" s="23"/>
      <c r="R920" s="23"/>
      <c r="AR920" s="23"/>
      <c r="AS920" s="23"/>
      <c r="AT920" s="23"/>
      <c r="AU920" s="23"/>
    </row>
    <row r="921" spans="8:47" x14ac:dyDescent="0.2">
      <c r="H921" s="23"/>
      <c r="N921" s="6"/>
      <c r="Q921" s="23"/>
      <c r="R921" s="23"/>
      <c r="AR921" s="23"/>
      <c r="AS921" s="23"/>
      <c r="AT921" s="23"/>
      <c r="AU921" s="23"/>
    </row>
    <row r="922" spans="8:47" x14ac:dyDescent="0.2">
      <c r="H922" s="23"/>
      <c r="N922" s="6"/>
      <c r="Q922" s="23"/>
      <c r="R922" s="23"/>
      <c r="AR922" s="23"/>
      <c r="AS922" s="23"/>
      <c r="AT922" s="23"/>
      <c r="AU922" s="23"/>
    </row>
    <row r="923" spans="8:47" x14ac:dyDescent="0.2">
      <c r="H923" s="23"/>
      <c r="N923" s="6"/>
      <c r="Q923" s="23"/>
      <c r="R923" s="23"/>
      <c r="AR923" s="23"/>
      <c r="AS923" s="23"/>
      <c r="AT923" s="23"/>
      <c r="AU923" s="23"/>
    </row>
    <row r="924" spans="8:47" x14ac:dyDescent="0.2">
      <c r="H924" s="23"/>
      <c r="N924" s="6"/>
      <c r="Q924" s="23"/>
      <c r="R924" s="23"/>
    </row>
    <row r="925" spans="8:47" x14ac:dyDescent="0.2">
      <c r="H925" s="23"/>
      <c r="N925" s="6"/>
      <c r="Q925" s="23"/>
      <c r="R925" s="23"/>
      <c r="AR925" s="23"/>
      <c r="AS925" s="23"/>
      <c r="AT925" s="23"/>
      <c r="AU925" s="23"/>
    </row>
    <row r="926" spans="8:47" x14ac:dyDescent="0.2">
      <c r="H926" s="23"/>
      <c r="N926" s="6"/>
      <c r="Q926" s="23"/>
      <c r="R926" s="23"/>
      <c r="AR926" s="23"/>
      <c r="AS926" s="23"/>
      <c r="AT926" s="23"/>
      <c r="AU926" s="23"/>
    </row>
    <row r="927" spans="8:47" x14ac:dyDescent="0.2">
      <c r="H927" s="23"/>
      <c r="N927" s="6"/>
      <c r="Q927" s="23"/>
      <c r="R927" s="23"/>
      <c r="AR927" s="23"/>
      <c r="AT927" s="23"/>
      <c r="AU927" s="23"/>
    </row>
    <row r="928" spans="8:47" x14ac:dyDescent="0.2">
      <c r="H928" s="23"/>
      <c r="N928" s="6"/>
      <c r="Q928" s="23"/>
      <c r="R928" s="23"/>
      <c r="AR928" s="23"/>
      <c r="AS928" s="23"/>
      <c r="AT928" s="23"/>
      <c r="AU928" s="23"/>
    </row>
    <row r="929" spans="8:47" x14ac:dyDescent="0.2">
      <c r="H929" s="23"/>
      <c r="N929" s="6"/>
      <c r="Q929" s="23"/>
      <c r="R929" s="23"/>
      <c r="AR929" s="23"/>
      <c r="AS929" s="23"/>
      <c r="AT929" s="23"/>
      <c r="AU929" s="23"/>
    </row>
    <row r="930" spans="8:47" x14ac:dyDescent="0.2">
      <c r="H930" s="23"/>
      <c r="N930" s="6"/>
      <c r="Q930" s="23"/>
      <c r="R930" s="23"/>
      <c r="AT930" s="23"/>
      <c r="AU930" s="24"/>
    </row>
    <row r="931" spans="8:47" x14ac:dyDescent="0.2">
      <c r="H931" s="23"/>
      <c r="N931" s="6"/>
      <c r="Q931" s="23"/>
      <c r="R931" s="23"/>
      <c r="AR931" s="23"/>
      <c r="AS931" s="23"/>
      <c r="AT931" s="23"/>
      <c r="AU931" s="23"/>
    </row>
    <row r="932" spans="8:47" x14ac:dyDescent="0.2">
      <c r="H932" s="23"/>
      <c r="N932" s="6"/>
      <c r="Q932" s="23"/>
      <c r="R932" s="23"/>
      <c r="AR932" s="23"/>
      <c r="AS932" s="23"/>
      <c r="AT932" s="23"/>
      <c r="AU932" s="23"/>
    </row>
    <row r="933" spans="8:47" x14ac:dyDescent="0.2">
      <c r="H933" s="23"/>
      <c r="N933" s="6"/>
      <c r="Q933" s="23"/>
      <c r="R933" s="23"/>
      <c r="AR933" s="23"/>
      <c r="AS933" s="23"/>
      <c r="AT933" s="23"/>
      <c r="AU933" s="23"/>
    </row>
    <row r="934" spans="8:47" x14ac:dyDescent="0.2">
      <c r="H934" s="23"/>
      <c r="N934" s="6"/>
      <c r="Q934" s="23"/>
      <c r="R934" s="23"/>
      <c r="AR934" s="23"/>
      <c r="AS934" s="23"/>
      <c r="AT934" s="23"/>
      <c r="AU934" s="23"/>
    </row>
    <row r="935" spans="8:47" x14ac:dyDescent="0.2">
      <c r="H935" s="23"/>
      <c r="N935" s="6"/>
      <c r="Q935" s="23"/>
      <c r="R935" s="23"/>
      <c r="AR935" s="23"/>
      <c r="AS935" s="23"/>
      <c r="AT935" s="23"/>
      <c r="AU935" s="23"/>
    </row>
    <row r="936" spans="8:47" x14ac:dyDescent="0.2">
      <c r="H936" s="23"/>
      <c r="N936" s="6"/>
      <c r="Q936" s="23"/>
      <c r="R936" s="23"/>
    </row>
    <row r="937" spans="8:47" x14ac:dyDescent="0.2">
      <c r="H937" s="23"/>
      <c r="N937" s="6"/>
      <c r="Q937" s="23"/>
      <c r="R937" s="23"/>
      <c r="AR937" s="23"/>
      <c r="AS937" s="23"/>
      <c r="AT937" s="23"/>
      <c r="AU937" s="23"/>
    </row>
    <row r="938" spans="8:47" x14ac:dyDescent="0.2">
      <c r="H938" s="23"/>
      <c r="N938" s="6"/>
      <c r="Q938" s="23"/>
      <c r="R938" s="23"/>
      <c r="AR938" s="23"/>
      <c r="AS938" s="23"/>
      <c r="AT938" s="23"/>
      <c r="AU938" s="23"/>
    </row>
    <row r="939" spans="8:47" x14ac:dyDescent="0.2">
      <c r="H939" s="23"/>
      <c r="N939" s="6"/>
      <c r="Q939" s="23"/>
      <c r="R939" s="23"/>
      <c r="AR939" s="23"/>
      <c r="AS939" s="23"/>
      <c r="AT939" s="23"/>
      <c r="AU939" s="23"/>
    </row>
    <row r="940" spans="8:47" x14ac:dyDescent="0.2">
      <c r="H940" s="23"/>
      <c r="N940" s="6"/>
      <c r="Q940" s="23"/>
      <c r="R940" s="23"/>
      <c r="AR940" s="23"/>
      <c r="AS940" s="23"/>
      <c r="AT940" s="23"/>
      <c r="AU940" s="23"/>
    </row>
    <row r="941" spans="8:47" x14ac:dyDescent="0.2">
      <c r="H941" s="23"/>
      <c r="N941" s="6"/>
      <c r="Q941" s="23"/>
      <c r="R941" s="23"/>
      <c r="AR941" s="23"/>
      <c r="AS941" s="23"/>
      <c r="AT941" s="23"/>
      <c r="AU941" s="23"/>
    </row>
    <row r="942" spans="8:47" x14ac:dyDescent="0.2">
      <c r="H942" s="23"/>
      <c r="N942" s="6"/>
      <c r="Q942" s="23"/>
      <c r="R942" s="23"/>
      <c r="AR942" s="23"/>
      <c r="AS942" s="23"/>
      <c r="AT942" s="23"/>
      <c r="AU942" s="23"/>
    </row>
    <row r="943" spans="8:47" x14ac:dyDescent="0.2">
      <c r="H943" s="23"/>
      <c r="N943" s="6"/>
      <c r="Q943" s="23"/>
      <c r="R943" s="23"/>
      <c r="AR943" s="23"/>
      <c r="AS943" s="23"/>
      <c r="AT943" s="23"/>
      <c r="AU943" s="23"/>
    </row>
    <row r="944" spans="8:47" x14ac:dyDescent="0.2">
      <c r="H944" s="23"/>
      <c r="N944" s="6"/>
      <c r="Q944" s="23"/>
      <c r="R944" s="23"/>
      <c r="AR944" s="23"/>
      <c r="AS944" s="23"/>
      <c r="AT944" s="23"/>
      <c r="AU944" s="23"/>
    </row>
    <row r="945" spans="8:47" x14ac:dyDescent="0.2">
      <c r="H945" s="23"/>
      <c r="N945" s="6"/>
      <c r="Q945" s="23"/>
      <c r="R945" s="23"/>
      <c r="AR945" s="23"/>
      <c r="AS945" s="23"/>
      <c r="AT945" s="23"/>
      <c r="AU945" s="23"/>
    </row>
    <row r="946" spans="8:47" x14ac:dyDescent="0.2">
      <c r="H946" s="23"/>
      <c r="N946" s="6"/>
      <c r="Q946" s="23"/>
      <c r="R946" s="23"/>
      <c r="AR946" s="23"/>
      <c r="AS946" s="23"/>
      <c r="AT946" s="23"/>
      <c r="AU946" s="23"/>
    </row>
    <row r="947" spans="8:47" x14ac:dyDescent="0.2">
      <c r="H947" s="23"/>
      <c r="N947" s="6"/>
      <c r="Q947" s="23"/>
      <c r="R947" s="23"/>
      <c r="AR947" s="23"/>
      <c r="AS947" s="23"/>
      <c r="AT947" s="23"/>
      <c r="AU947" s="23"/>
    </row>
    <row r="948" spans="8:47" x14ac:dyDescent="0.2">
      <c r="H948" s="23"/>
      <c r="N948" s="6"/>
      <c r="Q948" s="23"/>
      <c r="R948" s="23"/>
      <c r="AR948" s="23"/>
      <c r="AS948" s="23"/>
      <c r="AT948" s="23"/>
      <c r="AU948" s="23"/>
    </row>
    <row r="949" spans="8:47" x14ac:dyDescent="0.2">
      <c r="H949" s="23"/>
      <c r="N949" s="6"/>
      <c r="Q949" s="23"/>
      <c r="R949" s="23"/>
      <c r="AR949" s="23"/>
      <c r="AS949" s="23"/>
      <c r="AT949" s="23"/>
      <c r="AU949" s="23"/>
    </row>
    <row r="950" spans="8:47" x14ac:dyDescent="0.2">
      <c r="H950" s="23"/>
      <c r="N950" s="6"/>
      <c r="Q950" s="23"/>
      <c r="R950" s="23"/>
      <c r="AR950" s="23"/>
      <c r="AS950" s="23"/>
      <c r="AT950" s="23"/>
      <c r="AU950" s="23"/>
    </row>
    <row r="951" spans="8:47" x14ac:dyDescent="0.2">
      <c r="H951" s="23"/>
      <c r="N951" s="6"/>
      <c r="Q951" s="23"/>
      <c r="R951" s="23"/>
      <c r="AR951" s="23"/>
      <c r="AS951" s="23"/>
      <c r="AT951" s="23"/>
      <c r="AU951" s="23"/>
    </row>
    <row r="952" spans="8:47" x14ac:dyDescent="0.2">
      <c r="H952" s="23"/>
      <c r="N952" s="6"/>
      <c r="Q952" s="23"/>
      <c r="R952" s="23"/>
      <c r="AR952" s="23"/>
      <c r="AS952" s="23"/>
      <c r="AT952" s="23"/>
      <c r="AU952" s="23"/>
    </row>
    <row r="953" spans="8:47" x14ac:dyDescent="0.2">
      <c r="H953" s="23"/>
      <c r="N953" s="6"/>
      <c r="Q953" s="23"/>
      <c r="R953" s="23"/>
      <c r="AR953" s="23"/>
      <c r="AT953" s="23"/>
      <c r="AU953" s="23"/>
    </row>
    <row r="954" spans="8:47" x14ac:dyDescent="0.2">
      <c r="H954" s="23"/>
      <c r="N954" s="6"/>
      <c r="Q954" s="23"/>
      <c r="R954" s="23"/>
      <c r="AR954" s="23"/>
      <c r="AS954" s="23"/>
      <c r="AT954" s="23"/>
      <c r="AU954" s="23"/>
    </row>
    <row r="955" spans="8:47" x14ac:dyDescent="0.2">
      <c r="H955" s="23"/>
      <c r="N955" s="6"/>
      <c r="Q955" s="23"/>
      <c r="R955" s="23"/>
      <c r="AR955" s="23"/>
      <c r="AS955" s="23"/>
      <c r="AT955" s="23"/>
      <c r="AU955" s="23"/>
    </row>
    <row r="956" spans="8:47" x14ac:dyDescent="0.2">
      <c r="H956" s="23"/>
      <c r="N956" s="6"/>
      <c r="Q956" s="23"/>
      <c r="R956" s="23"/>
      <c r="AR956" s="23"/>
      <c r="AS956" s="23"/>
      <c r="AT956" s="23"/>
      <c r="AU956" s="23"/>
    </row>
    <row r="957" spans="8:47" x14ac:dyDescent="0.2">
      <c r="H957" s="23"/>
      <c r="N957" s="6"/>
      <c r="Q957" s="23"/>
      <c r="R957" s="23"/>
      <c r="AS957" s="23"/>
      <c r="AT957" s="23"/>
    </row>
    <row r="958" spans="8:47" x14ac:dyDescent="0.2">
      <c r="H958" s="23"/>
      <c r="N958" s="6"/>
      <c r="Q958" s="23"/>
      <c r="R958" s="23"/>
      <c r="AR958" s="23"/>
      <c r="AS958" s="23"/>
      <c r="AT958" s="23"/>
      <c r="AU958" s="23"/>
    </row>
    <row r="959" spans="8:47" x14ac:dyDescent="0.2">
      <c r="H959" s="23"/>
      <c r="N959" s="6"/>
      <c r="Q959" s="23"/>
      <c r="R959" s="23"/>
      <c r="AR959" s="23"/>
      <c r="AS959" s="23"/>
      <c r="AT959" s="23"/>
      <c r="AU959" s="23"/>
    </row>
    <row r="960" spans="8:47" x14ac:dyDescent="0.2">
      <c r="H960" s="23"/>
      <c r="N960" s="6"/>
      <c r="Q960" s="23"/>
      <c r="R960" s="23"/>
      <c r="AR960" s="23"/>
      <c r="AS960" s="23"/>
      <c r="AT960" s="23"/>
      <c r="AU960" s="23"/>
    </row>
    <row r="961" spans="8:47" x14ac:dyDescent="0.2">
      <c r="H961" s="23"/>
      <c r="N961" s="6"/>
      <c r="Q961" s="23"/>
      <c r="R961" s="23"/>
      <c r="AR961" s="23"/>
      <c r="AS961" s="23"/>
      <c r="AT961" s="23"/>
      <c r="AU961" s="23"/>
    </row>
    <row r="962" spans="8:47" x14ac:dyDescent="0.2">
      <c r="H962" s="23"/>
      <c r="N962" s="6"/>
      <c r="Q962" s="23"/>
      <c r="R962" s="23"/>
      <c r="AR962" s="23"/>
      <c r="AS962" s="23"/>
      <c r="AT962" s="23"/>
      <c r="AU962" s="23"/>
    </row>
    <row r="963" spans="8:47" x14ac:dyDescent="0.2">
      <c r="H963" s="23"/>
      <c r="N963" s="6"/>
      <c r="Q963" s="23"/>
      <c r="R963" s="23"/>
      <c r="AT963" s="23"/>
      <c r="AU963" s="24"/>
    </row>
    <row r="964" spans="8:47" x14ac:dyDescent="0.2">
      <c r="H964" s="23"/>
      <c r="N964" s="6"/>
      <c r="Q964" s="23"/>
      <c r="R964" s="23"/>
      <c r="AR964" s="23"/>
      <c r="AS964" s="23"/>
      <c r="AT964" s="23"/>
      <c r="AU964" s="23"/>
    </row>
    <row r="965" spans="8:47" x14ac:dyDescent="0.2">
      <c r="H965" s="23"/>
      <c r="N965" s="6"/>
      <c r="Q965" s="23"/>
      <c r="R965" s="23"/>
      <c r="AR965" s="23"/>
      <c r="AS965" s="23"/>
      <c r="AT965" s="23"/>
      <c r="AU965" s="23"/>
    </row>
    <row r="966" spans="8:47" x14ac:dyDescent="0.2">
      <c r="H966" s="23"/>
      <c r="N966" s="6"/>
      <c r="Q966" s="23"/>
      <c r="R966" s="23"/>
      <c r="AR966" s="23"/>
      <c r="AS966" s="23"/>
      <c r="AT966" s="23"/>
      <c r="AU966" s="23"/>
    </row>
    <row r="967" spans="8:47" x14ac:dyDescent="0.2">
      <c r="H967" s="23"/>
      <c r="N967" s="6"/>
      <c r="Q967" s="23"/>
      <c r="R967" s="23"/>
      <c r="AR967" s="23"/>
      <c r="AS967" s="23"/>
      <c r="AT967" s="23"/>
      <c r="AU967" s="23"/>
    </row>
    <row r="968" spans="8:47" x14ac:dyDescent="0.2">
      <c r="H968" s="23"/>
      <c r="N968" s="6"/>
      <c r="Q968" s="23"/>
      <c r="R968" s="23"/>
      <c r="AR968" s="23"/>
      <c r="AS968" s="23"/>
      <c r="AT968" s="23"/>
      <c r="AU968" s="23"/>
    </row>
    <row r="969" spans="8:47" x14ac:dyDescent="0.2">
      <c r="H969" s="23"/>
      <c r="N969" s="6"/>
      <c r="Q969" s="23"/>
      <c r="R969" s="23"/>
      <c r="AR969" s="23"/>
      <c r="AS969" s="23"/>
      <c r="AT969" s="23"/>
      <c r="AU969" s="23"/>
    </row>
    <row r="970" spans="8:47" x14ac:dyDescent="0.2">
      <c r="H970" s="23"/>
      <c r="N970" s="6"/>
      <c r="Q970" s="23"/>
      <c r="R970" s="23"/>
      <c r="AR970" s="23"/>
      <c r="AS970" s="23"/>
      <c r="AT970" s="23"/>
      <c r="AU970" s="23"/>
    </row>
    <row r="971" spans="8:47" x14ac:dyDescent="0.2">
      <c r="H971" s="23"/>
      <c r="N971" s="6"/>
      <c r="Q971" s="23"/>
      <c r="R971" s="23"/>
      <c r="AR971" s="23"/>
      <c r="AS971" s="23"/>
      <c r="AT971" s="23"/>
      <c r="AU971" s="23"/>
    </row>
    <row r="972" spans="8:47" x14ac:dyDescent="0.2">
      <c r="H972" s="23"/>
      <c r="N972" s="6"/>
      <c r="Q972" s="23"/>
      <c r="R972" s="23"/>
      <c r="AR972" s="23"/>
      <c r="AS972" s="23"/>
      <c r="AT972" s="23"/>
      <c r="AU972" s="23"/>
    </row>
    <row r="973" spans="8:47" x14ac:dyDescent="0.2">
      <c r="H973" s="23"/>
      <c r="N973" s="6"/>
      <c r="Q973" s="23"/>
      <c r="R973" s="23"/>
      <c r="AR973" s="23"/>
      <c r="AS973" s="23"/>
      <c r="AT973" s="23"/>
      <c r="AU973" s="23"/>
    </row>
    <row r="974" spans="8:47" x14ac:dyDescent="0.2">
      <c r="H974" s="23"/>
      <c r="N974" s="6"/>
      <c r="Q974" s="23"/>
      <c r="R974" s="23"/>
      <c r="AR974" s="23"/>
      <c r="AS974" s="23"/>
      <c r="AT974" s="23"/>
      <c r="AU974" s="23"/>
    </row>
    <row r="975" spans="8:47" x14ac:dyDescent="0.2">
      <c r="H975" s="23"/>
      <c r="N975" s="6"/>
      <c r="Q975" s="23"/>
      <c r="R975" s="23"/>
      <c r="AR975" s="23"/>
      <c r="AS975" s="23"/>
      <c r="AT975" s="23"/>
      <c r="AU975" s="23"/>
    </row>
    <row r="976" spans="8:47" x14ac:dyDescent="0.2">
      <c r="H976" s="23"/>
      <c r="N976" s="6"/>
      <c r="Q976" s="23"/>
      <c r="R976" s="23"/>
      <c r="AR976" s="23"/>
      <c r="AS976" s="23"/>
      <c r="AT976" s="23"/>
    </row>
    <row r="977" spans="8:47" x14ac:dyDescent="0.2">
      <c r="H977" s="23"/>
      <c r="N977" s="6"/>
      <c r="Q977" s="23"/>
      <c r="R977" s="23"/>
      <c r="AR977" s="23"/>
      <c r="AS977" s="23"/>
      <c r="AT977" s="23"/>
      <c r="AU977" s="23"/>
    </row>
    <row r="978" spans="8:47" x14ac:dyDescent="0.2">
      <c r="H978" s="23"/>
      <c r="N978" s="6"/>
      <c r="Q978" s="23"/>
      <c r="R978" s="23"/>
      <c r="AR978" s="23"/>
      <c r="AS978" s="23"/>
      <c r="AT978" s="23"/>
      <c r="AU978" s="23"/>
    </row>
    <row r="979" spans="8:47" x14ac:dyDescent="0.2">
      <c r="H979" s="23"/>
      <c r="N979" s="6"/>
      <c r="Q979" s="23"/>
      <c r="R979" s="23"/>
      <c r="AR979" s="23"/>
      <c r="AS979" s="23"/>
      <c r="AT979" s="23"/>
      <c r="AU979" s="23"/>
    </row>
    <row r="980" spans="8:47" x14ac:dyDescent="0.2">
      <c r="H980" s="23"/>
      <c r="N980" s="6"/>
      <c r="Q980" s="23"/>
      <c r="R980" s="23"/>
      <c r="AR980" s="23"/>
      <c r="AS980" s="23"/>
      <c r="AT980" s="23"/>
      <c r="AU980" s="23"/>
    </row>
    <row r="981" spans="8:47" x14ac:dyDescent="0.2">
      <c r="H981" s="23"/>
      <c r="N981" s="6"/>
      <c r="Q981" s="23"/>
      <c r="R981" s="23"/>
      <c r="AT981" s="23"/>
      <c r="AU981" s="24"/>
    </row>
    <row r="982" spans="8:47" x14ac:dyDescent="0.2">
      <c r="H982" s="23"/>
      <c r="N982" s="6"/>
      <c r="Q982" s="23"/>
      <c r="R982" s="23"/>
      <c r="AR982" s="23"/>
      <c r="AS982" s="23"/>
      <c r="AT982" s="23"/>
      <c r="AU982" s="23"/>
    </row>
    <row r="983" spans="8:47" x14ac:dyDescent="0.2">
      <c r="H983" s="23"/>
      <c r="N983" s="6"/>
      <c r="Q983" s="23"/>
      <c r="R983" s="23"/>
      <c r="AR983" s="23"/>
      <c r="AS983" s="23"/>
      <c r="AT983" s="23"/>
      <c r="AU983" s="23"/>
    </row>
    <row r="984" spans="8:47" x14ac:dyDescent="0.2">
      <c r="H984" s="23"/>
      <c r="N984" s="6"/>
      <c r="Q984" s="23"/>
      <c r="R984" s="23"/>
      <c r="AR984" s="23"/>
      <c r="AS984" s="23"/>
      <c r="AT984" s="23"/>
      <c r="AU984" s="23"/>
    </row>
    <row r="985" spans="8:47" x14ac:dyDescent="0.2">
      <c r="H985" s="23"/>
      <c r="N985" s="6"/>
      <c r="Q985" s="23"/>
      <c r="R985" s="23"/>
      <c r="AR985" s="23"/>
      <c r="AS985" s="23"/>
      <c r="AT985" s="23"/>
      <c r="AU985" s="23"/>
    </row>
    <row r="986" spans="8:47" x14ac:dyDescent="0.2">
      <c r="H986" s="23"/>
      <c r="N986" s="6"/>
      <c r="Q986" s="23"/>
      <c r="R986" s="23"/>
      <c r="AR986" s="23"/>
      <c r="AS986" s="23"/>
      <c r="AT986" s="23"/>
      <c r="AU986" s="23"/>
    </row>
    <row r="987" spans="8:47" x14ac:dyDescent="0.2">
      <c r="H987" s="23"/>
      <c r="N987" s="6"/>
      <c r="Q987" s="23"/>
      <c r="R987" s="23"/>
      <c r="AR987" s="23"/>
      <c r="AS987" s="23"/>
      <c r="AT987" s="23"/>
      <c r="AU987" s="23"/>
    </row>
    <row r="988" spans="8:47" x14ac:dyDescent="0.2">
      <c r="H988" s="23"/>
      <c r="N988" s="6"/>
      <c r="Q988" s="23"/>
      <c r="R988" s="23"/>
      <c r="AR988" s="23"/>
      <c r="AS988" s="23"/>
      <c r="AT988" s="23"/>
      <c r="AU988" s="23"/>
    </row>
    <row r="989" spans="8:47" x14ac:dyDescent="0.2">
      <c r="H989" s="23"/>
      <c r="N989" s="6"/>
      <c r="Q989" s="23"/>
      <c r="R989" s="23"/>
      <c r="AR989" s="23"/>
      <c r="AS989" s="23"/>
      <c r="AT989" s="23"/>
      <c r="AU989" s="23"/>
    </row>
    <row r="990" spans="8:47" x14ac:dyDescent="0.2">
      <c r="H990" s="23"/>
      <c r="N990" s="6"/>
      <c r="Q990" s="23"/>
      <c r="R990" s="23"/>
      <c r="AR990" s="23"/>
      <c r="AS990" s="23"/>
      <c r="AT990" s="23"/>
      <c r="AU990" s="23"/>
    </row>
    <row r="991" spans="8:47" x14ac:dyDescent="0.2">
      <c r="H991" s="23"/>
      <c r="N991" s="6"/>
      <c r="Q991" s="23"/>
      <c r="R991" s="23"/>
      <c r="AR991" s="23"/>
      <c r="AS991" s="23"/>
      <c r="AT991" s="23"/>
      <c r="AU991" s="23"/>
    </row>
    <row r="992" spans="8:47" x14ac:dyDescent="0.2">
      <c r="H992" s="23"/>
      <c r="N992" s="6"/>
      <c r="Q992" s="23"/>
      <c r="R992" s="23"/>
      <c r="AT992" s="23"/>
      <c r="AU992" s="24"/>
    </row>
    <row r="993" spans="8:47" x14ac:dyDescent="0.2">
      <c r="H993" s="23"/>
      <c r="N993" s="6"/>
      <c r="Q993" s="23"/>
      <c r="R993" s="23"/>
      <c r="AR993" s="23"/>
      <c r="AT993" s="23"/>
      <c r="AU993" s="23"/>
    </row>
    <row r="994" spans="8:47" x14ac:dyDescent="0.2">
      <c r="H994" s="23"/>
      <c r="N994" s="6"/>
      <c r="Q994" s="23"/>
      <c r="R994" s="23"/>
      <c r="AR994" s="23"/>
      <c r="AS994" s="23"/>
      <c r="AT994" s="23"/>
    </row>
    <row r="995" spans="8:47" x14ac:dyDescent="0.2">
      <c r="H995" s="23"/>
      <c r="N995" s="6"/>
      <c r="Q995" s="23"/>
      <c r="R995" s="23"/>
      <c r="AR995" s="23"/>
      <c r="AS995" s="23"/>
      <c r="AT995" s="23"/>
      <c r="AU995" s="23"/>
    </row>
    <row r="996" spans="8:47" x14ac:dyDescent="0.2">
      <c r="H996" s="23"/>
      <c r="N996" s="6"/>
      <c r="Q996" s="23"/>
      <c r="R996" s="23"/>
      <c r="AR996" s="23"/>
      <c r="AS996" s="23"/>
      <c r="AT996" s="23"/>
      <c r="AU996" s="23"/>
    </row>
    <row r="997" spans="8:47" x14ac:dyDescent="0.2">
      <c r="H997" s="23"/>
      <c r="N997" s="6"/>
      <c r="Q997" s="23"/>
      <c r="R997" s="23"/>
      <c r="AR997" s="23"/>
      <c r="AS997" s="23"/>
      <c r="AT997" s="23"/>
      <c r="AU997" s="23"/>
    </row>
    <row r="998" spans="8:47" x14ac:dyDescent="0.2">
      <c r="H998" s="23"/>
      <c r="N998" s="6"/>
      <c r="Q998" s="23"/>
      <c r="R998" s="23"/>
      <c r="AR998" s="23"/>
      <c r="AS998" s="23"/>
      <c r="AT998" s="23"/>
      <c r="AU998" s="23"/>
    </row>
    <row r="999" spans="8:47" x14ac:dyDescent="0.2">
      <c r="H999" s="23"/>
      <c r="N999" s="6"/>
      <c r="Q999" s="23"/>
      <c r="R999" s="23"/>
      <c r="AR999" s="23"/>
      <c r="AS999" s="23"/>
      <c r="AT999" s="23"/>
      <c r="AU999" s="23"/>
    </row>
    <row r="1000" spans="8:47" x14ac:dyDescent="0.2">
      <c r="H1000" s="23"/>
      <c r="N1000" s="6"/>
      <c r="Q1000" s="23"/>
      <c r="R1000" s="23"/>
      <c r="AR1000" s="23"/>
      <c r="AS1000" s="23"/>
      <c r="AT1000" s="23"/>
      <c r="AU1000" s="23"/>
    </row>
    <row r="1001" spans="8:47" x14ac:dyDescent="0.2">
      <c r="H1001" s="23"/>
      <c r="N1001" s="6"/>
      <c r="Q1001" s="23"/>
      <c r="R1001" s="23"/>
      <c r="AR1001" s="23"/>
      <c r="AS1001" s="23"/>
      <c r="AT1001" s="23"/>
      <c r="AU1001" s="23"/>
    </row>
    <row r="1002" spans="8:47" x14ac:dyDescent="0.2">
      <c r="H1002" s="23"/>
      <c r="N1002" s="6"/>
      <c r="Q1002" s="23"/>
      <c r="R1002" s="23"/>
      <c r="AR1002" s="23"/>
      <c r="AS1002" s="23"/>
      <c r="AT1002" s="23"/>
      <c r="AU1002" s="23"/>
    </row>
    <row r="1003" spans="8:47" x14ac:dyDescent="0.2">
      <c r="H1003" s="23"/>
      <c r="N1003" s="6"/>
      <c r="Q1003" s="23"/>
      <c r="R1003" s="23"/>
      <c r="AR1003" s="23"/>
      <c r="AS1003" s="23"/>
      <c r="AT1003" s="23"/>
      <c r="AU1003" s="23"/>
    </row>
    <row r="1004" spans="8:47" x14ac:dyDescent="0.2">
      <c r="H1004" s="23"/>
      <c r="N1004" s="6"/>
      <c r="Q1004" s="23"/>
      <c r="R1004" s="23"/>
      <c r="AT1004" s="23"/>
      <c r="AU1004" s="24"/>
    </row>
    <row r="1005" spans="8:47" x14ac:dyDescent="0.2">
      <c r="H1005" s="23"/>
      <c r="N1005" s="6"/>
      <c r="Q1005" s="23"/>
      <c r="R1005" s="23"/>
    </row>
    <row r="1006" spans="8:47" x14ac:dyDescent="0.2">
      <c r="H1006" s="23"/>
      <c r="N1006" s="6"/>
      <c r="Q1006" s="23"/>
      <c r="R1006" s="23"/>
      <c r="AR1006" s="23"/>
      <c r="AS1006" s="23"/>
      <c r="AT1006" s="23"/>
      <c r="AU1006" s="23"/>
    </row>
    <row r="1007" spans="8:47" x14ac:dyDescent="0.2">
      <c r="H1007" s="23"/>
      <c r="N1007" s="6"/>
      <c r="Q1007" s="23"/>
      <c r="R1007" s="23"/>
      <c r="AR1007" s="23"/>
      <c r="AT1007" s="23"/>
      <c r="AU1007" s="23"/>
    </row>
    <row r="1008" spans="8:47" x14ac:dyDescent="0.2">
      <c r="H1008" s="23"/>
      <c r="N1008" s="6"/>
      <c r="Q1008" s="23"/>
      <c r="R1008" s="23"/>
      <c r="AR1008" s="23"/>
      <c r="AS1008" s="23"/>
      <c r="AT1008" s="23"/>
      <c r="AU1008" s="23"/>
    </row>
    <row r="1009" spans="8:47" x14ac:dyDescent="0.2">
      <c r="H1009" s="23"/>
      <c r="N1009" s="6"/>
      <c r="Q1009" s="23"/>
      <c r="R1009" s="23"/>
      <c r="AR1009" s="23"/>
      <c r="AS1009" s="23"/>
      <c r="AT1009" s="23"/>
      <c r="AU1009" s="23"/>
    </row>
    <row r="1010" spans="8:47" x14ac:dyDescent="0.2">
      <c r="H1010" s="23"/>
      <c r="N1010" s="6"/>
      <c r="Q1010" s="23"/>
      <c r="R1010" s="23"/>
      <c r="AR1010" s="23"/>
      <c r="AS1010" s="23"/>
      <c r="AT1010" s="23"/>
      <c r="AU1010" s="23"/>
    </row>
    <row r="1011" spans="8:47" x14ac:dyDescent="0.2">
      <c r="H1011" s="23"/>
      <c r="N1011" s="6"/>
      <c r="Q1011" s="23"/>
      <c r="R1011" s="23"/>
      <c r="AR1011" s="23"/>
      <c r="AS1011" s="23"/>
      <c r="AT1011" s="23"/>
      <c r="AU1011" s="23"/>
    </row>
    <row r="1012" spans="8:47" x14ac:dyDescent="0.2">
      <c r="H1012" s="23"/>
      <c r="N1012" s="6"/>
      <c r="Q1012" s="23"/>
      <c r="R1012" s="23"/>
      <c r="AR1012" s="23"/>
      <c r="AS1012" s="23"/>
      <c r="AT1012" s="23"/>
      <c r="AU1012" s="23"/>
    </row>
    <row r="1013" spans="8:47" x14ac:dyDescent="0.2">
      <c r="H1013" s="23"/>
      <c r="N1013" s="6"/>
      <c r="Q1013" s="23"/>
      <c r="R1013" s="23"/>
      <c r="AR1013" s="23"/>
      <c r="AS1013" s="23"/>
      <c r="AT1013" s="23"/>
      <c r="AU1013" s="23"/>
    </row>
    <row r="1014" spans="8:47" x14ac:dyDescent="0.2">
      <c r="H1014" s="23"/>
      <c r="N1014" s="6"/>
      <c r="Q1014" s="23"/>
      <c r="R1014" s="23"/>
      <c r="AR1014" s="23"/>
      <c r="AS1014" s="23"/>
      <c r="AT1014" s="23"/>
      <c r="AU1014" s="23"/>
    </row>
    <row r="1015" spans="8:47" x14ac:dyDescent="0.2">
      <c r="H1015" s="23"/>
      <c r="N1015" s="6"/>
      <c r="Q1015" s="23"/>
      <c r="R1015" s="23"/>
      <c r="AR1015" s="23"/>
      <c r="AS1015" s="23"/>
      <c r="AT1015" s="23"/>
      <c r="AU1015" s="23"/>
    </row>
    <row r="1016" spans="8:47" x14ac:dyDescent="0.2">
      <c r="H1016" s="23"/>
      <c r="N1016" s="6"/>
      <c r="Q1016" s="23"/>
      <c r="R1016" s="23"/>
      <c r="AR1016" s="23"/>
      <c r="AS1016" s="23"/>
      <c r="AT1016" s="23"/>
      <c r="AU1016" s="23"/>
    </row>
    <row r="1017" spans="8:47" x14ac:dyDescent="0.2">
      <c r="H1017" s="23"/>
      <c r="N1017" s="6"/>
      <c r="Q1017" s="23"/>
      <c r="R1017" s="23"/>
      <c r="AR1017" s="23"/>
      <c r="AS1017" s="23"/>
      <c r="AT1017" s="23"/>
      <c r="AU1017" s="23"/>
    </row>
    <row r="1018" spans="8:47" x14ac:dyDescent="0.2">
      <c r="H1018" s="23"/>
      <c r="N1018" s="6"/>
      <c r="Q1018" s="23"/>
      <c r="R1018" s="23"/>
      <c r="AT1018" s="23"/>
      <c r="AU1018" s="24"/>
    </row>
    <row r="1019" spans="8:47" x14ac:dyDescent="0.2">
      <c r="H1019" s="23"/>
      <c r="N1019" s="6"/>
      <c r="Q1019" s="23"/>
      <c r="R1019" s="23"/>
      <c r="AR1019" s="23"/>
      <c r="AS1019" s="23"/>
      <c r="AT1019" s="23"/>
      <c r="AU1019" s="23"/>
    </row>
    <row r="1020" spans="8:47" x14ac:dyDescent="0.2">
      <c r="H1020" s="23"/>
      <c r="N1020" s="6"/>
      <c r="Q1020" s="23"/>
      <c r="R1020" s="23"/>
      <c r="AR1020" s="23"/>
      <c r="AS1020" s="23"/>
      <c r="AT1020" s="23"/>
      <c r="AU1020" s="23"/>
    </row>
    <row r="1021" spans="8:47" x14ac:dyDescent="0.2">
      <c r="H1021" s="23"/>
      <c r="N1021" s="6"/>
      <c r="Q1021" s="23"/>
      <c r="R1021" s="23"/>
      <c r="AR1021" s="23"/>
      <c r="AT1021" s="23"/>
      <c r="AU1021" s="23"/>
    </row>
    <row r="1022" spans="8:47" x14ac:dyDescent="0.2">
      <c r="H1022" s="23"/>
      <c r="N1022" s="6"/>
      <c r="Q1022" s="23"/>
      <c r="R1022" s="23"/>
      <c r="AR1022" s="23"/>
      <c r="AS1022" s="23"/>
      <c r="AT1022" s="23"/>
      <c r="AU1022" s="23"/>
    </row>
    <row r="1023" spans="8:47" x14ac:dyDescent="0.2">
      <c r="H1023" s="23"/>
      <c r="N1023" s="6"/>
      <c r="Q1023" s="23"/>
      <c r="R1023" s="23"/>
      <c r="AR1023" s="23"/>
      <c r="AS1023" s="23"/>
      <c r="AT1023" s="23"/>
      <c r="AU1023" s="23"/>
    </row>
    <row r="1024" spans="8:47" x14ac:dyDescent="0.2">
      <c r="H1024" s="23"/>
      <c r="N1024" s="6"/>
      <c r="Q1024" s="23"/>
      <c r="R1024" s="23"/>
      <c r="AR1024" s="23"/>
      <c r="AS1024" s="23"/>
      <c r="AT1024" s="23"/>
      <c r="AU1024" s="23"/>
    </row>
    <row r="1025" spans="8:47" x14ac:dyDescent="0.2">
      <c r="H1025" s="23"/>
      <c r="N1025" s="6"/>
      <c r="Q1025" s="23"/>
      <c r="R1025" s="23"/>
      <c r="AR1025" s="23"/>
      <c r="AT1025" s="23"/>
      <c r="AU1025" s="23"/>
    </row>
    <row r="1026" spans="8:47" x14ac:dyDescent="0.2">
      <c r="H1026" s="23"/>
      <c r="N1026" s="6"/>
      <c r="Q1026" s="23"/>
      <c r="R1026" s="23"/>
      <c r="AR1026" s="23"/>
      <c r="AS1026" s="23"/>
      <c r="AT1026" s="23"/>
      <c r="AU1026" s="23"/>
    </row>
    <row r="1027" spans="8:47" x14ac:dyDescent="0.2">
      <c r="H1027" s="23"/>
      <c r="N1027" s="6"/>
      <c r="Q1027" s="23"/>
      <c r="R1027" s="23"/>
      <c r="AR1027" s="23"/>
      <c r="AS1027" s="23"/>
      <c r="AT1027" s="23"/>
      <c r="AU1027" s="23"/>
    </row>
    <row r="1028" spans="8:47" x14ac:dyDescent="0.2">
      <c r="H1028" s="23"/>
      <c r="N1028" s="6"/>
      <c r="Q1028" s="23"/>
      <c r="R1028" s="23"/>
      <c r="AR1028" s="23"/>
      <c r="AS1028" s="23"/>
      <c r="AT1028" s="23"/>
      <c r="AU1028" s="23"/>
    </row>
    <row r="1029" spans="8:47" x14ac:dyDescent="0.2">
      <c r="H1029" s="23"/>
      <c r="N1029" s="6"/>
      <c r="Q1029" s="23"/>
      <c r="R1029" s="23"/>
      <c r="AR1029" s="23"/>
      <c r="AS1029" s="23"/>
      <c r="AT1029" s="23"/>
      <c r="AU1029" s="23"/>
    </row>
    <row r="1030" spans="8:47" x14ac:dyDescent="0.2">
      <c r="H1030" s="23"/>
      <c r="N1030" s="6"/>
      <c r="Q1030" s="23"/>
      <c r="R1030" s="23"/>
      <c r="AR1030" s="23"/>
      <c r="AT1030" s="23"/>
      <c r="AU1030" s="23"/>
    </row>
    <row r="1031" spans="8:47" x14ac:dyDescent="0.2">
      <c r="H1031" s="23"/>
      <c r="N1031" s="6"/>
      <c r="Q1031" s="23"/>
      <c r="R1031" s="23"/>
      <c r="AR1031" s="23"/>
      <c r="AS1031" s="23"/>
      <c r="AT1031" s="23"/>
      <c r="AU1031" s="23"/>
    </row>
    <row r="1032" spans="8:47" x14ac:dyDescent="0.2">
      <c r="H1032" s="23"/>
      <c r="N1032" s="6"/>
      <c r="Q1032" s="23"/>
      <c r="R1032" s="23"/>
    </row>
    <row r="1033" spans="8:47" x14ac:dyDescent="0.2">
      <c r="H1033" s="23"/>
      <c r="N1033" s="6"/>
      <c r="Q1033" s="23"/>
      <c r="R1033" s="23"/>
      <c r="AR1033" s="23"/>
      <c r="AS1033" s="23"/>
      <c r="AT1033" s="23"/>
      <c r="AU1033" s="23"/>
    </row>
    <row r="1034" spans="8:47" x14ac:dyDescent="0.2">
      <c r="H1034" s="23"/>
      <c r="N1034" s="6"/>
      <c r="Q1034" s="23"/>
      <c r="R1034" s="23"/>
    </row>
    <row r="1035" spans="8:47" x14ac:dyDescent="0.2">
      <c r="H1035" s="23"/>
      <c r="N1035" s="6"/>
      <c r="Q1035" s="23"/>
      <c r="R1035" s="23"/>
      <c r="AR1035" s="23"/>
      <c r="AS1035" s="23"/>
      <c r="AT1035" s="23"/>
      <c r="AU1035" s="23"/>
    </row>
    <row r="1036" spans="8:47" x14ac:dyDescent="0.2">
      <c r="H1036" s="23"/>
      <c r="N1036" s="6"/>
      <c r="Q1036" s="23"/>
      <c r="R1036" s="23"/>
      <c r="AR1036" s="23"/>
      <c r="AS1036" s="23"/>
      <c r="AT1036" s="23"/>
      <c r="AU1036" s="23"/>
    </row>
    <row r="1037" spans="8:47" x14ac:dyDescent="0.2">
      <c r="H1037" s="23"/>
      <c r="N1037" s="6"/>
      <c r="Q1037" s="23"/>
      <c r="R1037" s="23"/>
      <c r="AR1037" s="23"/>
      <c r="AS1037" s="23"/>
      <c r="AT1037" s="23"/>
      <c r="AU1037" s="23"/>
    </row>
    <row r="1038" spans="8:47" x14ac:dyDescent="0.2">
      <c r="H1038" s="23"/>
      <c r="N1038" s="6"/>
      <c r="Q1038" s="23"/>
      <c r="R1038" s="23"/>
      <c r="AT1038" s="23"/>
      <c r="AU1038" s="23"/>
    </row>
    <row r="1039" spans="8:47" x14ac:dyDescent="0.2">
      <c r="H1039" s="23"/>
      <c r="N1039" s="6"/>
      <c r="Q1039" s="23"/>
      <c r="R1039" s="23"/>
      <c r="AR1039" s="23"/>
      <c r="AS1039" s="23"/>
      <c r="AT1039" s="23"/>
      <c r="AU1039" s="23"/>
    </row>
    <row r="1040" spans="8:47" x14ac:dyDescent="0.2">
      <c r="H1040" s="23"/>
      <c r="N1040" s="6"/>
      <c r="Q1040" s="23"/>
      <c r="R1040" s="23"/>
    </row>
    <row r="1041" spans="8:47" x14ac:dyDescent="0.2">
      <c r="H1041" s="23"/>
      <c r="N1041" s="6"/>
      <c r="Q1041" s="23"/>
      <c r="R1041" s="23"/>
    </row>
    <row r="1042" spans="8:47" x14ac:dyDescent="0.2">
      <c r="H1042" s="23"/>
      <c r="N1042" s="6"/>
      <c r="Q1042" s="23"/>
      <c r="R1042" s="23"/>
      <c r="AR1042" s="23"/>
      <c r="AS1042" s="23"/>
      <c r="AT1042" s="23"/>
      <c r="AU1042" s="23"/>
    </row>
    <row r="1043" spans="8:47" x14ac:dyDescent="0.2">
      <c r="H1043" s="23"/>
      <c r="N1043" s="6"/>
      <c r="Q1043" s="23"/>
      <c r="R1043" s="23"/>
      <c r="AR1043" s="23"/>
      <c r="AS1043" s="23"/>
      <c r="AT1043" s="23"/>
      <c r="AU1043" s="23"/>
    </row>
    <row r="1044" spans="8:47" x14ac:dyDescent="0.2">
      <c r="H1044" s="23"/>
      <c r="N1044" s="6"/>
      <c r="Q1044" s="23"/>
      <c r="R1044" s="23"/>
      <c r="AR1044" s="23"/>
      <c r="AS1044" s="23"/>
      <c r="AT1044" s="23"/>
      <c r="AU1044" s="23"/>
    </row>
    <row r="1045" spans="8:47" x14ac:dyDescent="0.2">
      <c r="H1045" s="23"/>
      <c r="N1045" s="6"/>
      <c r="Q1045" s="23"/>
      <c r="R1045" s="23"/>
      <c r="AR1045" s="23"/>
      <c r="AS1045" s="23"/>
      <c r="AT1045" s="23"/>
      <c r="AU1045" s="23"/>
    </row>
    <row r="1046" spans="8:47" x14ac:dyDescent="0.2">
      <c r="H1046" s="23"/>
      <c r="N1046" s="6"/>
      <c r="Q1046" s="23"/>
      <c r="R1046" s="23"/>
      <c r="AR1046" s="23"/>
      <c r="AS1046" s="23"/>
      <c r="AT1046" s="23"/>
      <c r="AU1046" s="23"/>
    </row>
    <row r="1047" spans="8:47" x14ac:dyDescent="0.2">
      <c r="H1047" s="23"/>
      <c r="N1047" s="6"/>
      <c r="Q1047" s="23"/>
      <c r="R1047" s="23"/>
      <c r="AR1047" s="23"/>
      <c r="AS1047" s="23"/>
      <c r="AT1047" s="23"/>
      <c r="AU1047" s="23"/>
    </row>
    <row r="1048" spans="8:47" x14ac:dyDescent="0.2">
      <c r="H1048" s="23"/>
      <c r="N1048" s="6"/>
      <c r="Q1048" s="23"/>
      <c r="R1048" s="23"/>
      <c r="AR1048" s="23"/>
      <c r="AS1048" s="23"/>
      <c r="AT1048" s="23"/>
      <c r="AU1048" s="23"/>
    </row>
    <row r="1049" spans="8:47" x14ac:dyDescent="0.2">
      <c r="H1049" s="23"/>
      <c r="N1049" s="6"/>
      <c r="Q1049" s="23"/>
      <c r="R1049" s="23"/>
      <c r="AR1049" s="23"/>
      <c r="AS1049" s="23"/>
      <c r="AT1049" s="23"/>
      <c r="AU1049" s="23"/>
    </row>
    <row r="1050" spans="8:47" x14ac:dyDescent="0.2">
      <c r="H1050" s="23"/>
      <c r="N1050" s="6"/>
      <c r="Q1050" s="23"/>
      <c r="R1050" s="23"/>
      <c r="AR1050" s="23"/>
      <c r="AS1050" s="23"/>
      <c r="AT1050" s="23"/>
      <c r="AU1050" s="23"/>
    </row>
    <row r="1051" spans="8:47" x14ac:dyDescent="0.2">
      <c r="H1051" s="23"/>
      <c r="N1051" s="6"/>
      <c r="Q1051" s="23"/>
      <c r="R1051" s="23"/>
      <c r="AR1051" s="23"/>
      <c r="AS1051" s="23"/>
      <c r="AT1051" s="23"/>
      <c r="AU1051" s="23"/>
    </row>
    <row r="1052" spans="8:47" x14ac:dyDescent="0.2">
      <c r="H1052" s="23"/>
      <c r="N1052" s="6"/>
      <c r="Q1052" s="23"/>
      <c r="R1052" s="23"/>
      <c r="AR1052" s="23"/>
      <c r="AS1052" s="23"/>
      <c r="AT1052" s="23"/>
      <c r="AU1052" s="23"/>
    </row>
    <row r="1053" spans="8:47" x14ac:dyDescent="0.2">
      <c r="H1053" s="23"/>
      <c r="N1053" s="6"/>
      <c r="Q1053" s="23"/>
      <c r="R1053" s="23"/>
      <c r="AR1053" s="23"/>
      <c r="AS1053" s="23"/>
      <c r="AT1053" s="23"/>
      <c r="AU1053" s="23"/>
    </row>
    <row r="1054" spans="8:47" x14ac:dyDescent="0.2">
      <c r="H1054" s="23"/>
      <c r="N1054" s="6"/>
      <c r="Q1054" s="23"/>
      <c r="R1054" s="23"/>
      <c r="AR1054" s="23"/>
      <c r="AS1054" s="23"/>
      <c r="AT1054" s="23"/>
      <c r="AU1054" s="23"/>
    </row>
    <row r="1055" spans="8:47" x14ac:dyDescent="0.2">
      <c r="H1055" s="23"/>
      <c r="N1055" s="6"/>
      <c r="Q1055" s="23"/>
      <c r="R1055" s="23"/>
      <c r="AR1055" s="23"/>
      <c r="AS1055" s="23"/>
      <c r="AT1055" s="23"/>
      <c r="AU1055" s="23"/>
    </row>
    <row r="1056" spans="8:47" x14ac:dyDescent="0.2">
      <c r="H1056" s="23"/>
      <c r="N1056" s="6"/>
      <c r="Q1056" s="23"/>
      <c r="R1056" s="23"/>
      <c r="AR1056" s="23"/>
      <c r="AS1056" s="23"/>
      <c r="AT1056" s="23"/>
      <c r="AU1056" s="23"/>
    </row>
    <row r="1057" spans="8:47" x14ac:dyDescent="0.2">
      <c r="H1057" s="23"/>
      <c r="N1057" s="6"/>
      <c r="Q1057" s="23"/>
      <c r="R1057" s="23"/>
      <c r="AR1057" s="23"/>
      <c r="AS1057" s="23"/>
      <c r="AT1057" s="23"/>
      <c r="AU1057" s="23"/>
    </row>
    <row r="1058" spans="8:47" x14ac:dyDescent="0.2">
      <c r="H1058" s="23"/>
      <c r="N1058" s="6"/>
      <c r="Q1058" s="23"/>
      <c r="R1058" s="23"/>
      <c r="AR1058" s="23"/>
      <c r="AS1058" s="23"/>
      <c r="AT1058" s="23"/>
      <c r="AU1058" s="23"/>
    </row>
    <row r="1059" spans="8:47" x14ac:dyDescent="0.2">
      <c r="H1059" s="23"/>
      <c r="N1059" s="6"/>
      <c r="Q1059" s="23"/>
      <c r="R1059" s="23"/>
      <c r="AR1059" s="23"/>
      <c r="AS1059" s="23"/>
      <c r="AT1059" s="23"/>
      <c r="AU1059" s="23"/>
    </row>
    <row r="1060" spans="8:47" x14ac:dyDescent="0.2">
      <c r="H1060" s="23"/>
      <c r="N1060" s="6"/>
      <c r="Q1060" s="23"/>
      <c r="R1060" s="23"/>
      <c r="AR1060" s="23"/>
      <c r="AS1060" s="23"/>
      <c r="AT1060" s="23"/>
      <c r="AU1060" s="23"/>
    </row>
    <row r="1061" spans="8:47" x14ac:dyDescent="0.2">
      <c r="H1061" s="23"/>
      <c r="N1061" s="6"/>
      <c r="Q1061" s="23"/>
      <c r="R1061" s="23"/>
      <c r="AR1061" s="23"/>
      <c r="AS1061" s="23"/>
      <c r="AT1061" s="23"/>
      <c r="AU1061" s="23"/>
    </row>
    <row r="1062" spans="8:47" x14ac:dyDescent="0.2">
      <c r="H1062" s="23"/>
      <c r="N1062" s="6"/>
      <c r="Q1062" s="23"/>
      <c r="R1062" s="23"/>
      <c r="AR1062" s="23"/>
      <c r="AS1062" s="23"/>
      <c r="AT1062" s="23"/>
      <c r="AU1062" s="23"/>
    </row>
    <row r="1063" spans="8:47" x14ac:dyDescent="0.2">
      <c r="H1063" s="23"/>
      <c r="N1063" s="6"/>
      <c r="Q1063" s="23"/>
      <c r="R1063" s="23"/>
      <c r="AR1063" s="23"/>
      <c r="AS1063" s="23"/>
      <c r="AT1063" s="23"/>
      <c r="AU1063" s="23"/>
    </row>
    <row r="1064" spans="8:47" x14ac:dyDescent="0.2">
      <c r="H1064" s="23"/>
      <c r="N1064" s="6"/>
      <c r="Q1064" s="23"/>
      <c r="R1064" s="23"/>
      <c r="AR1064" s="23"/>
      <c r="AS1064" s="23"/>
      <c r="AT1064" s="23"/>
      <c r="AU1064" s="23"/>
    </row>
    <row r="1065" spans="8:47" x14ac:dyDescent="0.2">
      <c r="H1065" s="23"/>
      <c r="N1065" s="6"/>
      <c r="Q1065" s="23"/>
      <c r="R1065" s="23"/>
      <c r="AR1065" s="23"/>
      <c r="AS1065" s="23"/>
      <c r="AT1065" s="23"/>
      <c r="AU1065" s="23"/>
    </row>
    <row r="1066" spans="8:47" x14ac:dyDescent="0.2">
      <c r="H1066" s="23"/>
      <c r="N1066" s="6"/>
      <c r="Q1066" s="23"/>
      <c r="R1066" s="23"/>
      <c r="AR1066" s="23"/>
      <c r="AS1066" s="23"/>
      <c r="AT1066" s="23"/>
      <c r="AU1066" s="23"/>
    </row>
    <row r="1067" spans="8:47" x14ac:dyDescent="0.2">
      <c r="H1067" s="23"/>
      <c r="N1067" s="6"/>
      <c r="Q1067" s="23"/>
      <c r="R1067" s="23"/>
      <c r="AR1067" s="23"/>
      <c r="AS1067" s="23"/>
      <c r="AT1067" s="23"/>
      <c r="AU1067" s="23"/>
    </row>
    <row r="1068" spans="8:47" x14ac:dyDescent="0.2">
      <c r="H1068" s="23"/>
      <c r="N1068" s="6"/>
      <c r="Q1068" s="23"/>
      <c r="R1068" s="23"/>
      <c r="AR1068" s="23"/>
      <c r="AS1068" s="23"/>
      <c r="AT1068" s="23"/>
      <c r="AU1068" s="23"/>
    </row>
    <row r="1069" spans="8:47" x14ac:dyDescent="0.2">
      <c r="H1069" s="23"/>
      <c r="N1069" s="6"/>
      <c r="Q1069" s="23"/>
      <c r="R1069" s="23"/>
      <c r="AR1069" s="23"/>
      <c r="AS1069" s="23"/>
      <c r="AT1069" s="23"/>
      <c r="AU106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ADA0-C1A8-4C58-AC9C-98CBCFFA1A05}">
  <dimension ref="H6:AU1060"/>
  <sheetViews>
    <sheetView workbookViewId="0">
      <selection sqref="A1:XFD1048576"/>
    </sheetView>
  </sheetViews>
  <sheetFormatPr defaultRowHeight="12.75" x14ac:dyDescent="0.2"/>
  <cols>
    <col min="1" max="1" width="38.7109375" bestFit="1" customWidth="1"/>
    <col min="2" max="2" width="12" bestFit="1" customWidth="1"/>
    <col min="3" max="3" width="10" bestFit="1" customWidth="1"/>
    <col min="4" max="4" width="36.7109375" bestFit="1" customWidth="1"/>
    <col min="5" max="5" width="10.5703125" bestFit="1" customWidth="1"/>
    <col min="6" max="6" width="7.28515625" bestFit="1" customWidth="1"/>
    <col min="7" max="7" width="30.28515625" bestFit="1" customWidth="1"/>
    <col min="8" max="8" width="10" bestFit="1" customWidth="1"/>
    <col min="9" max="9" width="6.5703125" bestFit="1" customWidth="1"/>
    <col min="10" max="10" width="33.28515625" bestFit="1" customWidth="1"/>
    <col min="11" max="11" width="10.28515625" bestFit="1" customWidth="1"/>
    <col min="13" max="13" width="10.28515625" bestFit="1" customWidth="1"/>
    <col min="14" max="14" width="10.42578125" bestFit="1" customWidth="1"/>
    <col min="15" max="15" width="11.28515625" bestFit="1" customWidth="1"/>
    <col min="16" max="16" width="13.7109375" bestFit="1" customWidth="1"/>
    <col min="17" max="17" width="8.42578125" bestFit="1" customWidth="1"/>
    <col min="18" max="18" width="9.28515625" bestFit="1" customWidth="1"/>
    <col min="19" max="19" width="6" bestFit="1" customWidth="1"/>
    <col min="20" max="20" width="8.7109375" bestFit="1" customWidth="1"/>
    <col min="21" max="21" width="8" bestFit="1" customWidth="1"/>
    <col min="22" max="22" width="8.42578125" bestFit="1" customWidth="1"/>
    <col min="23" max="23" width="7.42578125" bestFit="1" customWidth="1"/>
    <col min="24" max="24" width="6.7109375" bestFit="1" customWidth="1"/>
    <col min="25" max="25" width="6.5703125" bestFit="1" customWidth="1"/>
    <col min="26" max="26" width="8.7109375" bestFit="1" customWidth="1"/>
    <col min="27" max="27" width="14.42578125" bestFit="1" customWidth="1"/>
    <col min="28" max="28" width="14.28515625" bestFit="1" customWidth="1"/>
    <col min="29" max="29" width="13.28515625" bestFit="1" customWidth="1"/>
    <col min="30" max="30" width="10.7109375" bestFit="1" customWidth="1"/>
    <col min="31" max="31" width="8" bestFit="1" customWidth="1"/>
    <col min="32" max="32" width="14" bestFit="1" customWidth="1"/>
    <col min="33" max="33" width="13.5703125" bestFit="1" customWidth="1"/>
    <col min="34" max="34" width="11.7109375" bestFit="1" customWidth="1"/>
    <col min="35" max="35" width="11" bestFit="1" customWidth="1"/>
    <col min="36" max="36" width="10.7109375" bestFit="1" customWidth="1"/>
    <col min="37" max="37" width="13.28515625" bestFit="1" customWidth="1"/>
    <col min="38" max="38" width="18.7109375" bestFit="1" customWidth="1"/>
    <col min="39" max="39" width="18.5703125" bestFit="1" customWidth="1"/>
    <col min="40" max="40" width="10.28515625" bestFit="1" customWidth="1"/>
    <col min="41" max="41" width="9.7109375" bestFit="1" customWidth="1"/>
    <col min="42" max="42" width="12.7109375" bestFit="1" customWidth="1"/>
    <col min="43" max="43" width="6.42578125" bestFit="1" customWidth="1"/>
    <col min="44" max="44" width="8.42578125" bestFit="1" customWidth="1"/>
    <col min="45" max="45" width="10.28515625" bestFit="1" customWidth="1"/>
    <col min="46" max="46" width="8.42578125" bestFit="1" customWidth="1"/>
    <col min="47" max="47" width="10.7109375" bestFit="1" customWidth="1"/>
    <col min="48" max="48" width="38.42578125" bestFit="1" customWidth="1"/>
    <col min="49" max="49" width="15.28515625" bestFit="1" customWidth="1"/>
    <col min="50" max="50" width="14" bestFit="1" customWidth="1"/>
    <col min="51" max="51" width="8.28515625" bestFit="1" customWidth="1"/>
    <col min="52" max="52" width="55.7109375" bestFit="1" customWidth="1"/>
    <col min="53" max="53" width="12.7109375" bestFit="1" customWidth="1"/>
    <col min="54" max="54" width="16.7109375" bestFit="1" customWidth="1"/>
    <col min="55" max="55" width="21.28515625" bestFit="1" customWidth="1"/>
    <col min="56" max="56" width="17" bestFit="1" customWidth="1"/>
    <col min="57" max="57" width="12.7109375" bestFit="1" customWidth="1"/>
    <col min="58" max="58" width="11.5703125" bestFit="1" customWidth="1"/>
    <col min="59" max="59" width="32.28515625" bestFit="1" customWidth="1"/>
    <col min="60" max="60" width="92.28515625" bestFit="1" customWidth="1"/>
    <col min="61" max="61" width="15.7109375" bestFit="1" customWidth="1"/>
    <col min="62" max="63" width="24.7109375" bestFit="1" customWidth="1"/>
    <col min="64" max="64" width="19.28515625" bestFit="1" customWidth="1"/>
    <col min="65" max="65" width="26.28515625" bestFit="1" customWidth="1"/>
  </cols>
  <sheetData>
    <row r="6" spans="8:47" x14ac:dyDescent="0.2">
      <c r="H6" s="23"/>
      <c r="N6" s="6"/>
      <c r="Q6" s="23"/>
      <c r="R6" s="23"/>
      <c r="AR6" s="23"/>
      <c r="AS6" s="23"/>
      <c r="AT6" s="23"/>
      <c r="AU6" s="23"/>
    </row>
    <row r="7" spans="8:47" x14ac:dyDescent="0.2">
      <c r="H7" s="23"/>
      <c r="N7" s="6"/>
      <c r="Q7" s="23"/>
      <c r="R7" s="23"/>
      <c r="AT7" s="23"/>
      <c r="AU7" s="23"/>
    </row>
    <row r="8" spans="8:47" x14ac:dyDescent="0.2">
      <c r="H8" s="23"/>
      <c r="N8" s="6"/>
      <c r="Q8" s="23"/>
      <c r="R8" s="23"/>
      <c r="AR8" s="23"/>
      <c r="AS8" s="23"/>
      <c r="AT8" s="23"/>
      <c r="AU8" s="23"/>
    </row>
    <row r="9" spans="8:47" x14ac:dyDescent="0.2">
      <c r="H9" s="23"/>
      <c r="N9" s="6"/>
      <c r="Q9" s="23"/>
      <c r="R9" s="23"/>
      <c r="AR9" s="23"/>
      <c r="AS9" s="23"/>
      <c r="AT9" s="23"/>
      <c r="AU9" s="23"/>
    </row>
    <row r="10" spans="8:47" x14ac:dyDescent="0.2">
      <c r="H10" s="23"/>
      <c r="N10" s="6"/>
      <c r="Q10" s="23"/>
      <c r="R10" s="23"/>
      <c r="AT10" s="23"/>
      <c r="AU10" s="23"/>
    </row>
    <row r="11" spans="8:47" x14ac:dyDescent="0.2">
      <c r="H11" s="23"/>
      <c r="N11" s="6"/>
      <c r="Q11" s="23"/>
      <c r="R11" s="23"/>
      <c r="AR11" s="23"/>
      <c r="AS11" s="23"/>
      <c r="AT11" s="23"/>
      <c r="AU11" s="23"/>
    </row>
    <row r="12" spans="8:47" x14ac:dyDescent="0.2">
      <c r="H12" s="23"/>
      <c r="N12" s="6"/>
      <c r="Q12" s="23"/>
      <c r="R12" s="23"/>
      <c r="AR12" s="23"/>
      <c r="AS12" s="23"/>
      <c r="AT12" s="23"/>
      <c r="AU12" s="23"/>
    </row>
    <row r="13" spans="8:47" x14ac:dyDescent="0.2">
      <c r="H13" s="23"/>
      <c r="N13" s="6"/>
      <c r="Q13" s="23"/>
      <c r="R13" s="23"/>
    </row>
    <row r="14" spans="8:47" x14ac:dyDescent="0.2">
      <c r="H14" s="23"/>
      <c r="N14" s="6"/>
      <c r="Q14" s="23"/>
      <c r="R14" s="23"/>
      <c r="AR14" s="23"/>
      <c r="AS14" s="23"/>
      <c r="AT14" s="23"/>
      <c r="AU14" s="23"/>
    </row>
    <row r="15" spans="8:47" x14ac:dyDescent="0.2">
      <c r="H15" s="23"/>
      <c r="N15" s="6"/>
      <c r="Q15" s="23"/>
      <c r="R15" s="23"/>
      <c r="AR15" s="23"/>
      <c r="AS15" s="23"/>
      <c r="AT15" s="23"/>
      <c r="AU15" s="23"/>
    </row>
    <row r="16" spans="8:47" x14ac:dyDescent="0.2">
      <c r="H16" s="23"/>
      <c r="N16" s="6"/>
      <c r="Q16" s="23"/>
      <c r="R16" s="23"/>
      <c r="AR16" s="23"/>
      <c r="AS16" s="23"/>
      <c r="AT16" s="23"/>
      <c r="AU16" s="23"/>
    </row>
    <row r="17" spans="8:47" x14ac:dyDescent="0.2">
      <c r="H17" s="23"/>
      <c r="N17" s="6"/>
      <c r="Q17" s="23"/>
      <c r="R17" s="23"/>
      <c r="AR17" s="23"/>
      <c r="AS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  <c r="AR21" s="23"/>
      <c r="AS21" s="23"/>
      <c r="AT21" s="23"/>
      <c r="AU21" s="23"/>
    </row>
    <row r="22" spans="8:47" x14ac:dyDescent="0.2">
      <c r="H22" s="23"/>
      <c r="N22" s="6"/>
      <c r="Q22" s="23"/>
      <c r="R22" s="23"/>
      <c r="AR22" s="23"/>
      <c r="AS22" s="23"/>
      <c r="AT22" s="23"/>
      <c r="AU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  <c r="AR25" s="23"/>
      <c r="AT25" s="23"/>
      <c r="AU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  <c r="AR29" s="23"/>
      <c r="AS29" s="23"/>
      <c r="AT29" s="23"/>
      <c r="AU29" s="23"/>
    </row>
    <row r="30" spans="8:47" x14ac:dyDescent="0.2">
      <c r="H30" s="23"/>
      <c r="N30" s="6"/>
      <c r="Q30" s="23"/>
      <c r="R30" s="23"/>
      <c r="AR30" s="23"/>
      <c r="AS30" s="23"/>
      <c r="AT30" s="23"/>
      <c r="AU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4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  <c r="AU38" s="23"/>
    </row>
    <row r="39" spans="8:47" x14ac:dyDescent="0.2">
      <c r="H39" s="23"/>
      <c r="N39" s="6"/>
      <c r="Q39" s="23"/>
      <c r="R39" s="23"/>
      <c r="AR39" s="23"/>
      <c r="AS39" s="23"/>
      <c r="AT39" s="23"/>
      <c r="AU39" s="23"/>
    </row>
    <row r="40" spans="8:47" x14ac:dyDescent="0.2">
      <c r="H40" s="23"/>
      <c r="N40" s="6"/>
      <c r="Q40" s="23"/>
      <c r="R40" s="23"/>
      <c r="AR40" s="23"/>
      <c r="AS40" s="23"/>
      <c r="AT40" s="23"/>
      <c r="AU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T46" s="23"/>
      <c r="AU46" s="23"/>
    </row>
    <row r="47" spans="8:47" x14ac:dyDescent="0.2">
      <c r="H47" s="23"/>
      <c r="N47" s="6"/>
      <c r="Q47" s="23"/>
      <c r="R47" s="23"/>
      <c r="AR47" s="23"/>
      <c r="AS47" s="23"/>
      <c r="AT47" s="23"/>
      <c r="AU47" s="23"/>
    </row>
    <row r="48" spans="8:47" x14ac:dyDescent="0.2">
      <c r="H48" s="23"/>
      <c r="N48" s="6"/>
      <c r="Q48" s="23"/>
      <c r="R48" s="23"/>
      <c r="AR48" s="23"/>
      <c r="AS48" s="23"/>
      <c r="AT48" s="23"/>
      <c r="AU48" s="23"/>
    </row>
    <row r="49" spans="8:47" x14ac:dyDescent="0.2">
      <c r="H49" s="23"/>
      <c r="N49" s="6"/>
      <c r="Q49" s="23"/>
      <c r="R49" s="23"/>
      <c r="AT49" s="23"/>
      <c r="AU49" s="23"/>
    </row>
    <row r="50" spans="8:47" x14ac:dyDescent="0.2">
      <c r="H50" s="23"/>
      <c r="N50" s="6"/>
      <c r="Q50" s="23"/>
      <c r="R50" s="23"/>
      <c r="AR50" s="23"/>
      <c r="AS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T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  <c r="AU55" s="23"/>
    </row>
    <row r="56" spans="8:47" x14ac:dyDescent="0.2">
      <c r="H56" s="23"/>
      <c r="N56" s="6"/>
      <c r="Q56" s="23"/>
      <c r="R56" s="23"/>
      <c r="AR56" s="23"/>
      <c r="AT56" s="23"/>
    </row>
    <row r="57" spans="8:47" x14ac:dyDescent="0.2">
      <c r="H57" s="23"/>
      <c r="N57" s="6"/>
      <c r="Q57" s="23"/>
      <c r="R57" s="23"/>
      <c r="AR57" s="23"/>
      <c r="AS57" s="23"/>
      <c r="AT57" s="23"/>
      <c r="AU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  <c r="AR59" s="23"/>
      <c r="AS59" s="23"/>
      <c r="AT59" s="23"/>
      <c r="AU59" s="23"/>
    </row>
    <row r="60" spans="8:47" x14ac:dyDescent="0.2">
      <c r="H60" s="23"/>
      <c r="N60" s="6"/>
      <c r="Q60" s="23"/>
      <c r="R60" s="23"/>
      <c r="AR60" s="23"/>
      <c r="AT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R62" s="23"/>
      <c r="AS62" s="23"/>
      <c r="AT62" s="23"/>
      <c r="AU62" s="23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R69" s="23"/>
      <c r="AS69" s="23"/>
      <c r="AT69" s="23"/>
      <c r="AU69" s="23"/>
    </row>
    <row r="70" spans="8:47" x14ac:dyDescent="0.2">
      <c r="H70" s="23"/>
      <c r="N70" s="6"/>
      <c r="Q70" s="23"/>
      <c r="R70" s="23"/>
      <c r="AT70" s="23"/>
      <c r="AU70" s="23"/>
    </row>
    <row r="71" spans="8:47" x14ac:dyDescent="0.2">
      <c r="H71" s="23"/>
      <c r="N71" s="6"/>
      <c r="Q71" s="23"/>
      <c r="R71" s="23"/>
      <c r="AR71" s="23"/>
      <c r="AT71" s="23"/>
      <c r="AU71" s="23"/>
    </row>
    <row r="72" spans="8:47" x14ac:dyDescent="0.2">
      <c r="H72" s="23"/>
      <c r="N72" s="6"/>
      <c r="Q72" s="23"/>
      <c r="R72" s="23"/>
      <c r="AR72" s="23"/>
      <c r="AT72" s="23"/>
      <c r="AU72" s="23"/>
    </row>
    <row r="73" spans="8:47" x14ac:dyDescent="0.2">
      <c r="H73" s="23"/>
      <c r="N73" s="6"/>
      <c r="Q73" s="23"/>
      <c r="R73" s="23"/>
      <c r="AR73" s="23"/>
      <c r="AS73" s="23"/>
      <c r="AT73" s="23"/>
      <c r="AU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  <c r="AU75" s="23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S77" s="23"/>
      <c r="AT77" s="23"/>
      <c r="AU77" s="23"/>
    </row>
    <row r="78" spans="8:47" x14ac:dyDescent="0.2">
      <c r="H78" s="23"/>
      <c r="N78" s="6"/>
      <c r="Q78" s="23"/>
      <c r="R78" s="23"/>
      <c r="AT78" s="23"/>
      <c r="AU78" s="23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R81" s="23"/>
      <c r="AS81" s="23"/>
      <c r="AT81" s="23"/>
      <c r="AU81" s="23"/>
    </row>
    <row r="82" spans="8:47" x14ac:dyDescent="0.2">
      <c r="H82" s="23"/>
      <c r="N82" s="6"/>
      <c r="Q82" s="23"/>
      <c r="R82" s="23"/>
      <c r="AR82" s="23"/>
      <c r="AS82" s="23"/>
      <c r="AT82" s="23"/>
      <c r="AU82" s="23"/>
    </row>
    <row r="83" spans="8:47" x14ac:dyDescent="0.2">
      <c r="H83" s="23"/>
      <c r="N83" s="6"/>
      <c r="Q83" s="23"/>
      <c r="R83" s="23"/>
      <c r="AR83" s="23"/>
      <c r="AS83" s="23"/>
      <c r="AT83" s="23"/>
      <c r="AU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S87" s="23"/>
      <c r="AT87" s="23"/>
      <c r="AU87" s="23"/>
    </row>
    <row r="88" spans="8:47" x14ac:dyDescent="0.2">
      <c r="H88" s="23"/>
      <c r="N88" s="6"/>
      <c r="Q88" s="23"/>
      <c r="R88" s="23"/>
      <c r="AR88" s="23"/>
      <c r="AT88" s="23"/>
      <c r="AU88" s="23"/>
    </row>
    <row r="89" spans="8:47" x14ac:dyDescent="0.2">
      <c r="H89" s="23"/>
      <c r="N89" s="6"/>
      <c r="Q89" s="23"/>
      <c r="R89" s="23"/>
      <c r="AR89" s="23"/>
      <c r="AS89" s="23"/>
      <c r="AT89" s="23"/>
      <c r="AU89" s="23"/>
    </row>
    <row r="90" spans="8:47" x14ac:dyDescent="0.2">
      <c r="H90" s="23"/>
      <c r="N90" s="6"/>
      <c r="Q90" s="23"/>
      <c r="R90" s="23"/>
      <c r="AT90" s="23"/>
      <c r="AU90" s="23"/>
    </row>
    <row r="91" spans="8:47" x14ac:dyDescent="0.2">
      <c r="H91" s="23"/>
      <c r="N91" s="6"/>
      <c r="Q91" s="23"/>
      <c r="R91" s="23"/>
      <c r="AR91" s="23"/>
      <c r="AS91" s="23"/>
      <c r="AT91" s="23"/>
      <c r="AU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T93" s="23"/>
      <c r="AU93" s="23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T97" s="23"/>
      <c r="AU97" s="23"/>
    </row>
    <row r="98" spans="8:47" x14ac:dyDescent="0.2">
      <c r="H98" s="23"/>
      <c r="N98" s="6"/>
      <c r="Q98" s="23"/>
      <c r="R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R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S102" s="23"/>
      <c r="AT102" s="23"/>
      <c r="AU102" s="23"/>
    </row>
    <row r="103" spans="8:47" x14ac:dyDescent="0.2">
      <c r="H103" s="23"/>
      <c r="N103" s="6"/>
      <c r="Q103" s="23"/>
      <c r="R103" s="23"/>
      <c r="AR103" s="23"/>
      <c r="AS103" s="23"/>
      <c r="AT103" s="23"/>
      <c r="AU103" s="23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R106" s="23"/>
      <c r="AS106" s="23"/>
      <c r="AT106" s="23"/>
    </row>
    <row r="107" spans="8:47" x14ac:dyDescent="0.2">
      <c r="H107" s="23"/>
      <c r="N107" s="6"/>
      <c r="Q107" s="23"/>
      <c r="R107" s="23"/>
      <c r="AR107" s="23"/>
      <c r="AS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  <c r="AR110" s="23"/>
      <c r="AS110" s="23"/>
      <c r="AT110" s="23"/>
      <c r="AU110" s="23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  <c r="AU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R115" s="23"/>
      <c r="AS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S117" s="23"/>
      <c r="AT117" s="23"/>
      <c r="AU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4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T125" s="23"/>
      <c r="AU125" s="23"/>
    </row>
    <row r="126" spans="8:47" x14ac:dyDescent="0.2">
      <c r="H126" s="23"/>
      <c r="N126" s="6"/>
      <c r="Q126" s="23"/>
      <c r="R126" s="23"/>
      <c r="AT126" s="23"/>
      <c r="AU126" s="23"/>
    </row>
    <row r="127" spans="8:47" x14ac:dyDescent="0.2">
      <c r="H127" s="23"/>
      <c r="N127" s="6"/>
      <c r="Q127" s="23"/>
      <c r="R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  <c r="AU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  <c r="AR132" s="23"/>
      <c r="AS132" s="23"/>
      <c r="AT132" s="23"/>
      <c r="AU132" s="23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S135" s="23"/>
      <c r="AT135" s="23"/>
      <c r="AU135" s="23"/>
    </row>
    <row r="136" spans="8:47" x14ac:dyDescent="0.2">
      <c r="H136" s="23"/>
      <c r="N136" s="6"/>
      <c r="Q136" s="23"/>
      <c r="R136" s="23"/>
      <c r="AR136" s="23"/>
      <c r="AS136" s="23"/>
      <c r="AT136" s="23"/>
      <c r="AU136" s="23"/>
    </row>
    <row r="137" spans="8:47" x14ac:dyDescent="0.2">
      <c r="H137" s="23"/>
      <c r="N137" s="6"/>
      <c r="Q137" s="23"/>
      <c r="R137" s="23"/>
      <c r="AR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S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R141" s="23"/>
      <c r="AS141" s="23"/>
      <c r="AT141" s="23"/>
      <c r="AU141" s="23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S144" s="23"/>
      <c r="AT144" s="23"/>
      <c r="AU144" s="23"/>
    </row>
    <row r="145" spans="8:47" x14ac:dyDescent="0.2">
      <c r="H145" s="23"/>
      <c r="N145" s="6"/>
      <c r="Q145" s="23"/>
      <c r="R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R150" s="23"/>
      <c r="AS150" s="23"/>
      <c r="AT150" s="23"/>
      <c r="AU150" s="23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  <c r="AR153" s="23"/>
      <c r="AT153" s="23"/>
      <c r="AU153" s="23"/>
    </row>
    <row r="154" spans="8:47" x14ac:dyDescent="0.2">
      <c r="H154" s="23"/>
      <c r="N154" s="6"/>
      <c r="Q154" s="23"/>
      <c r="R154" s="23"/>
      <c r="AR154" s="23"/>
      <c r="AS154" s="23"/>
      <c r="AT154" s="23"/>
      <c r="AU154" s="23"/>
    </row>
    <row r="155" spans="8:47" x14ac:dyDescent="0.2">
      <c r="H155" s="23"/>
      <c r="N155" s="6"/>
      <c r="Q155" s="23"/>
      <c r="R155" s="23"/>
      <c r="AR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  <c r="AR157" s="23"/>
      <c r="AS157" s="23"/>
      <c r="AT157" s="23"/>
      <c r="AU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S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S160" s="23"/>
      <c r="AT160" s="23"/>
      <c r="AU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  <c r="AR163" s="23"/>
      <c r="AS163" s="23"/>
      <c r="AT163" s="23"/>
      <c r="AU163" s="23"/>
    </row>
    <row r="164" spans="8:47" x14ac:dyDescent="0.2">
      <c r="H164" s="23"/>
      <c r="N164" s="6"/>
      <c r="Q164" s="23"/>
      <c r="R164" s="23"/>
      <c r="AR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S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S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R170" s="23"/>
      <c r="AS170" s="23"/>
      <c r="AT170" s="23"/>
      <c r="AU170" s="23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R172" s="23"/>
      <c r="AT172" s="23"/>
    </row>
    <row r="173" spans="8:47" x14ac:dyDescent="0.2">
      <c r="H173" s="23"/>
      <c r="N173" s="6"/>
      <c r="Q173" s="23"/>
      <c r="R173" s="23"/>
      <c r="AR173" s="23"/>
      <c r="AS173" s="23"/>
      <c r="AT173" s="23"/>
      <c r="AU173" s="23"/>
    </row>
    <row r="174" spans="8:47" x14ac:dyDescent="0.2">
      <c r="H174" s="23"/>
      <c r="N174" s="6"/>
      <c r="Q174" s="23"/>
      <c r="R174" s="23"/>
      <c r="AR174" s="23"/>
      <c r="AS174" s="23"/>
      <c r="AT174" s="23"/>
      <c r="AU174" s="23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R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S182" s="23"/>
      <c r="AT182" s="23"/>
      <c r="AU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</row>
    <row r="185" spans="8:47" x14ac:dyDescent="0.2">
      <c r="H185" s="23"/>
      <c r="N185" s="6"/>
      <c r="Q185" s="23"/>
      <c r="R185" s="23"/>
      <c r="AR185" s="23"/>
      <c r="AS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S186" s="23"/>
      <c r="AT186" s="23"/>
      <c r="AU186" s="23"/>
    </row>
    <row r="187" spans="8:47" x14ac:dyDescent="0.2">
      <c r="H187" s="23"/>
      <c r="N187" s="6"/>
      <c r="Q187" s="23"/>
      <c r="R187" s="23"/>
      <c r="AR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T190" s="23"/>
      <c r="AU190" s="23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R192" s="23"/>
      <c r="AS192" s="23"/>
      <c r="AT192" s="23"/>
      <c r="AU192" s="23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T197" s="23"/>
      <c r="AU197" s="23"/>
    </row>
    <row r="198" spans="8:47" x14ac:dyDescent="0.2">
      <c r="H198" s="23"/>
      <c r="N198" s="6"/>
      <c r="Q198" s="23"/>
      <c r="R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T200" s="23"/>
      <c r="AU200" s="23"/>
    </row>
    <row r="201" spans="8:47" x14ac:dyDescent="0.2">
      <c r="H201" s="23"/>
      <c r="N201" s="6"/>
      <c r="Q201" s="23"/>
      <c r="R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S202" s="23"/>
      <c r="AT202" s="23"/>
      <c r="AU202" s="23"/>
    </row>
    <row r="203" spans="8:47" x14ac:dyDescent="0.2">
      <c r="H203" s="23"/>
      <c r="N203" s="6"/>
      <c r="Q203" s="23"/>
      <c r="R203" s="23"/>
      <c r="AT203" s="23"/>
      <c r="AU203" s="23"/>
    </row>
    <row r="204" spans="8:47" x14ac:dyDescent="0.2">
      <c r="H204" s="23"/>
      <c r="N204" s="6"/>
      <c r="Q204" s="23"/>
      <c r="R204" s="23"/>
      <c r="AR204" s="23"/>
      <c r="AS204" s="23"/>
      <c r="AT204" s="23"/>
      <c r="AU204" s="23"/>
    </row>
    <row r="205" spans="8:47" x14ac:dyDescent="0.2">
      <c r="H205" s="23"/>
      <c r="N205" s="6"/>
      <c r="Q205" s="23"/>
      <c r="R205" s="23"/>
      <c r="AR205" s="23"/>
      <c r="AS205" s="23"/>
      <c r="AT205" s="23"/>
      <c r="AU205" s="23"/>
    </row>
    <row r="206" spans="8:47" x14ac:dyDescent="0.2">
      <c r="H206" s="23"/>
      <c r="N206" s="6"/>
      <c r="Q206" s="23"/>
      <c r="R206" s="23"/>
      <c r="AR206" s="23"/>
      <c r="AS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S207" s="23"/>
      <c r="AT207" s="23"/>
      <c r="AU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S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S210" s="23"/>
      <c r="AT210" s="23"/>
      <c r="AU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R213" s="23"/>
      <c r="AT213" s="23"/>
      <c r="AU213" s="23"/>
    </row>
    <row r="214" spans="8:47" x14ac:dyDescent="0.2">
      <c r="H214" s="23"/>
      <c r="N214" s="6"/>
      <c r="Q214" s="23"/>
      <c r="R214" s="23"/>
      <c r="AR214" s="23"/>
      <c r="AS214" s="23"/>
      <c r="AT214" s="23"/>
      <c r="AU214" s="23"/>
    </row>
    <row r="215" spans="8:47" x14ac:dyDescent="0.2">
      <c r="H215" s="23"/>
      <c r="N215" s="6"/>
      <c r="Q215" s="23"/>
      <c r="R215" s="23"/>
      <c r="AR215" s="23"/>
      <c r="AS215" s="23"/>
      <c r="AT215" s="23"/>
      <c r="AU215" s="23"/>
    </row>
    <row r="216" spans="8:47" x14ac:dyDescent="0.2">
      <c r="H216" s="23"/>
      <c r="N216" s="6"/>
      <c r="Q216" s="23"/>
      <c r="R216" s="23"/>
      <c r="AR216" s="23"/>
      <c r="AT216" s="23"/>
      <c r="AU216" s="23"/>
    </row>
    <row r="217" spans="8:47" x14ac:dyDescent="0.2">
      <c r="H217" s="23"/>
      <c r="N217" s="6"/>
      <c r="Q217" s="23"/>
      <c r="R217" s="23"/>
      <c r="AT217" s="23"/>
      <c r="AU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S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S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R228" s="23"/>
      <c r="AS228" s="23"/>
      <c r="AT228" s="23"/>
      <c r="AU228" s="23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R230" s="23"/>
      <c r="AS230" s="23"/>
      <c r="AT230" s="23"/>
    </row>
    <row r="231" spans="8:47" x14ac:dyDescent="0.2">
      <c r="H231" s="23"/>
      <c r="N231" s="6"/>
      <c r="Q231" s="23"/>
      <c r="R231" s="23"/>
      <c r="AR231" s="23"/>
      <c r="AS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T240" s="23"/>
      <c r="AU240" s="23"/>
    </row>
    <row r="241" spans="8:47" x14ac:dyDescent="0.2">
      <c r="H241" s="23"/>
      <c r="N241" s="6"/>
      <c r="Q241" s="23"/>
      <c r="R241" s="23"/>
      <c r="AR241" s="23"/>
      <c r="AS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S242" s="23"/>
      <c r="AT242" s="23"/>
      <c r="AU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R244" s="23"/>
      <c r="AS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R252" s="23"/>
      <c r="AS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R256" s="23"/>
      <c r="AS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  <c r="AR259" s="23"/>
      <c r="AS259" s="23"/>
      <c r="AT259" s="23"/>
      <c r="AU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R262" s="23"/>
      <c r="AS262" s="23"/>
      <c r="AT262" s="23"/>
      <c r="AU262" s="23"/>
    </row>
    <row r="263" spans="8:47" x14ac:dyDescent="0.2">
      <c r="H263" s="23"/>
      <c r="N263" s="6"/>
      <c r="Q263" s="23"/>
      <c r="R263" s="23"/>
      <c r="AR263" s="23"/>
      <c r="AS263" s="23"/>
      <c r="AT263" s="23"/>
      <c r="AU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S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S292" s="23"/>
      <c r="AT292" s="23"/>
      <c r="AU292" s="23"/>
    </row>
    <row r="293" spans="8:47" x14ac:dyDescent="0.2">
      <c r="H293" s="23"/>
      <c r="N293" s="6"/>
      <c r="Q293" s="23"/>
      <c r="R293" s="23"/>
      <c r="AR293" s="23"/>
      <c r="AS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S294" s="23"/>
      <c r="AT294" s="23"/>
      <c r="AU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R316" s="23"/>
      <c r="AS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S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S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  <c r="AR354" s="23"/>
      <c r="AS354" s="23"/>
      <c r="AT354" s="23"/>
      <c r="AU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R363" s="23"/>
      <c r="AS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S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S366" s="23"/>
      <c r="AT366" s="23"/>
      <c r="AU366" s="23"/>
    </row>
    <row r="367" spans="8:47" x14ac:dyDescent="0.2">
      <c r="H367" s="23"/>
      <c r="N367" s="6"/>
      <c r="Q367" s="23"/>
      <c r="R367" s="23"/>
      <c r="AR367" s="23"/>
      <c r="AS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S372" s="23"/>
      <c r="AT372" s="23"/>
      <c r="AU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S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S375" s="23"/>
      <c r="AT375" s="23"/>
      <c r="AU375" s="23"/>
    </row>
    <row r="376" spans="8:47" x14ac:dyDescent="0.2">
      <c r="H376" s="23"/>
      <c r="N376" s="6"/>
      <c r="Q376" s="23"/>
      <c r="R376" s="23"/>
      <c r="AR376" s="23"/>
      <c r="AS376" s="23"/>
      <c r="AT376" s="23"/>
      <c r="AU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S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T410" s="23"/>
      <c r="AU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R413" s="23"/>
      <c r="AS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R416" s="23"/>
      <c r="AS416" s="23"/>
      <c r="AT416" s="23"/>
      <c r="AU416" s="23"/>
    </row>
    <row r="417" spans="8:47" x14ac:dyDescent="0.2">
      <c r="H417" s="23"/>
      <c r="N417" s="6"/>
      <c r="Q417" s="23"/>
      <c r="R417" s="23"/>
      <c r="AR417" s="23"/>
      <c r="AS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S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S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  <c r="AR424" s="23"/>
      <c r="AS424" s="23"/>
      <c r="AT424" s="23"/>
      <c r="AU424" s="23"/>
    </row>
    <row r="425" spans="8:47" x14ac:dyDescent="0.2">
      <c r="H425" s="23"/>
      <c r="N425" s="6"/>
      <c r="Q425" s="23"/>
      <c r="R425" s="23"/>
      <c r="AR425" s="23"/>
      <c r="AS425" s="23"/>
      <c r="AT425" s="23"/>
      <c r="AU425" s="23"/>
    </row>
    <row r="426" spans="8:47" x14ac:dyDescent="0.2">
      <c r="H426" s="23"/>
      <c r="N426" s="6"/>
      <c r="Q426" s="23"/>
      <c r="R426" s="23"/>
      <c r="AR426" s="23"/>
      <c r="AS426" s="23"/>
      <c r="AT426" s="23"/>
      <c r="AU426" s="23"/>
    </row>
    <row r="427" spans="8:47" x14ac:dyDescent="0.2">
      <c r="H427" s="23"/>
      <c r="N427" s="6"/>
      <c r="Q427" s="23"/>
      <c r="R427" s="23"/>
      <c r="AR427" s="23"/>
      <c r="AS427" s="23"/>
      <c r="AT427" s="23"/>
      <c r="AU427" s="23"/>
    </row>
    <row r="428" spans="8:47" x14ac:dyDescent="0.2">
      <c r="H428" s="23"/>
      <c r="N428" s="6"/>
      <c r="Q428" s="23"/>
      <c r="R428" s="23"/>
      <c r="AR428" s="23"/>
      <c r="AS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R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S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S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  <c r="AR439" s="23"/>
      <c r="AT439" s="23"/>
      <c r="AU439" s="23"/>
    </row>
    <row r="440" spans="8:47" x14ac:dyDescent="0.2">
      <c r="H440" s="23"/>
      <c r="N440" s="6"/>
      <c r="Q440" s="23"/>
      <c r="R440" s="23"/>
      <c r="AR440" s="23"/>
      <c r="AS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S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R451" s="23"/>
      <c r="AS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  <c r="AR454" s="23"/>
      <c r="AS454" s="23"/>
      <c r="AT454" s="23"/>
      <c r="AU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  <c r="AR456" s="23"/>
      <c r="AS456" s="23"/>
      <c r="AT456" s="23"/>
      <c r="AU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S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R462" s="23"/>
      <c r="AS462" s="23"/>
      <c r="AT462" s="23"/>
      <c r="AU462" s="23"/>
    </row>
    <row r="463" spans="8:47" x14ac:dyDescent="0.2">
      <c r="H463" s="23"/>
      <c r="N463" s="6"/>
      <c r="Q463" s="23"/>
      <c r="R463" s="23"/>
      <c r="AR463" s="23"/>
      <c r="AS463" s="23"/>
      <c r="AT463" s="23"/>
      <c r="AU463" s="23"/>
    </row>
    <row r="464" spans="8:47" x14ac:dyDescent="0.2">
      <c r="H464" s="23"/>
      <c r="N464" s="6"/>
      <c r="Q464" s="23"/>
      <c r="R464" s="23"/>
      <c r="AT464" s="23"/>
      <c r="AU464" s="23"/>
    </row>
    <row r="465" spans="8:47" x14ac:dyDescent="0.2">
      <c r="H465" s="23"/>
      <c r="N465" s="6"/>
      <c r="Q465" s="23"/>
      <c r="R465" s="23"/>
      <c r="AR465" s="23"/>
      <c r="AS465" s="23"/>
      <c r="AT465" s="23"/>
      <c r="AU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  <c r="AR467" s="23"/>
      <c r="AS467" s="23"/>
      <c r="AT467" s="23"/>
      <c r="AU467" s="23"/>
    </row>
    <row r="468" spans="8:47" x14ac:dyDescent="0.2">
      <c r="H468" s="23"/>
      <c r="N468" s="6"/>
      <c r="Q468" s="23"/>
      <c r="R468" s="23"/>
      <c r="AR468" s="23"/>
      <c r="AS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  <c r="AR471" s="23"/>
      <c r="AS471" s="23"/>
      <c r="AT471" s="23"/>
      <c r="AU471" s="23"/>
    </row>
    <row r="472" spans="8:47" x14ac:dyDescent="0.2">
      <c r="H472" s="23"/>
      <c r="N472" s="6"/>
      <c r="Q472" s="23"/>
      <c r="R472" s="23"/>
      <c r="AR472" s="23"/>
      <c r="AS472" s="23"/>
      <c r="AT472" s="23"/>
      <c r="AU472" s="23"/>
    </row>
    <row r="473" spans="8:47" x14ac:dyDescent="0.2">
      <c r="H473" s="23"/>
      <c r="N473" s="6"/>
      <c r="Q473" s="23"/>
      <c r="R473" s="23"/>
    </row>
    <row r="474" spans="8:47" x14ac:dyDescent="0.2">
      <c r="H474" s="23"/>
      <c r="N474" s="6"/>
      <c r="Q474" s="23"/>
      <c r="R474" s="23"/>
      <c r="AR474" s="23"/>
      <c r="AS474" s="23"/>
      <c r="AT474" s="23"/>
      <c r="AU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S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</row>
    <row r="479" spans="8:47" x14ac:dyDescent="0.2">
      <c r="H479" s="23"/>
      <c r="N479" s="6"/>
      <c r="Q479" s="23"/>
      <c r="R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S481" s="23"/>
      <c r="AT481" s="23"/>
      <c r="AU481" s="23"/>
    </row>
    <row r="482" spans="8:47" x14ac:dyDescent="0.2">
      <c r="H482" s="23"/>
      <c r="N482" s="6"/>
      <c r="Q482" s="23"/>
      <c r="R482" s="23"/>
      <c r="AR482" s="23"/>
      <c r="AS482" s="23"/>
      <c r="AT482" s="23"/>
      <c r="AU482" s="23"/>
    </row>
    <row r="483" spans="8:47" x14ac:dyDescent="0.2">
      <c r="H483" s="23"/>
      <c r="N483" s="6"/>
      <c r="Q483" s="23"/>
      <c r="R483" s="23"/>
      <c r="AR483" s="23"/>
      <c r="AS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S484" s="23"/>
      <c r="AT484" s="23"/>
      <c r="AU484" s="23"/>
    </row>
    <row r="485" spans="8:47" x14ac:dyDescent="0.2">
      <c r="H485" s="23"/>
      <c r="N485" s="6"/>
      <c r="Q485" s="23"/>
      <c r="R485" s="23"/>
      <c r="AR485" s="23"/>
      <c r="AS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  <c r="AR489" s="23"/>
      <c r="AS489" s="23"/>
      <c r="AT489" s="23"/>
      <c r="AU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R491" s="23"/>
      <c r="AS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  <c r="AR504" s="23"/>
      <c r="AS504" s="23"/>
      <c r="AT504" s="23"/>
      <c r="AU504" s="23"/>
    </row>
    <row r="505" spans="8:47" x14ac:dyDescent="0.2">
      <c r="H505" s="23"/>
      <c r="N505" s="6"/>
      <c r="Q505" s="23"/>
      <c r="R505" s="23"/>
      <c r="AR505" s="23"/>
      <c r="AS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S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S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S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R515" s="23"/>
      <c r="AS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  <c r="AR517" s="23"/>
      <c r="AS517" s="23"/>
      <c r="AT517" s="23"/>
      <c r="AU517" s="23"/>
    </row>
    <row r="518" spans="8:47" x14ac:dyDescent="0.2">
      <c r="H518" s="23"/>
      <c r="N518" s="6"/>
      <c r="Q518" s="23"/>
      <c r="R518" s="23"/>
      <c r="AR518" s="23"/>
      <c r="AS518" s="23"/>
      <c r="AT518" s="23"/>
      <c r="AU518" s="23"/>
    </row>
    <row r="519" spans="8:47" x14ac:dyDescent="0.2">
      <c r="H519" s="23"/>
      <c r="N519" s="6"/>
      <c r="Q519" s="23"/>
      <c r="R519" s="23"/>
      <c r="AR519" s="23"/>
      <c r="AS519" s="23"/>
      <c r="AT519" s="23"/>
      <c r="AU519" s="23"/>
    </row>
    <row r="520" spans="8:47" x14ac:dyDescent="0.2">
      <c r="H520" s="23"/>
      <c r="N520" s="6"/>
      <c r="Q520" s="23"/>
      <c r="R520" s="23"/>
      <c r="AR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S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S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S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S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T538" s="23"/>
      <c r="AU538" s="23"/>
    </row>
    <row r="539" spans="8:47" x14ac:dyDescent="0.2">
      <c r="H539" s="23"/>
      <c r="N539" s="6"/>
      <c r="Q539" s="23"/>
      <c r="R539" s="23"/>
      <c r="AR539" s="23"/>
      <c r="AS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T540" s="23"/>
      <c r="AU540" s="23"/>
    </row>
    <row r="541" spans="8:47" x14ac:dyDescent="0.2">
      <c r="H541" s="23"/>
      <c r="N541" s="6"/>
      <c r="Q541" s="23"/>
      <c r="R541" s="23"/>
      <c r="AR541" s="23"/>
      <c r="AS541" s="23"/>
      <c r="AT541" s="23"/>
      <c r="AU541" s="23"/>
    </row>
    <row r="542" spans="8:47" x14ac:dyDescent="0.2">
      <c r="H542" s="23"/>
      <c r="N542" s="6"/>
      <c r="Q542" s="23"/>
      <c r="R542" s="23"/>
      <c r="AR542" s="23"/>
      <c r="AS542" s="23"/>
      <c r="AT542" s="23"/>
      <c r="AU542" s="23"/>
    </row>
    <row r="543" spans="8:47" x14ac:dyDescent="0.2">
      <c r="H543" s="23"/>
      <c r="N543" s="6"/>
      <c r="Q543" s="23"/>
      <c r="R543" s="23"/>
      <c r="AR543" s="23"/>
      <c r="AT543" s="23"/>
      <c r="AU543" s="23"/>
    </row>
    <row r="544" spans="8:47" x14ac:dyDescent="0.2">
      <c r="H544" s="23"/>
      <c r="N544" s="6"/>
      <c r="Q544" s="23"/>
      <c r="R544" s="23"/>
      <c r="AR544" s="23"/>
      <c r="AS544" s="23"/>
      <c r="AT544" s="23"/>
      <c r="AU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  <c r="AR548" s="23"/>
      <c r="AS548" s="23"/>
      <c r="AT548" s="23"/>
      <c r="AU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S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S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  <c r="AR556" s="23"/>
      <c r="AS556" s="23"/>
      <c r="AT556" s="23"/>
      <c r="AU556" s="23"/>
    </row>
    <row r="557" spans="8:47" x14ac:dyDescent="0.2">
      <c r="H557" s="23"/>
      <c r="N557" s="6"/>
      <c r="Q557" s="23"/>
      <c r="R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  <c r="AR563" s="23"/>
      <c r="AS563" s="23"/>
      <c r="AT563" s="23"/>
      <c r="AU563" s="23"/>
    </row>
    <row r="564" spans="8:47" x14ac:dyDescent="0.2">
      <c r="H564" s="23"/>
      <c r="N564" s="6"/>
      <c r="Q564" s="23"/>
      <c r="R564" s="23"/>
      <c r="AR564" s="23"/>
      <c r="AS564" s="23"/>
      <c r="AT564" s="23"/>
      <c r="AU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  <c r="AU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S568" s="23"/>
      <c r="AT568" s="23"/>
      <c r="AU568" s="23"/>
    </row>
    <row r="569" spans="8:47" x14ac:dyDescent="0.2">
      <c r="H569" s="23"/>
      <c r="N569" s="6"/>
      <c r="Q569" s="23"/>
      <c r="R569" s="23"/>
      <c r="AR569" s="23"/>
      <c r="AS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R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  <c r="AR581" s="23"/>
      <c r="AS581" s="23"/>
      <c r="AT581" s="23"/>
      <c r="AU581" s="23"/>
    </row>
    <row r="582" spans="8:47" x14ac:dyDescent="0.2">
      <c r="H582" s="23"/>
      <c r="N582" s="6"/>
      <c r="Q582" s="23"/>
      <c r="R582" s="23"/>
      <c r="AR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</row>
    <row r="589" spans="8:47" x14ac:dyDescent="0.2">
      <c r="H589" s="23"/>
      <c r="N589" s="6"/>
      <c r="Q589" s="23"/>
      <c r="R589" s="23"/>
      <c r="AR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S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T596" s="23"/>
      <c r="AU596" s="23"/>
    </row>
    <row r="597" spans="8:47" x14ac:dyDescent="0.2">
      <c r="H597" s="23"/>
      <c r="N597" s="6"/>
      <c r="Q597" s="23"/>
      <c r="R597" s="23"/>
      <c r="AR597" s="23"/>
      <c r="AT597" s="23"/>
      <c r="AU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  <c r="AU599" s="23"/>
    </row>
    <row r="600" spans="8:47" x14ac:dyDescent="0.2">
      <c r="H600" s="23"/>
      <c r="N600" s="6"/>
      <c r="Q600" s="23"/>
      <c r="R600" s="23"/>
      <c r="AR600" s="23"/>
      <c r="AS600" s="23"/>
      <c r="AT600" s="23"/>
      <c r="AU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S606" s="23"/>
      <c r="AT606" s="23"/>
      <c r="AU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4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4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4"/>
    </row>
    <row r="611" spans="8:47" x14ac:dyDescent="0.2">
      <c r="H611" s="23"/>
      <c r="N611" s="6"/>
      <c r="Q611" s="23"/>
      <c r="R611" s="23"/>
      <c r="AR611" s="23"/>
      <c r="AS611" s="23"/>
      <c r="AT611" s="23"/>
      <c r="AU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3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4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4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  <c r="AU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3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4"/>
    </row>
    <row r="623" spans="8:47" x14ac:dyDescent="0.2">
      <c r="H623" s="23"/>
      <c r="N623" s="6"/>
      <c r="Q623" s="23"/>
      <c r="R623" s="23"/>
      <c r="AR623" s="23"/>
      <c r="AS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  <c r="AR628" s="23"/>
      <c r="AS628" s="23"/>
      <c r="AT628" s="23"/>
      <c r="AU628" s="24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4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3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3"/>
    </row>
    <row r="636" spans="8:47" x14ac:dyDescent="0.2">
      <c r="H636" s="23"/>
      <c r="N636" s="6"/>
      <c r="Q636" s="23"/>
      <c r="R636" s="23"/>
      <c r="AR636" s="23"/>
      <c r="AS636" s="23"/>
      <c r="AT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4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3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R643" s="23"/>
      <c r="AS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4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S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  <c r="AU648" s="23"/>
    </row>
    <row r="649" spans="8:47" x14ac:dyDescent="0.2">
      <c r="H649" s="23"/>
      <c r="N649" s="6"/>
      <c r="Q649" s="23"/>
      <c r="R649" s="23"/>
      <c r="AR649" s="23"/>
      <c r="AS649" s="23"/>
      <c r="AT649" s="23"/>
      <c r="AU649" s="24"/>
    </row>
    <row r="650" spans="8:47" x14ac:dyDescent="0.2">
      <c r="H650" s="23"/>
      <c r="N650" s="6"/>
      <c r="Q650" s="23"/>
      <c r="R650" s="23"/>
      <c r="AR650" s="23"/>
      <c r="AS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4"/>
    </row>
    <row r="652" spans="8:47" x14ac:dyDescent="0.2">
      <c r="H652" s="23"/>
      <c r="N652" s="6"/>
      <c r="Q652" s="23"/>
      <c r="R652" s="23"/>
      <c r="AR652" s="23"/>
      <c r="AS652" s="23"/>
      <c r="AT652" s="23"/>
      <c r="AU652" s="23"/>
    </row>
    <row r="653" spans="8:47" x14ac:dyDescent="0.2">
      <c r="H653" s="23"/>
      <c r="N653" s="6"/>
      <c r="Q653" s="23"/>
      <c r="R653" s="23"/>
      <c r="AR653" s="23"/>
      <c r="AS653" s="23"/>
      <c r="AT653" s="23"/>
      <c r="AU653" s="23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  <c r="AR655" s="23"/>
      <c r="AS655" s="23"/>
      <c r="AT655" s="23"/>
      <c r="AU655" s="23"/>
    </row>
    <row r="656" spans="8:47" x14ac:dyDescent="0.2">
      <c r="H656" s="23"/>
      <c r="N656" s="6"/>
      <c r="Q656" s="23"/>
      <c r="R656" s="23"/>
      <c r="AR656" s="23"/>
      <c r="AS656" s="23"/>
      <c r="AT656" s="23"/>
      <c r="AU656" s="23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S659" s="23"/>
      <c r="AT659" s="23"/>
      <c r="AU659" s="23"/>
    </row>
    <row r="660" spans="8:47" x14ac:dyDescent="0.2">
      <c r="H660" s="23"/>
      <c r="N660" s="6"/>
      <c r="Q660" s="23"/>
      <c r="R660" s="23"/>
      <c r="AT660" s="23"/>
      <c r="AU660" s="24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3"/>
    </row>
    <row r="662" spans="8:47" x14ac:dyDescent="0.2">
      <c r="H662" s="23"/>
      <c r="N662" s="6"/>
      <c r="Q662" s="23"/>
      <c r="R662" s="23"/>
      <c r="AT662" s="23"/>
      <c r="AU662" s="24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  <c r="AR664" s="23"/>
      <c r="AS664" s="23"/>
      <c r="AT664" s="23"/>
      <c r="AU664" s="23"/>
    </row>
    <row r="665" spans="8:47" x14ac:dyDescent="0.2">
      <c r="H665" s="23"/>
      <c r="N665" s="6"/>
      <c r="Q665" s="23"/>
      <c r="R665" s="23"/>
      <c r="AT665" s="23"/>
      <c r="AU665" s="24"/>
    </row>
    <row r="666" spans="8:47" x14ac:dyDescent="0.2">
      <c r="H666" s="23"/>
      <c r="N666" s="6"/>
      <c r="Q666" s="23"/>
      <c r="R666" s="23"/>
      <c r="AR666" s="23"/>
      <c r="AS666" s="23"/>
      <c r="AT666" s="23"/>
      <c r="AU666" s="23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  <c r="AU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S670" s="23"/>
      <c r="AT670" s="23"/>
      <c r="AU670" s="23"/>
    </row>
    <row r="671" spans="8:47" x14ac:dyDescent="0.2">
      <c r="H671" s="23"/>
      <c r="N671" s="6"/>
      <c r="Q671" s="23"/>
      <c r="R671" s="23"/>
      <c r="AR671" s="23"/>
      <c r="AS671" s="23"/>
      <c r="AT671" s="23"/>
      <c r="AU671" s="23"/>
    </row>
    <row r="672" spans="8:47" x14ac:dyDescent="0.2">
      <c r="H672" s="23"/>
      <c r="N672" s="6"/>
      <c r="Q672" s="23"/>
      <c r="R672" s="23"/>
      <c r="AR672" s="23"/>
      <c r="AS672" s="23"/>
      <c r="AT672" s="23"/>
      <c r="AU672" s="23"/>
    </row>
    <row r="673" spans="8:47" x14ac:dyDescent="0.2">
      <c r="H673" s="23"/>
      <c r="N673" s="6"/>
      <c r="Q673" s="23"/>
      <c r="R673" s="23"/>
      <c r="AR673" s="23"/>
      <c r="AS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R675" s="23"/>
      <c r="AS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4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S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S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S683" s="23"/>
      <c r="AT683" s="23"/>
      <c r="AU683" s="23"/>
    </row>
    <row r="684" spans="8:47" x14ac:dyDescent="0.2">
      <c r="H684" s="23"/>
      <c r="N684" s="6"/>
      <c r="Q684" s="23"/>
      <c r="R684" s="23"/>
      <c r="AR684" s="23"/>
      <c r="AS684" s="23"/>
      <c r="AT684" s="23"/>
      <c r="AU684" s="23"/>
    </row>
    <row r="685" spans="8:47" x14ac:dyDescent="0.2">
      <c r="H685" s="23"/>
      <c r="N685" s="6"/>
      <c r="Q685" s="23"/>
      <c r="R685" s="23"/>
      <c r="AR685" s="23"/>
      <c r="AS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3"/>
    </row>
    <row r="687" spans="8:47" x14ac:dyDescent="0.2">
      <c r="H687" s="23"/>
      <c r="N687" s="6"/>
      <c r="Q687" s="23"/>
      <c r="R687" s="23"/>
      <c r="AR687" s="23"/>
      <c r="AS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R690" s="23"/>
      <c r="AS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R692" s="23"/>
      <c r="AS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R698" s="23"/>
      <c r="AS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R700" s="23"/>
      <c r="AS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T701" s="23"/>
      <c r="AU701" s="24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3"/>
    </row>
    <row r="704" spans="8:47" x14ac:dyDescent="0.2">
      <c r="H704" s="23"/>
      <c r="N704" s="6"/>
      <c r="Q704" s="23"/>
      <c r="R704" s="23"/>
      <c r="AR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  <c r="AU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4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3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3"/>
    </row>
    <row r="712" spans="8:47" x14ac:dyDescent="0.2">
      <c r="H712" s="23"/>
      <c r="N712" s="6"/>
      <c r="Q712" s="23"/>
      <c r="R712" s="23"/>
      <c r="AT712" s="23"/>
      <c r="AU712" s="23"/>
    </row>
    <row r="713" spans="8:47" x14ac:dyDescent="0.2">
      <c r="H713" s="23"/>
      <c r="N713" s="6"/>
      <c r="Q713" s="23"/>
      <c r="R713" s="23"/>
      <c r="AR713" s="23"/>
      <c r="AT713" s="23"/>
      <c r="AU713" s="23"/>
    </row>
    <row r="714" spans="8:47" x14ac:dyDescent="0.2">
      <c r="H714" s="23"/>
      <c r="N714" s="6"/>
      <c r="Q714" s="23"/>
      <c r="R714" s="23"/>
      <c r="AR714" s="23"/>
      <c r="AS714" s="23"/>
      <c r="AT714" s="23"/>
      <c r="AU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3"/>
    </row>
    <row r="718" spans="8:47" x14ac:dyDescent="0.2">
      <c r="H718" s="23"/>
      <c r="N718" s="6"/>
      <c r="Q718" s="23"/>
      <c r="R718" s="23"/>
      <c r="AR718" s="23"/>
      <c r="AS718" s="23"/>
      <c r="AT718" s="23"/>
      <c r="AU718" s="23"/>
    </row>
    <row r="719" spans="8:47" x14ac:dyDescent="0.2">
      <c r="H719" s="23"/>
      <c r="N719" s="6"/>
      <c r="Q719" s="23"/>
      <c r="R719" s="23"/>
      <c r="AR719" s="23"/>
      <c r="AS719" s="23"/>
      <c r="AT719" s="23"/>
      <c r="AU719" s="23"/>
    </row>
    <row r="720" spans="8:47" x14ac:dyDescent="0.2">
      <c r="H720" s="23"/>
      <c r="N720" s="6"/>
      <c r="Q720" s="23"/>
      <c r="R720" s="23"/>
      <c r="AR720" s="23"/>
      <c r="AS720" s="23"/>
      <c r="AT720" s="23"/>
      <c r="AU720" s="23"/>
    </row>
    <row r="721" spans="8:47" x14ac:dyDescent="0.2">
      <c r="H721" s="23"/>
      <c r="N721" s="6"/>
      <c r="Q721" s="23"/>
      <c r="R721" s="23"/>
      <c r="AR721" s="23"/>
      <c r="AT721" s="23"/>
      <c r="AU721" s="23"/>
    </row>
    <row r="722" spans="8:47" x14ac:dyDescent="0.2">
      <c r="H722" s="23"/>
      <c r="N722" s="6"/>
      <c r="Q722" s="23"/>
      <c r="R722" s="23"/>
      <c r="AR722" s="23"/>
      <c r="AS722" s="23"/>
      <c r="AT722" s="23"/>
      <c r="AU722" s="23"/>
    </row>
    <row r="723" spans="8:47" x14ac:dyDescent="0.2">
      <c r="H723" s="23"/>
      <c r="N723" s="6"/>
      <c r="Q723" s="23"/>
      <c r="R723" s="23"/>
      <c r="AR723" s="23"/>
      <c r="AS723" s="23"/>
      <c r="AT723" s="23"/>
      <c r="AU723" s="24"/>
    </row>
    <row r="724" spans="8:47" x14ac:dyDescent="0.2">
      <c r="H724" s="23"/>
      <c r="N724" s="6"/>
      <c r="Q724" s="23"/>
      <c r="R724" s="23"/>
      <c r="AR724" s="23"/>
      <c r="AS724" s="23"/>
      <c r="AT724" s="23"/>
      <c r="AU724" s="23"/>
    </row>
    <row r="725" spans="8:47" x14ac:dyDescent="0.2">
      <c r="H725" s="23"/>
      <c r="N725" s="6"/>
      <c r="Q725" s="23"/>
      <c r="R725" s="23"/>
      <c r="AR725" s="23"/>
      <c r="AS725" s="23"/>
      <c r="AT725" s="23"/>
      <c r="AU725" s="23"/>
    </row>
    <row r="726" spans="8:47" x14ac:dyDescent="0.2">
      <c r="H726" s="23"/>
      <c r="N726" s="6"/>
      <c r="Q726" s="23"/>
      <c r="R726" s="23"/>
      <c r="AR726" s="23"/>
      <c r="AS726" s="23"/>
      <c r="AT726" s="23"/>
      <c r="AU726" s="23"/>
    </row>
    <row r="727" spans="8:47" x14ac:dyDescent="0.2">
      <c r="H727" s="23"/>
      <c r="N727" s="6"/>
      <c r="Q727" s="23"/>
      <c r="R727" s="23"/>
      <c r="AR727" s="23"/>
      <c r="AS727" s="23"/>
      <c r="AT727" s="23"/>
      <c r="AU727" s="23"/>
    </row>
    <row r="728" spans="8:47" x14ac:dyDescent="0.2">
      <c r="H728" s="23"/>
      <c r="N728" s="6"/>
      <c r="Q728" s="23"/>
      <c r="R728" s="23"/>
      <c r="AR728" s="23"/>
      <c r="AS728" s="23"/>
      <c r="AT728" s="23"/>
      <c r="AU728" s="23"/>
    </row>
    <row r="729" spans="8:47" x14ac:dyDescent="0.2">
      <c r="H729" s="23"/>
      <c r="N729" s="6"/>
      <c r="Q729" s="23"/>
      <c r="R729" s="23"/>
      <c r="AR729" s="23"/>
      <c r="AS729" s="23"/>
      <c r="AT729" s="23"/>
      <c r="AU729" s="23"/>
    </row>
    <row r="730" spans="8:47" x14ac:dyDescent="0.2">
      <c r="H730" s="23"/>
      <c r="N730" s="6"/>
      <c r="Q730" s="23"/>
      <c r="R730" s="23"/>
      <c r="AR730" s="23"/>
      <c r="AS730" s="23"/>
      <c r="AT730" s="23"/>
      <c r="AU730" s="23"/>
    </row>
    <row r="731" spans="8:47" x14ac:dyDescent="0.2">
      <c r="H731" s="23"/>
      <c r="N731" s="6"/>
      <c r="Q731" s="23"/>
      <c r="R731" s="23"/>
      <c r="AR731" s="23"/>
      <c r="AS731" s="23"/>
      <c r="AT731" s="23"/>
      <c r="AU731" s="23"/>
    </row>
    <row r="732" spans="8:47" x14ac:dyDescent="0.2">
      <c r="H732" s="23"/>
      <c r="N732" s="6"/>
      <c r="Q732" s="23"/>
      <c r="R732" s="23"/>
      <c r="AR732" s="23"/>
      <c r="AS732" s="23"/>
      <c r="AT732" s="23"/>
      <c r="AU732" s="23"/>
    </row>
    <row r="733" spans="8:47" x14ac:dyDescent="0.2">
      <c r="H733" s="23"/>
      <c r="N733" s="6"/>
      <c r="Q733" s="23"/>
      <c r="R733" s="23"/>
      <c r="AR733" s="23"/>
      <c r="AT733" s="23"/>
      <c r="AU733" s="23"/>
    </row>
    <row r="734" spans="8:47" x14ac:dyDescent="0.2">
      <c r="H734" s="23"/>
      <c r="N734" s="6"/>
      <c r="Q734" s="23"/>
      <c r="R734" s="23"/>
      <c r="AR734" s="23"/>
      <c r="AS734" s="23"/>
      <c r="AT734" s="23"/>
      <c r="AU734" s="23"/>
    </row>
    <row r="735" spans="8:47" x14ac:dyDescent="0.2">
      <c r="H735" s="23"/>
      <c r="N735" s="6"/>
      <c r="Q735" s="23"/>
      <c r="R735" s="23"/>
      <c r="AR735" s="23"/>
      <c r="AS735" s="23"/>
      <c r="AT735" s="23"/>
      <c r="AU735" s="23"/>
    </row>
    <row r="736" spans="8:47" x14ac:dyDescent="0.2">
      <c r="H736" s="23"/>
      <c r="N736" s="6"/>
      <c r="Q736" s="23"/>
      <c r="R736" s="23"/>
      <c r="AR736" s="23"/>
      <c r="AS736" s="23"/>
      <c r="AT736" s="23"/>
    </row>
    <row r="737" spans="8:47" x14ac:dyDescent="0.2">
      <c r="H737" s="23"/>
      <c r="N737" s="6"/>
      <c r="Q737" s="23"/>
      <c r="R737" s="23"/>
      <c r="AR737" s="23"/>
      <c r="AS737" s="23"/>
      <c r="AT737" s="23"/>
      <c r="AU737" s="23"/>
    </row>
    <row r="738" spans="8:47" x14ac:dyDescent="0.2">
      <c r="H738" s="23"/>
      <c r="N738" s="6"/>
      <c r="Q738" s="23"/>
      <c r="R738" s="23"/>
      <c r="AR738" s="23"/>
      <c r="AS738" s="23"/>
      <c r="AT738" s="23"/>
      <c r="AU738" s="23"/>
    </row>
    <row r="739" spans="8:47" x14ac:dyDescent="0.2">
      <c r="H739" s="23"/>
      <c r="N739" s="6"/>
      <c r="Q739" s="23"/>
      <c r="R739" s="23"/>
      <c r="AR739" s="23"/>
      <c r="AT739" s="23"/>
      <c r="AU739" s="23"/>
    </row>
    <row r="740" spans="8:47" x14ac:dyDescent="0.2">
      <c r="H740" s="23"/>
      <c r="N740" s="6"/>
      <c r="Q740" s="23"/>
      <c r="R740" s="23"/>
      <c r="AR740" s="23"/>
      <c r="AS740" s="23"/>
      <c r="AT740" s="23"/>
      <c r="AU740" s="23"/>
    </row>
    <row r="741" spans="8:47" x14ac:dyDescent="0.2">
      <c r="H741" s="23"/>
      <c r="N741" s="6"/>
      <c r="Q741" s="23"/>
      <c r="R741" s="23"/>
      <c r="AR741" s="23"/>
      <c r="AS741" s="23"/>
      <c r="AT741" s="23"/>
      <c r="AU741" s="23"/>
    </row>
    <row r="742" spans="8:47" x14ac:dyDescent="0.2">
      <c r="H742" s="23"/>
      <c r="N742" s="6"/>
      <c r="Q742" s="23"/>
      <c r="R742" s="23"/>
      <c r="AR742" s="23"/>
      <c r="AS742" s="23"/>
      <c r="AT742" s="23"/>
      <c r="AU742" s="23"/>
    </row>
    <row r="743" spans="8:47" x14ac:dyDescent="0.2">
      <c r="H743" s="23"/>
      <c r="N743" s="6"/>
      <c r="Q743" s="23"/>
      <c r="R743" s="23"/>
      <c r="AR743" s="23"/>
      <c r="AS743" s="23"/>
      <c r="AT743" s="23"/>
      <c r="AU743" s="23"/>
    </row>
    <row r="744" spans="8:47" x14ac:dyDescent="0.2">
      <c r="H744" s="23"/>
      <c r="N744" s="6"/>
      <c r="Q744" s="23"/>
      <c r="R744" s="23"/>
      <c r="AR744" s="23"/>
      <c r="AS744" s="23"/>
      <c r="AT744" s="23"/>
      <c r="AU744" s="23"/>
    </row>
    <row r="745" spans="8:47" x14ac:dyDescent="0.2">
      <c r="H745" s="23"/>
      <c r="N745" s="6"/>
      <c r="Q745" s="23"/>
      <c r="R745" s="23"/>
      <c r="AR745" s="23"/>
      <c r="AS745" s="23"/>
      <c r="AT745" s="23"/>
    </row>
    <row r="746" spans="8:47" x14ac:dyDescent="0.2">
      <c r="H746" s="23"/>
      <c r="N746" s="6"/>
      <c r="Q746" s="23"/>
      <c r="R746" s="23"/>
      <c r="AR746" s="23"/>
      <c r="AS746" s="23"/>
      <c r="AT746" s="23"/>
      <c r="AU746" s="23"/>
    </row>
    <row r="747" spans="8:47" x14ac:dyDescent="0.2">
      <c r="H747" s="23"/>
      <c r="N747" s="6"/>
      <c r="Q747" s="23"/>
      <c r="R747" s="23"/>
      <c r="AR747" s="23"/>
      <c r="AT747" s="23"/>
      <c r="AU747" s="23"/>
    </row>
    <row r="748" spans="8:47" x14ac:dyDescent="0.2">
      <c r="H748" s="23"/>
      <c r="N748" s="6"/>
      <c r="Q748" s="23"/>
      <c r="R748" s="23"/>
      <c r="AT748" s="23"/>
      <c r="AU748" s="23"/>
    </row>
    <row r="749" spans="8:47" x14ac:dyDescent="0.2">
      <c r="H749" s="23"/>
      <c r="N749" s="6"/>
      <c r="Q749" s="23"/>
      <c r="R749" s="23"/>
      <c r="AR749" s="23"/>
      <c r="AS749" s="23"/>
      <c r="AT749" s="23"/>
      <c r="AU749" s="23"/>
    </row>
    <row r="750" spans="8:47" x14ac:dyDescent="0.2">
      <c r="H750" s="23"/>
      <c r="N750" s="6"/>
      <c r="Q750" s="23"/>
      <c r="R750" s="23"/>
      <c r="AR750" s="23"/>
      <c r="AS750" s="23"/>
      <c r="AT750" s="23"/>
      <c r="AU750" s="23"/>
    </row>
    <row r="751" spans="8:47" x14ac:dyDescent="0.2">
      <c r="H751" s="23"/>
      <c r="N751" s="6"/>
      <c r="Q751" s="23"/>
      <c r="R751" s="23"/>
      <c r="AR751" s="23"/>
      <c r="AS751" s="23"/>
      <c r="AT751" s="23"/>
      <c r="AU751" s="23"/>
    </row>
    <row r="752" spans="8:47" x14ac:dyDescent="0.2">
      <c r="H752" s="23"/>
      <c r="N752" s="6"/>
      <c r="Q752" s="23"/>
      <c r="R752" s="23"/>
      <c r="AR752" s="23"/>
      <c r="AS752" s="23"/>
      <c r="AT752" s="23"/>
      <c r="AU752" s="23"/>
    </row>
    <row r="753" spans="8:47" x14ac:dyDescent="0.2">
      <c r="H753" s="23"/>
      <c r="N753" s="6"/>
      <c r="Q753" s="23"/>
      <c r="R753" s="23"/>
      <c r="AR753" s="23"/>
      <c r="AS753" s="23"/>
      <c r="AT753" s="23"/>
      <c r="AU753" s="23"/>
    </row>
    <row r="754" spans="8:47" x14ac:dyDescent="0.2">
      <c r="H754" s="23"/>
      <c r="N754" s="6"/>
      <c r="Q754" s="23"/>
      <c r="R754" s="23"/>
      <c r="AT754" s="23"/>
      <c r="AU754" s="23"/>
    </row>
    <row r="755" spans="8:47" x14ac:dyDescent="0.2">
      <c r="H755" s="23"/>
      <c r="N755" s="6"/>
      <c r="Q755" s="23"/>
      <c r="R755" s="23"/>
      <c r="AR755" s="23"/>
      <c r="AS755" s="23"/>
      <c r="AT755" s="23"/>
      <c r="AU755" s="23"/>
    </row>
    <row r="756" spans="8:47" x14ac:dyDescent="0.2">
      <c r="H756" s="23"/>
      <c r="N756" s="6"/>
      <c r="Q756" s="23"/>
      <c r="R756" s="23"/>
      <c r="AR756" s="23"/>
      <c r="AS756" s="23"/>
      <c r="AT756" s="23"/>
      <c r="AU756" s="23"/>
    </row>
    <row r="757" spans="8:47" x14ac:dyDescent="0.2">
      <c r="H757" s="23"/>
      <c r="N757" s="6"/>
      <c r="Q757" s="23"/>
      <c r="R757" s="23"/>
      <c r="AR757" s="23"/>
      <c r="AS757" s="23"/>
      <c r="AT757" s="23"/>
      <c r="AU757" s="23"/>
    </row>
    <row r="758" spans="8:47" x14ac:dyDescent="0.2">
      <c r="H758" s="23"/>
      <c r="N758" s="6"/>
      <c r="Q758" s="23"/>
      <c r="R758" s="23"/>
      <c r="AT758" s="23"/>
      <c r="AU758" s="23"/>
    </row>
    <row r="759" spans="8:47" x14ac:dyDescent="0.2">
      <c r="H759" s="23"/>
      <c r="N759" s="6"/>
      <c r="Q759" s="23"/>
      <c r="R759" s="23"/>
      <c r="AR759" s="23"/>
      <c r="AS759" s="23"/>
      <c r="AT759" s="23"/>
      <c r="AU759" s="23"/>
    </row>
    <row r="760" spans="8:47" x14ac:dyDescent="0.2">
      <c r="H760" s="23"/>
      <c r="N760" s="6"/>
      <c r="Q760" s="23"/>
      <c r="R760" s="23"/>
      <c r="AR760" s="23"/>
      <c r="AS760" s="23"/>
      <c r="AT760" s="23"/>
      <c r="AU760" s="23"/>
    </row>
    <row r="761" spans="8:47" x14ac:dyDescent="0.2">
      <c r="H761" s="23"/>
      <c r="N761" s="6"/>
      <c r="Q761" s="23"/>
      <c r="R761" s="23"/>
      <c r="AR761" s="23"/>
      <c r="AT761" s="23"/>
      <c r="AU761" s="23"/>
    </row>
    <row r="762" spans="8:47" x14ac:dyDescent="0.2">
      <c r="H762" s="23"/>
      <c r="N762" s="6"/>
      <c r="Q762" s="23"/>
      <c r="R762" s="23"/>
      <c r="AR762" s="23"/>
      <c r="AS762" s="23"/>
      <c r="AT762" s="23"/>
      <c r="AU762" s="23"/>
    </row>
    <row r="763" spans="8:47" x14ac:dyDescent="0.2">
      <c r="H763" s="23"/>
      <c r="N763" s="6"/>
      <c r="Q763" s="23"/>
      <c r="R763" s="23"/>
      <c r="AT763" s="23"/>
      <c r="AU763" s="23"/>
    </row>
    <row r="764" spans="8:47" x14ac:dyDescent="0.2">
      <c r="H764" s="23"/>
      <c r="N764" s="6"/>
      <c r="Q764" s="23"/>
      <c r="R764" s="23"/>
      <c r="AR764" s="23"/>
      <c r="AS764" s="23"/>
      <c r="AT764" s="23"/>
      <c r="AU764" s="23"/>
    </row>
    <row r="765" spans="8:47" x14ac:dyDescent="0.2">
      <c r="H765" s="23"/>
      <c r="N765" s="6"/>
      <c r="Q765" s="23"/>
      <c r="R765" s="23"/>
      <c r="AR765" s="23"/>
      <c r="AS765" s="23"/>
      <c r="AT765" s="23"/>
      <c r="AU765" s="23"/>
    </row>
    <row r="766" spans="8:47" x14ac:dyDescent="0.2">
      <c r="H766" s="23"/>
      <c r="N766" s="6"/>
      <c r="Q766" s="23"/>
      <c r="R766" s="23"/>
      <c r="AT766" s="23"/>
      <c r="AU766" s="23"/>
    </row>
    <row r="767" spans="8:47" x14ac:dyDescent="0.2">
      <c r="H767" s="23"/>
      <c r="N767" s="6"/>
      <c r="Q767" s="23"/>
      <c r="R767" s="23"/>
      <c r="AT767" s="23"/>
      <c r="AU767" s="23"/>
    </row>
    <row r="768" spans="8:47" x14ac:dyDescent="0.2">
      <c r="H768" s="23"/>
      <c r="N768" s="6"/>
      <c r="Q768" s="23"/>
      <c r="R768" s="23"/>
      <c r="AR768" s="23"/>
      <c r="AS768" s="23"/>
      <c r="AT768" s="23"/>
      <c r="AU768" s="23"/>
    </row>
    <row r="769" spans="8:47" x14ac:dyDescent="0.2">
      <c r="H769" s="23"/>
      <c r="N769" s="6"/>
      <c r="Q769" s="23"/>
      <c r="R769" s="23"/>
      <c r="AR769" s="23"/>
      <c r="AS769" s="23"/>
      <c r="AT769" s="23"/>
      <c r="AU769" s="23"/>
    </row>
    <row r="770" spans="8:47" x14ac:dyDescent="0.2">
      <c r="H770" s="23"/>
      <c r="N770" s="6"/>
      <c r="Q770" s="23"/>
      <c r="R770" s="23"/>
      <c r="AR770" s="23"/>
      <c r="AS770" s="23"/>
      <c r="AT770" s="23"/>
      <c r="AU770" s="23"/>
    </row>
    <row r="771" spans="8:47" x14ac:dyDescent="0.2">
      <c r="H771" s="23"/>
      <c r="N771" s="6"/>
      <c r="Q771" s="23"/>
      <c r="R771" s="23"/>
      <c r="AR771" s="23"/>
      <c r="AS771" s="23"/>
      <c r="AT771" s="23"/>
      <c r="AU771" s="23"/>
    </row>
    <row r="772" spans="8:47" x14ac:dyDescent="0.2">
      <c r="H772" s="23"/>
      <c r="N772" s="6"/>
      <c r="Q772" s="23"/>
      <c r="R772" s="23"/>
      <c r="AR772" s="23"/>
      <c r="AS772" s="23"/>
      <c r="AT772" s="23"/>
      <c r="AU772" s="23"/>
    </row>
    <row r="773" spans="8:47" x14ac:dyDescent="0.2">
      <c r="H773" s="23"/>
      <c r="N773" s="6"/>
      <c r="Q773" s="23"/>
      <c r="R773" s="23"/>
      <c r="AR773" s="23"/>
      <c r="AS773" s="23"/>
      <c r="AT773" s="23"/>
      <c r="AU773" s="23"/>
    </row>
    <row r="774" spans="8:47" x14ac:dyDescent="0.2">
      <c r="H774" s="23"/>
      <c r="N774" s="6"/>
      <c r="Q774" s="23"/>
      <c r="R774" s="23"/>
      <c r="AR774" s="23"/>
      <c r="AS774" s="23"/>
      <c r="AT774" s="23"/>
      <c r="AU774" s="23"/>
    </row>
    <row r="775" spans="8:47" x14ac:dyDescent="0.2">
      <c r="H775" s="23"/>
      <c r="N775" s="6"/>
      <c r="Q775" s="23"/>
      <c r="R775" s="23"/>
      <c r="AR775" s="23"/>
      <c r="AS775" s="23"/>
      <c r="AT775" s="23"/>
      <c r="AU775" s="23"/>
    </row>
    <row r="776" spans="8:47" x14ac:dyDescent="0.2">
      <c r="H776" s="23"/>
      <c r="N776" s="6"/>
      <c r="Q776" s="23"/>
      <c r="R776" s="23"/>
      <c r="AR776" s="23"/>
      <c r="AS776" s="23"/>
      <c r="AT776" s="23"/>
      <c r="AU776" s="23"/>
    </row>
    <row r="777" spans="8:47" x14ac:dyDescent="0.2">
      <c r="H777" s="23"/>
      <c r="N777" s="6"/>
      <c r="Q777" s="23"/>
      <c r="R777" s="23"/>
      <c r="AR777" s="23"/>
      <c r="AS777" s="23"/>
      <c r="AT777" s="23"/>
      <c r="AU777" s="23"/>
    </row>
    <row r="778" spans="8:47" x14ac:dyDescent="0.2">
      <c r="H778" s="23"/>
      <c r="N778" s="6"/>
      <c r="Q778" s="23"/>
      <c r="R778" s="23"/>
      <c r="AR778" s="23"/>
      <c r="AS778" s="23"/>
      <c r="AT778" s="23"/>
      <c r="AU778" s="23"/>
    </row>
    <row r="779" spans="8:47" x14ac:dyDescent="0.2">
      <c r="H779" s="23"/>
      <c r="N779" s="6"/>
      <c r="Q779" s="23"/>
      <c r="R779" s="23"/>
      <c r="AR779" s="23"/>
      <c r="AS779" s="23"/>
      <c r="AT779" s="23"/>
      <c r="AU779" s="23"/>
    </row>
    <row r="780" spans="8:47" x14ac:dyDescent="0.2">
      <c r="H780" s="23"/>
      <c r="N780" s="6"/>
      <c r="Q780" s="23"/>
      <c r="R780" s="23"/>
      <c r="AR780" s="23"/>
      <c r="AS780" s="23"/>
      <c r="AT780" s="23"/>
      <c r="AU780" s="23"/>
    </row>
    <row r="781" spans="8:47" x14ac:dyDescent="0.2">
      <c r="H781" s="23"/>
      <c r="N781" s="6"/>
      <c r="Q781" s="23"/>
      <c r="R781" s="23"/>
      <c r="AR781" s="23"/>
      <c r="AS781" s="23"/>
      <c r="AT781" s="23"/>
      <c r="AU781" s="23"/>
    </row>
    <row r="782" spans="8:47" x14ac:dyDescent="0.2">
      <c r="H782" s="23"/>
      <c r="N782" s="6"/>
      <c r="Q782" s="23"/>
      <c r="R782" s="23"/>
      <c r="AR782" s="23"/>
      <c r="AS782" s="23"/>
      <c r="AT782" s="23"/>
      <c r="AU782" s="23"/>
    </row>
    <row r="783" spans="8:47" x14ac:dyDescent="0.2">
      <c r="H783" s="23"/>
      <c r="N783" s="6"/>
      <c r="Q783" s="23"/>
      <c r="R783" s="23"/>
      <c r="AR783" s="23"/>
      <c r="AS783" s="23"/>
      <c r="AT783" s="23"/>
      <c r="AU783" s="23"/>
    </row>
    <row r="784" spans="8:47" x14ac:dyDescent="0.2">
      <c r="H784" s="23"/>
      <c r="N784" s="6"/>
      <c r="Q784" s="23"/>
      <c r="R784" s="23"/>
      <c r="AR784" s="23"/>
      <c r="AT784" s="23"/>
      <c r="AU784" s="23"/>
    </row>
    <row r="785" spans="8:47" x14ac:dyDescent="0.2">
      <c r="H785" s="23"/>
      <c r="N785" s="6"/>
      <c r="Q785" s="23"/>
      <c r="R785" s="23"/>
      <c r="AR785" s="23"/>
      <c r="AT785" s="23"/>
      <c r="AU785" s="23"/>
    </row>
    <row r="786" spans="8:47" x14ac:dyDescent="0.2">
      <c r="H786" s="23"/>
      <c r="N786" s="6"/>
      <c r="Q786" s="23"/>
      <c r="R786" s="23"/>
      <c r="AR786" s="23"/>
      <c r="AT786" s="23"/>
      <c r="AU786" s="23"/>
    </row>
    <row r="787" spans="8:47" x14ac:dyDescent="0.2">
      <c r="H787" s="23"/>
      <c r="N787" s="6"/>
      <c r="Q787" s="23"/>
      <c r="R787" s="23"/>
      <c r="AR787" s="23"/>
      <c r="AS787" s="23"/>
      <c r="AT787" s="23"/>
      <c r="AU787" s="23"/>
    </row>
    <row r="788" spans="8:47" x14ac:dyDescent="0.2">
      <c r="H788" s="23"/>
      <c r="N788" s="6"/>
      <c r="Q788" s="23"/>
      <c r="R788" s="23"/>
      <c r="AR788" s="23"/>
      <c r="AS788" s="23"/>
      <c r="AT788" s="23"/>
      <c r="AU788" s="23"/>
    </row>
    <row r="789" spans="8:47" x14ac:dyDescent="0.2">
      <c r="H789" s="23"/>
      <c r="N789" s="6"/>
      <c r="Q789" s="23"/>
      <c r="R789" s="23"/>
      <c r="AR789" s="23"/>
      <c r="AS789" s="23"/>
      <c r="AT789" s="23"/>
      <c r="AU789" s="23"/>
    </row>
    <row r="790" spans="8:47" x14ac:dyDescent="0.2">
      <c r="H790" s="23"/>
      <c r="N790" s="6"/>
      <c r="Q790" s="23"/>
      <c r="R790" s="23"/>
      <c r="AR790" s="23"/>
      <c r="AS790" s="23"/>
      <c r="AT790" s="23"/>
      <c r="AU790" s="23"/>
    </row>
    <row r="791" spans="8:47" x14ac:dyDescent="0.2">
      <c r="H791" s="23"/>
      <c r="N791" s="6"/>
      <c r="Q791" s="23"/>
      <c r="R791" s="23"/>
      <c r="AR791" s="23"/>
      <c r="AS791" s="23"/>
      <c r="AT791" s="23"/>
      <c r="AU791" s="23"/>
    </row>
    <row r="792" spans="8:47" x14ac:dyDescent="0.2">
      <c r="H792" s="23"/>
      <c r="N792" s="6"/>
      <c r="Q792" s="23"/>
      <c r="R792" s="23"/>
      <c r="AR792" s="23"/>
      <c r="AS792" s="23"/>
      <c r="AT792" s="23"/>
      <c r="AU792" s="23"/>
    </row>
    <row r="793" spans="8:47" x14ac:dyDescent="0.2">
      <c r="H793" s="23"/>
      <c r="N793" s="6"/>
      <c r="Q793" s="23"/>
      <c r="R793" s="23"/>
      <c r="AR793" s="23"/>
      <c r="AS793" s="23"/>
      <c r="AT793" s="23"/>
      <c r="AU793" s="23"/>
    </row>
    <row r="794" spans="8:47" x14ac:dyDescent="0.2">
      <c r="H794" s="23"/>
      <c r="N794" s="6"/>
      <c r="Q794" s="23"/>
      <c r="R794" s="23"/>
      <c r="AR794" s="23"/>
      <c r="AS794" s="23"/>
      <c r="AT794" s="23"/>
      <c r="AU794" s="23"/>
    </row>
    <row r="795" spans="8:47" x14ac:dyDescent="0.2">
      <c r="H795" s="23"/>
      <c r="N795" s="6"/>
      <c r="Q795" s="23"/>
      <c r="R795" s="23"/>
      <c r="AR795" s="23"/>
      <c r="AS795" s="23"/>
      <c r="AT795" s="23"/>
      <c r="AU795" s="23"/>
    </row>
    <row r="796" spans="8:47" x14ac:dyDescent="0.2">
      <c r="H796" s="23"/>
      <c r="N796" s="6"/>
      <c r="Q796" s="23"/>
      <c r="R796" s="23"/>
      <c r="AR796" s="23"/>
      <c r="AT796" s="23"/>
      <c r="AU796" s="23"/>
    </row>
    <row r="797" spans="8:47" x14ac:dyDescent="0.2">
      <c r="H797" s="23"/>
      <c r="N797" s="6"/>
      <c r="Q797" s="23"/>
      <c r="R797" s="23"/>
      <c r="AR797" s="23"/>
      <c r="AT797" s="23"/>
      <c r="AU797" s="23"/>
    </row>
    <row r="798" spans="8:47" x14ac:dyDescent="0.2">
      <c r="H798" s="23"/>
      <c r="N798" s="6"/>
      <c r="Q798" s="23"/>
      <c r="R798" s="23"/>
      <c r="AT798" s="23"/>
      <c r="AU798" s="23"/>
    </row>
    <row r="799" spans="8:47" x14ac:dyDescent="0.2">
      <c r="H799" s="23"/>
      <c r="N799" s="6"/>
      <c r="Q799" s="23"/>
      <c r="R799" s="23"/>
      <c r="AR799" s="23"/>
      <c r="AS799" s="23"/>
      <c r="AT799" s="23"/>
      <c r="AU799" s="23"/>
    </row>
    <row r="800" spans="8:47" x14ac:dyDescent="0.2">
      <c r="H800" s="23"/>
      <c r="N800" s="6"/>
      <c r="Q800" s="23"/>
      <c r="R800" s="23"/>
      <c r="AR800" s="23"/>
      <c r="AS800" s="23"/>
      <c r="AT800" s="23"/>
      <c r="AU800" s="23"/>
    </row>
    <row r="801" spans="8:47" x14ac:dyDescent="0.2">
      <c r="H801" s="23"/>
      <c r="N801" s="6"/>
      <c r="Q801" s="23"/>
      <c r="R801" s="23"/>
      <c r="AR801" s="23"/>
      <c r="AS801" s="23"/>
      <c r="AT801" s="23"/>
      <c r="AU801" s="23"/>
    </row>
    <row r="802" spans="8:47" x14ac:dyDescent="0.2">
      <c r="H802" s="23"/>
      <c r="N802" s="6"/>
      <c r="Q802" s="23"/>
      <c r="R802" s="23"/>
      <c r="AR802" s="23"/>
      <c r="AS802" s="23"/>
      <c r="AT802" s="23"/>
      <c r="AU802" s="23"/>
    </row>
    <row r="803" spans="8:47" x14ac:dyDescent="0.2">
      <c r="H803" s="23"/>
      <c r="N803" s="6"/>
      <c r="Q803" s="23"/>
      <c r="R803" s="23"/>
      <c r="AR803" s="23"/>
      <c r="AT803" s="23"/>
      <c r="AU803" s="23"/>
    </row>
    <row r="804" spans="8:47" x14ac:dyDescent="0.2">
      <c r="H804" s="23"/>
      <c r="N804" s="6"/>
      <c r="Q804" s="23"/>
      <c r="R804" s="23"/>
      <c r="AR804" s="23"/>
      <c r="AS804" s="23"/>
      <c r="AT804" s="23"/>
      <c r="AU804" s="23"/>
    </row>
    <row r="805" spans="8:47" x14ac:dyDescent="0.2">
      <c r="H805" s="23"/>
      <c r="N805" s="6"/>
      <c r="Q805" s="23"/>
      <c r="R805" s="23"/>
      <c r="AR805" s="23"/>
      <c r="AS805" s="23"/>
      <c r="AT805" s="23"/>
      <c r="AU805" s="23"/>
    </row>
    <row r="806" spans="8:47" x14ac:dyDescent="0.2">
      <c r="H806" s="23"/>
      <c r="N806" s="6"/>
      <c r="Q806" s="23"/>
      <c r="R806" s="23"/>
      <c r="AR806" s="23"/>
      <c r="AS806" s="23"/>
      <c r="AT806" s="23"/>
      <c r="AU806" s="23"/>
    </row>
    <row r="807" spans="8:47" x14ac:dyDescent="0.2">
      <c r="H807" s="23"/>
      <c r="N807" s="6"/>
      <c r="Q807" s="23"/>
      <c r="R807" s="23"/>
      <c r="AR807" s="23"/>
      <c r="AS807" s="23"/>
      <c r="AT807" s="23"/>
      <c r="AU807" s="23"/>
    </row>
    <row r="808" spans="8:47" x14ac:dyDescent="0.2">
      <c r="H808" s="23"/>
      <c r="N808" s="6"/>
      <c r="Q808" s="23"/>
      <c r="R808" s="23"/>
      <c r="AR808" s="23"/>
      <c r="AS808" s="23"/>
      <c r="AT808" s="23"/>
      <c r="AU808" s="23"/>
    </row>
    <row r="809" spans="8:47" x14ac:dyDescent="0.2">
      <c r="H809" s="23"/>
      <c r="N809" s="6"/>
      <c r="Q809" s="23"/>
      <c r="R809" s="23"/>
      <c r="AR809" s="23"/>
      <c r="AS809" s="23"/>
      <c r="AT809" s="23"/>
      <c r="AU809" s="23"/>
    </row>
    <row r="810" spans="8:47" x14ac:dyDescent="0.2">
      <c r="H810" s="23"/>
      <c r="N810" s="6"/>
      <c r="Q810" s="23"/>
      <c r="R810" s="23"/>
      <c r="AR810" s="23"/>
      <c r="AS810" s="23"/>
      <c r="AT810" s="23"/>
      <c r="AU810" s="23"/>
    </row>
    <row r="811" spans="8:47" x14ac:dyDescent="0.2">
      <c r="H811" s="23"/>
      <c r="N811" s="6"/>
      <c r="Q811" s="23"/>
      <c r="R811" s="23"/>
      <c r="AR811" s="23"/>
      <c r="AS811" s="23"/>
      <c r="AT811" s="23"/>
      <c r="AU811" s="23"/>
    </row>
    <row r="812" spans="8:47" x14ac:dyDescent="0.2">
      <c r="H812" s="23"/>
      <c r="N812" s="6"/>
      <c r="Q812" s="23"/>
      <c r="R812" s="23"/>
      <c r="AR812" s="23"/>
      <c r="AS812" s="23"/>
      <c r="AT812" s="23"/>
      <c r="AU812" s="23"/>
    </row>
    <row r="813" spans="8:47" x14ac:dyDescent="0.2">
      <c r="H813" s="23"/>
      <c r="N813" s="6"/>
      <c r="Q813" s="23"/>
      <c r="R813" s="23"/>
      <c r="AR813" s="23"/>
      <c r="AS813" s="23"/>
      <c r="AT813" s="23"/>
      <c r="AU813" s="23"/>
    </row>
    <row r="814" spans="8:47" x14ac:dyDescent="0.2">
      <c r="H814" s="23"/>
      <c r="N814" s="6"/>
      <c r="Q814" s="23"/>
      <c r="R814" s="23"/>
      <c r="AR814" s="23"/>
      <c r="AS814" s="23"/>
      <c r="AT814" s="23"/>
      <c r="AU814" s="23"/>
    </row>
    <row r="815" spans="8:47" x14ac:dyDescent="0.2">
      <c r="H815" s="23"/>
      <c r="N815" s="6"/>
      <c r="Q815" s="23"/>
      <c r="R815" s="23"/>
      <c r="AR815" s="23"/>
      <c r="AS815" s="23"/>
      <c r="AT815" s="23"/>
      <c r="AU815" s="23"/>
    </row>
    <row r="816" spans="8:47" x14ac:dyDescent="0.2">
      <c r="H816" s="23"/>
      <c r="N816" s="6"/>
      <c r="Q816" s="23"/>
      <c r="R816" s="23"/>
      <c r="AR816" s="23"/>
      <c r="AS816" s="23"/>
      <c r="AT816" s="23"/>
      <c r="AU816" s="23"/>
    </row>
    <row r="817" spans="8:47" x14ac:dyDescent="0.2">
      <c r="H817" s="23"/>
      <c r="N817" s="6"/>
      <c r="Q817" s="23"/>
      <c r="R817" s="23"/>
      <c r="AR817" s="23"/>
      <c r="AS817" s="23"/>
      <c r="AT817" s="23"/>
      <c r="AU817" s="23"/>
    </row>
    <row r="818" spans="8:47" x14ac:dyDescent="0.2">
      <c r="H818" s="23"/>
      <c r="N818" s="6"/>
      <c r="Q818" s="23"/>
      <c r="R818" s="23"/>
      <c r="AT818" s="23"/>
      <c r="AU818" s="23"/>
    </row>
    <row r="819" spans="8:47" x14ac:dyDescent="0.2">
      <c r="H819" s="23"/>
      <c r="N819" s="6"/>
      <c r="Q819" s="23"/>
      <c r="R819" s="23"/>
      <c r="AT819" s="23"/>
      <c r="AU819" s="23"/>
    </row>
    <row r="820" spans="8:47" x14ac:dyDescent="0.2">
      <c r="H820" s="23"/>
      <c r="N820" s="6"/>
      <c r="Q820" s="23"/>
      <c r="R820" s="23"/>
      <c r="AR820" s="23"/>
      <c r="AS820" s="23"/>
      <c r="AT820" s="23"/>
      <c r="AU820" s="23"/>
    </row>
    <row r="821" spans="8:47" x14ac:dyDescent="0.2">
      <c r="H821" s="23"/>
      <c r="N821" s="6"/>
      <c r="Q821" s="23"/>
      <c r="R821" s="23"/>
      <c r="AR821" s="23"/>
      <c r="AS821" s="23"/>
      <c r="AT821" s="23"/>
      <c r="AU821" s="23"/>
    </row>
    <row r="822" spans="8:47" x14ac:dyDescent="0.2">
      <c r="H822" s="23"/>
      <c r="N822" s="6"/>
      <c r="Q822" s="23"/>
      <c r="R822" s="23"/>
      <c r="AR822" s="23"/>
      <c r="AS822" s="23"/>
      <c r="AT822" s="23"/>
      <c r="AU822" s="23"/>
    </row>
    <row r="823" spans="8:47" x14ac:dyDescent="0.2">
      <c r="H823" s="23"/>
      <c r="N823" s="6"/>
      <c r="Q823" s="23"/>
      <c r="R823" s="23"/>
      <c r="AR823" s="23"/>
      <c r="AS823" s="23"/>
      <c r="AT823" s="23"/>
      <c r="AU823" s="23"/>
    </row>
    <row r="824" spans="8:47" x14ac:dyDescent="0.2">
      <c r="H824" s="23"/>
      <c r="N824" s="6"/>
      <c r="Q824" s="23"/>
      <c r="R824" s="23"/>
      <c r="AR824" s="23"/>
      <c r="AS824" s="23"/>
      <c r="AT824" s="23"/>
      <c r="AU824" s="23"/>
    </row>
    <row r="825" spans="8:47" x14ac:dyDescent="0.2">
      <c r="H825" s="23"/>
      <c r="N825" s="6"/>
      <c r="Q825" s="23"/>
      <c r="R825" s="23"/>
      <c r="AR825" s="23"/>
      <c r="AS825" s="23"/>
      <c r="AT825" s="23"/>
      <c r="AU825" s="23"/>
    </row>
    <row r="826" spans="8:47" x14ac:dyDescent="0.2">
      <c r="H826" s="23"/>
      <c r="N826" s="6"/>
      <c r="Q826" s="23"/>
      <c r="R826" s="23"/>
      <c r="AR826" s="23"/>
      <c r="AS826" s="23"/>
      <c r="AT826" s="23"/>
      <c r="AU826" s="23"/>
    </row>
    <row r="827" spans="8:47" x14ac:dyDescent="0.2">
      <c r="H827" s="23"/>
      <c r="N827" s="6"/>
      <c r="Q827" s="23"/>
      <c r="R827" s="23"/>
      <c r="AR827" s="23"/>
      <c r="AS827" s="23"/>
      <c r="AT827" s="23"/>
      <c r="AU827" s="23"/>
    </row>
    <row r="828" spans="8:47" x14ac:dyDescent="0.2">
      <c r="H828" s="23"/>
      <c r="N828" s="6"/>
      <c r="Q828" s="23"/>
      <c r="R828" s="23"/>
      <c r="AR828" s="23"/>
      <c r="AS828" s="23"/>
      <c r="AT828" s="23"/>
      <c r="AU828" s="23"/>
    </row>
    <row r="829" spans="8:47" x14ac:dyDescent="0.2">
      <c r="H829" s="23"/>
      <c r="N829" s="6"/>
      <c r="Q829" s="23"/>
      <c r="R829" s="23"/>
      <c r="AR829" s="23"/>
      <c r="AS829" s="23"/>
      <c r="AT829" s="23"/>
      <c r="AU829" s="23"/>
    </row>
    <row r="830" spans="8:47" x14ac:dyDescent="0.2">
      <c r="H830" s="23"/>
      <c r="N830" s="6"/>
      <c r="Q830" s="23"/>
      <c r="R830" s="23"/>
      <c r="AR830" s="23"/>
      <c r="AS830" s="23"/>
      <c r="AT830" s="23"/>
      <c r="AU830" s="23"/>
    </row>
    <row r="831" spans="8:47" x14ac:dyDescent="0.2">
      <c r="H831" s="23"/>
      <c r="N831" s="6"/>
      <c r="Q831" s="23"/>
      <c r="R831" s="23"/>
      <c r="AR831" s="23"/>
      <c r="AS831" s="23"/>
      <c r="AT831" s="23"/>
      <c r="AU831" s="23"/>
    </row>
    <row r="832" spans="8:47" x14ac:dyDescent="0.2">
      <c r="H832" s="23"/>
      <c r="N832" s="6"/>
      <c r="Q832" s="23"/>
      <c r="R832" s="23"/>
      <c r="AR832" s="23"/>
      <c r="AS832" s="23"/>
      <c r="AT832" s="23"/>
      <c r="AU832" s="23"/>
    </row>
    <row r="833" spans="8:47" x14ac:dyDescent="0.2">
      <c r="H833" s="23"/>
      <c r="N833" s="6"/>
      <c r="Q833" s="23"/>
      <c r="R833" s="23"/>
      <c r="AR833" s="23"/>
      <c r="AS833" s="23"/>
      <c r="AT833" s="23"/>
      <c r="AU833" s="23"/>
    </row>
    <row r="834" spans="8:47" x14ac:dyDescent="0.2">
      <c r="H834" s="23"/>
      <c r="N834" s="6"/>
      <c r="Q834" s="23"/>
      <c r="R834" s="23"/>
      <c r="AR834" s="23"/>
      <c r="AS834" s="23"/>
      <c r="AT834" s="23"/>
      <c r="AU834" s="23"/>
    </row>
    <row r="835" spans="8:47" x14ac:dyDescent="0.2">
      <c r="H835" s="23"/>
      <c r="N835" s="6"/>
      <c r="Q835" s="23"/>
      <c r="R835" s="23"/>
      <c r="AR835" s="23"/>
      <c r="AS835" s="23"/>
      <c r="AT835" s="23"/>
      <c r="AU835" s="23"/>
    </row>
    <row r="836" spans="8:47" x14ac:dyDescent="0.2">
      <c r="H836" s="23"/>
      <c r="N836" s="6"/>
      <c r="Q836" s="23"/>
      <c r="R836" s="23"/>
      <c r="AR836" s="23"/>
      <c r="AS836" s="23"/>
      <c r="AT836" s="23"/>
      <c r="AU836" s="23"/>
    </row>
    <row r="837" spans="8:47" x14ac:dyDescent="0.2">
      <c r="H837" s="23"/>
      <c r="N837" s="6"/>
      <c r="Q837" s="23"/>
      <c r="R837" s="23"/>
      <c r="AR837" s="23"/>
      <c r="AS837" s="23"/>
      <c r="AT837" s="23"/>
      <c r="AU837" s="23"/>
    </row>
    <row r="838" spans="8:47" x14ac:dyDescent="0.2">
      <c r="H838" s="23"/>
      <c r="N838" s="6"/>
      <c r="Q838" s="23"/>
      <c r="R838" s="23"/>
      <c r="AR838" s="23"/>
      <c r="AT838" s="23"/>
      <c r="AU838" s="23"/>
    </row>
    <row r="839" spans="8:47" x14ac:dyDescent="0.2">
      <c r="H839" s="23"/>
      <c r="N839" s="6"/>
      <c r="Q839" s="23"/>
      <c r="R839" s="23"/>
      <c r="AR839" s="23"/>
      <c r="AS839" s="23"/>
      <c r="AT839" s="23"/>
      <c r="AU839" s="23"/>
    </row>
    <row r="840" spans="8:47" x14ac:dyDescent="0.2">
      <c r="H840" s="23"/>
      <c r="N840" s="6"/>
      <c r="Q840" s="23"/>
      <c r="R840" s="23"/>
      <c r="AR840" s="23"/>
      <c r="AS840" s="23"/>
      <c r="AT840" s="23"/>
      <c r="AU840" s="23"/>
    </row>
    <row r="841" spans="8:47" x14ac:dyDescent="0.2">
      <c r="H841" s="23"/>
      <c r="N841" s="6"/>
      <c r="Q841" s="23"/>
      <c r="R841" s="23"/>
      <c r="AR841" s="23"/>
      <c r="AS841" s="23"/>
      <c r="AT841" s="23"/>
      <c r="AU841" s="23"/>
    </row>
    <row r="842" spans="8:47" x14ac:dyDescent="0.2">
      <c r="H842" s="23"/>
      <c r="N842" s="6"/>
      <c r="Q842" s="23"/>
      <c r="R842" s="23"/>
      <c r="AR842" s="23"/>
      <c r="AS842" s="23"/>
      <c r="AT842" s="23"/>
      <c r="AU842" s="23"/>
    </row>
    <row r="843" spans="8:47" x14ac:dyDescent="0.2">
      <c r="H843" s="23"/>
      <c r="N843" s="6"/>
      <c r="Q843" s="23"/>
      <c r="R843" s="23"/>
      <c r="AR843" s="23"/>
      <c r="AS843" s="23"/>
      <c r="AT843" s="23"/>
      <c r="AU843" s="23"/>
    </row>
    <row r="844" spans="8:47" x14ac:dyDescent="0.2">
      <c r="H844" s="23"/>
      <c r="N844" s="6"/>
      <c r="Q844" s="23"/>
      <c r="R844" s="23"/>
      <c r="AR844" s="23"/>
      <c r="AS844" s="23"/>
      <c r="AT844" s="23"/>
      <c r="AU844" s="23"/>
    </row>
    <row r="845" spans="8:47" x14ac:dyDescent="0.2">
      <c r="H845" s="23"/>
      <c r="N845" s="6"/>
      <c r="Q845" s="23"/>
      <c r="R845" s="23"/>
      <c r="AR845" s="23"/>
      <c r="AS845" s="23"/>
      <c r="AT845" s="23"/>
      <c r="AU845" s="23"/>
    </row>
    <row r="846" spans="8:47" x14ac:dyDescent="0.2">
      <c r="H846" s="23"/>
      <c r="N846" s="6"/>
      <c r="Q846" s="23"/>
      <c r="R846" s="23"/>
      <c r="AR846" s="23"/>
      <c r="AS846" s="23"/>
      <c r="AT846" s="23"/>
      <c r="AU846" s="23"/>
    </row>
    <row r="847" spans="8:47" x14ac:dyDescent="0.2">
      <c r="H847" s="23"/>
      <c r="N847" s="6"/>
      <c r="Q847" s="23"/>
      <c r="R847" s="23"/>
      <c r="AR847" s="23"/>
      <c r="AT847" s="23"/>
      <c r="AU847" s="23"/>
    </row>
    <row r="848" spans="8:47" x14ac:dyDescent="0.2">
      <c r="H848" s="23"/>
      <c r="N848" s="6"/>
      <c r="Q848" s="23"/>
      <c r="R848" s="23"/>
      <c r="AR848" s="23"/>
      <c r="AS848" s="23"/>
      <c r="AT848" s="23"/>
      <c r="AU848" s="23"/>
    </row>
    <row r="849" spans="8:47" x14ac:dyDescent="0.2">
      <c r="H849" s="23"/>
      <c r="N849" s="6"/>
      <c r="Q849" s="23"/>
      <c r="R849" s="23"/>
      <c r="AR849" s="23"/>
      <c r="AS849" s="23"/>
      <c r="AT849" s="23"/>
      <c r="AU849" s="23"/>
    </row>
    <row r="850" spans="8:47" x14ac:dyDescent="0.2">
      <c r="H850" s="23"/>
      <c r="N850" s="6"/>
      <c r="Q850" s="23"/>
      <c r="R850" s="23"/>
      <c r="AR850" s="23"/>
      <c r="AS850" s="23"/>
      <c r="AT850" s="23"/>
      <c r="AU850" s="23"/>
    </row>
    <row r="851" spans="8:47" x14ac:dyDescent="0.2">
      <c r="H851" s="23"/>
      <c r="N851" s="6"/>
      <c r="Q851" s="23"/>
      <c r="R851" s="23"/>
      <c r="AR851" s="23"/>
      <c r="AS851" s="23"/>
      <c r="AT851" s="23"/>
      <c r="AU851" s="23"/>
    </row>
    <row r="852" spans="8:47" x14ac:dyDescent="0.2">
      <c r="H852" s="23"/>
      <c r="N852" s="6"/>
      <c r="Q852" s="23"/>
      <c r="R852" s="23"/>
      <c r="AR852" s="23"/>
      <c r="AS852" s="23"/>
      <c r="AT852" s="23"/>
      <c r="AU852" s="23"/>
    </row>
    <row r="853" spans="8:47" x14ac:dyDescent="0.2">
      <c r="H853" s="23"/>
      <c r="N853" s="6"/>
      <c r="Q853" s="23"/>
      <c r="R853" s="23"/>
      <c r="AR853" s="23"/>
      <c r="AS853" s="23"/>
      <c r="AT853" s="23"/>
      <c r="AU853" s="23"/>
    </row>
    <row r="854" spans="8:47" x14ac:dyDescent="0.2">
      <c r="H854" s="23"/>
      <c r="N854" s="6"/>
      <c r="Q854" s="23"/>
      <c r="R854" s="23"/>
      <c r="AR854" s="23"/>
      <c r="AS854" s="23"/>
      <c r="AT854" s="23"/>
      <c r="AU854" s="23"/>
    </row>
    <row r="855" spans="8:47" x14ac:dyDescent="0.2">
      <c r="H855" s="23"/>
      <c r="N855" s="6"/>
      <c r="Q855" s="23"/>
      <c r="R855" s="23"/>
      <c r="AR855" s="23"/>
      <c r="AS855" s="23"/>
      <c r="AT855" s="23"/>
      <c r="AU855" s="23"/>
    </row>
    <row r="856" spans="8:47" x14ac:dyDescent="0.2">
      <c r="H856" s="23"/>
      <c r="N856" s="6"/>
      <c r="Q856" s="23"/>
      <c r="R856" s="23"/>
      <c r="AR856" s="23"/>
      <c r="AT856" s="23"/>
      <c r="AU856" s="23"/>
    </row>
    <row r="857" spans="8:47" x14ac:dyDescent="0.2">
      <c r="H857" s="23"/>
      <c r="N857" s="6"/>
      <c r="Q857" s="23"/>
      <c r="R857" s="23"/>
      <c r="AR857" s="23"/>
      <c r="AS857" s="23"/>
      <c r="AT857" s="23"/>
      <c r="AU857" s="23"/>
    </row>
    <row r="858" spans="8:47" x14ac:dyDescent="0.2">
      <c r="H858" s="23"/>
      <c r="N858" s="6"/>
      <c r="Q858" s="23"/>
      <c r="R858" s="23"/>
      <c r="AR858" s="23"/>
      <c r="AS858" s="23"/>
      <c r="AT858" s="23"/>
      <c r="AU858" s="23"/>
    </row>
    <row r="859" spans="8:47" x14ac:dyDescent="0.2">
      <c r="H859" s="23"/>
      <c r="N859" s="6"/>
      <c r="Q859" s="23"/>
      <c r="R859" s="23"/>
      <c r="AR859" s="23"/>
      <c r="AS859" s="23"/>
      <c r="AT859" s="23"/>
      <c r="AU859" s="23"/>
    </row>
    <row r="860" spans="8:47" x14ac:dyDescent="0.2">
      <c r="H860" s="23"/>
      <c r="N860" s="6"/>
      <c r="Q860" s="23"/>
      <c r="R860" s="23"/>
      <c r="AR860" s="23"/>
      <c r="AS860" s="23"/>
      <c r="AT860" s="23"/>
      <c r="AU860" s="23"/>
    </row>
    <row r="861" spans="8:47" x14ac:dyDescent="0.2">
      <c r="H861" s="23"/>
      <c r="N861" s="6"/>
      <c r="Q861" s="23"/>
      <c r="R861" s="23"/>
      <c r="AT861" s="23"/>
      <c r="AU861" s="23"/>
    </row>
    <row r="862" spans="8:47" x14ac:dyDescent="0.2">
      <c r="H862" s="23"/>
      <c r="N862" s="6"/>
      <c r="Q862" s="23"/>
      <c r="R862" s="23"/>
      <c r="AR862" s="23"/>
      <c r="AS862" s="23"/>
      <c r="AT862" s="23"/>
      <c r="AU862" s="23"/>
    </row>
    <row r="863" spans="8:47" x14ac:dyDescent="0.2">
      <c r="H863" s="23"/>
      <c r="N863" s="6"/>
      <c r="Q863" s="23"/>
      <c r="R863" s="23"/>
      <c r="AR863" s="23"/>
      <c r="AS863" s="23"/>
      <c r="AT863" s="23"/>
      <c r="AU863" s="23"/>
    </row>
    <row r="864" spans="8:47" x14ac:dyDescent="0.2">
      <c r="H864" s="23"/>
      <c r="N864" s="6"/>
      <c r="Q864" s="23"/>
      <c r="R864" s="23"/>
      <c r="AR864" s="23"/>
      <c r="AS864" s="23"/>
      <c r="AT864" s="23"/>
      <c r="AU864" s="23"/>
    </row>
    <row r="865" spans="8:47" x14ac:dyDescent="0.2">
      <c r="H865" s="23"/>
      <c r="N865" s="6"/>
      <c r="Q865" s="23"/>
      <c r="R865" s="23"/>
      <c r="AR865" s="23"/>
      <c r="AS865" s="23"/>
      <c r="AT865" s="23"/>
      <c r="AU865" s="23"/>
    </row>
    <row r="866" spans="8:47" x14ac:dyDescent="0.2">
      <c r="H866" s="23"/>
      <c r="N866" s="6"/>
      <c r="Q866" s="23"/>
      <c r="R866" s="23"/>
      <c r="AR866" s="23"/>
      <c r="AT866" s="23"/>
      <c r="AU866" s="23"/>
    </row>
    <row r="867" spans="8:47" x14ac:dyDescent="0.2">
      <c r="H867" s="23"/>
      <c r="N867" s="6"/>
      <c r="Q867" s="23"/>
      <c r="R867" s="23"/>
      <c r="AR867" s="23"/>
      <c r="AS867" s="23"/>
      <c r="AT867" s="23"/>
      <c r="AU867" s="23"/>
    </row>
    <row r="868" spans="8:47" x14ac:dyDescent="0.2">
      <c r="H868" s="23"/>
      <c r="N868" s="6"/>
      <c r="Q868" s="23"/>
      <c r="R868" s="23"/>
      <c r="AR868" s="23"/>
      <c r="AS868" s="23"/>
      <c r="AT868" s="23"/>
      <c r="AU868" s="23"/>
    </row>
    <row r="869" spans="8:47" x14ac:dyDescent="0.2">
      <c r="H869" s="23"/>
      <c r="N869" s="6"/>
      <c r="Q869" s="23"/>
      <c r="R869" s="23"/>
      <c r="AR869" s="23"/>
      <c r="AS869" s="23"/>
      <c r="AT869" s="23"/>
      <c r="AU869" s="23"/>
    </row>
    <row r="870" spans="8:47" x14ac:dyDescent="0.2">
      <c r="H870" s="23"/>
      <c r="N870" s="6"/>
      <c r="Q870" s="23"/>
      <c r="R870" s="23"/>
      <c r="AR870" s="23"/>
      <c r="AS870" s="23"/>
      <c r="AT870" s="23"/>
      <c r="AU870" s="23"/>
    </row>
    <row r="871" spans="8:47" x14ac:dyDescent="0.2">
      <c r="H871" s="23"/>
      <c r="N871" s="6"/>
      <c r="Q871" s="23"/>
      <c r="R871" s="23"/>
      <c r="AR871" s="23"/>
      <c r="AS871" s="23"/>
      <c r="AT871" s="23"/>
      <c r="AU871" s="23"/>
    </row>
    <row r="872" spans="8:47" x14ac:dyDescent="0.2">
      <c r="H872" s="23"/>
      <c r="N872" s="6"/>
      <c r="Q872" s="23"/>
      <c r="R872" s="23"/>
      <c r="AR872" s="23"/>
      <c r="AS872" s="23"/>
      <c r="AT872" s="23"/>
      <c r="AU872" s="23"/>
    </row>
    <row r="873" spans="8:47" x14ac:dyDescent="0.2">
      <c r="H873" s="23"/>
      <c r="N873" s="6"/>
      <c r="Q873" s="23"/>
      <c r="R873" s="23"/>
      <c r="AR873" s="23"/>
      <c r="AS873" s="23"/>
      <c r="AT873" s="23"/>
      <c r="AU873" s="23"/>
    </row>
    <row r="874" spans="8:47" x14ac:dyDescent="0.2">
      <c r="H874" s="23"/>
      <c r="N874" s="6"/>
      <c r="Q874" s="23"/>
      <c r="R874" s="23"/>
      <c r="AR874" s="23"/>
      <c r="AS874" s="23"/>
      <c r="AT874" s="23"/>
      <c r="AU874" s="23"/>
    </row>
    <row r="875" spans="8:47" x14ac:dyDescent="0.2">
      <c r="H875" s="23"/>
      <c r="N875" s="6"/>
      <c r="Q875" s="23"/>
      <c r="R875" s="23"/>
      <c r="AR875" s="23"/>
      <c r="AS875" s="23"/>
      <c r="AT875" s="23"/>
      <c r="AU875" s="23"/>
    </row>
    <row r="876" spans="8:47" x14ac:dyDescent="0.2">
      <c r="H876" s="23"/>
      <c r="N876" s="6"/>
      <c r="Q876" s="23"/>
      <c r="R876" s="23"/>
      <c r="AR876" s="23"/>
      <c r="AS876" s="23"/>
      <c r="AT876" s="23"/>
      <c r="AU876" s="23"/>
    </row>
    <row r="877" spans="8:47" x14ac:dyDescent="0.2">
      <c r="H877" s="23"/>
      <c r="N877" s="6"/>
      <c r="Q877" s="23"/>
      <c r="R877" s="23"/>
    </row>
    <row r="878" spans="8:47" x14ac:dyDescent="0.2">
      <c r="H878" s="23"/>
      <c r="N878" s="6"/>
      <c r="Q878" s="23"/>
      <c r="R878" s="23"/>
      <c r="AR878" s="23"/>
      <c r="AS878" s="23"/>
      <c r="AT878" s="23"/>
      <c r="AU878" s="23"/>
    </row>
    <row r="879" spans="8:47" x14ac:dyDescent="0.2">
      <c r="H879" s="23"/>
      <c r="N879" s="6"/>
      <c r="Q879" s="23"/>
      <c r="R879" s="23"/>
      <c r="AR879" s="23"/>
      <c r="AS879" s="23"/>
      <c r="AT879" s="23"/>
      <c r="AU879" s="23"/>
    </row>
    <row r="880" spans="8:47" x14ac:dyDescent="0.2">
      <c r="H880" s="23"/>
      <c r="N880" s="6"/>
      <c r="Q880" s="23"/>
      <c r="R880" s="23"/>
      <c r="AR880" s="23"/>
      <c r="AS880" s="23"/>
      <c r="AT880" s="23"/>
      <c r="AU880" s="23"/>
    </row>
    <row r="881" spans="8:47" x14ac:dyDescent="0.2">
      <c r="H881" s="23"/>
      <c r="N881" s="6"/>
      <c r="Q881" s="23"/>
      <c r="R881" s="23"/>
      <c r="AR881" s="23"/>
      <c r="AS881" s="23"/>
      <c r="AT881" s="23"/>
      <c r="AU881" s="23"/>
    </row>
    <row r="882" spans="8:47" x14ac:dyDescent="0.2">
      <c r="H882" s="23"/>
      <c r="N882" s="6"/>
      <c r="Q882" s="23"/>
      <c r="R882" s="23"/>
      <c r="AR882" s="23"/>
      <c r="AS882" s="23"/>
      <c r="AT882" s="23"/>
      <c r="AU882" s="23"/>
    </row>
    <row r="883" spans="8:47" x14ac:dyDescent="0.2">
      <c r="H883" s="23"/>
      <c r="N883" s="6"/>
      <c r="Q883" s="23"/>
      <c r="R883" s="23"/>
      <c r="AR883" s="23"/>
      <c r="AS883" s="23"/>
      <c r="AT883" s="23"/>
      <c r="AU883" s="23"/>
    </row>
    <row r="884" spans="8:47" x14ac:dyDescent="0.2">
      <c r="H884" s="23"/>
      <c r="N884" s="6"/>
      <c r="Q884" s="23"/>
      <c r="R884" s="23"/>
      <c r="AR884" s="23"/>
      <c r="AS884" s="23"/>
      <c r="AT884" s="23"/>
      <c r="AU884" s="23"/>
    </row>
    <row r="885" spans="8:47" x14ac:dyDescent="0.2">
      <c r="H885" s="23"/>
      <c r="N885" s="6"/>
      <c r="Q885" s="23"/>
      <c r="R885" s="23"/>
      <c r="AT885" s="23"/>
      <c r="AU885" s="23"/>
    </row>
    <row r="886" spans="8:47" x14ac:dyDescent="0.2">
      <c r="H886" s="23"/>
      <c r="N886" s="6"/>
      <c r="Q886" s="23"/>
      <c r="R886" s="23"/>
      <c r="AR886" s="23"/>
      <c r="AS886" s="23"/>
      <c r="AT886" s="23"/>
      <c r="AU886" s="23"/>
    </row>
    <row r="887" spans="8:47" x14ac:dyDescent="0.2">
      <c r="H887" s="23"/>
      <c r="N887" s="6"/>
      <c r="Q887" s="23"/>
      <c r="R887" s="23"/>
      <c r="AT887" s="23"/>
      <c r="AU887" s="23"/>
    </row>
    <row r="888" spans="8:47" x14ac:dyDescent="0.2">
      <c r="H888" s="23"/>
      <c r="N888" s="6"/>
      <c r="Q888" s="23"/>
      <c r="R888" s="23"/>
      <c r="AR888" s="23"/>
      <c r="AS888" s="23"/>
      <c r="AT888" s="23"/>
      <c r="AU888" s="23"/>
    </row>
    <row r="889" spans="8:47" x14ac:dyDescent="0.2">
      <c r="H889" s="23"/>
      <c r="N889" s="6"/>
      <c r="Q889" s="23"/>
      <c r="R889" s="23"/>
      <c r="AR889" s="23"/>
      <c r="AS889" s="23"/>
      <c r="AT889" s="23"/>
      <c r="AU889" s="23"/>
    </row>
    <row r="890" spans="8:47" x14ac:dyDescent="0.2">
      <c r="H890" s="23"/>
      <c r="N890" s="6"/>
      <c r="Q890" s="23"/>
      <c r="R890" s="23"/>
      <c r="AR890" s="23"/>
      <c r="AS890" s="23"/>
      <c r="AT890" s="23"/>
      <c r="AU890" s="23"/>
    </row>
    <row r="891" spans="8:47" x14ac:dyDescent="0.2">
      <c r="H891" s="23"/>
      <c r="N891" s="6"/>
      <c r="Q891" s="23"/>
      <c r="R891" s="23"/>
      <c r="AR891" s="23"/>
      <c r="AS891" s="23"/>
      <c r="AT891" s="23"/>
      <c r="AU891" s="23"/>
    </row>
    <row r="892" spans="8:47" x14ac:dyDescent="0.2">
      <c r="H892" s="23"/>
      <c r="N892" s="6"/>
      <c r="Q892" s="23"/>
      <c r="R892" s="23"/>
      <c r="AR892" s="23"/>
      <c r="AS892" s="23"/>
      <c r="AT892" s="23"/>
      <c r="AU892" s="23"/>
    </row>
    <row r="893" spans="8:47" x14ac:dyDescent="0.2">
      <c r="H893" s="23"/>
      <c r="N893" s="6"/>
      <c r="Q893" s="23"/>
      <c r="R893" s="23"/>
      <c r="AR893" s="23"/>
      <c r="AS893" s="23"/>
      <c r="AT893" s="23"/>
      <c r="AU893" s="23"/>
    </row>
    <row r="894" spans="8:47" x14ac:dyDescent="0.2">
      <c r="H894" s="23"/>
      <c r="N894" s="6"/>
      <c r="Q894" s="23"/>
      <c r="R894" s="23"/>
      <c r="AR894" s="23"/>
      <c r="AS894" s="23"/>
      <c r="AT894" s="23"/>
      <c r="AU894" s="23"/>
    </row>
    <row r="895" spans="8:47" x14ac:dyDescent="0.2">
      <c r="H895" s="23"/>
      <c r="N895" s="6"/>
      <c r="Q895" s="23"/>
      <c r="R895" s="23"/>
      <c r="AR895" s="23"/>
      <c r="AS895" s="23"/>
      <c r="AT895" s="23"/>
      <c r="AU895" s="23"/>
    </row>
    <row r="896" spans="8:47" x14ac:dyDescent="0.2">
      <c r="H896" s="23"/>
      <c r="N896" s="6"/>
      <c r="Q896" s="23"/>
      <c r="R896" s="23"/>
      <c r="AR896" s="23"/>
      <c r="AS896" s="23"/>
      <c r="AT896" s="23"/>
      <c r="AU896" s="23"/>
    </row>
    <row r="897" spans="8:47" x14ac:dyDescent="0.2">
      <c r="H897" s="23"/>
      <c r="N897" s="6"/>
      <c r="Q897" s="23"/>
      <c r="R897" s="23"/>
      <c r="AR897" s="23"/>
      <c r="AS897" s="23"/>
      <c r="AT897" s="23"/>
      <c r="AU897" s="23"/>
    </row>
    <row r="898" spans="8:47" x14ac:dyDescent="0.2">
      <c r="H898" s="23"/>
      <c r="N898" s="6"/>
      <c r="Q898" s="23"/>
      <c r="R898" s="23"/>
      <c r="AR898" s="23"/>
      <c r="AS898" s="23"/>
      <c r="AT898" s="23"/>
      <c r="AU898" s="23"/>
    </row>
    <row r="899" spans="8:47" x14ac:dyDescent="0.2">
      <c r="H899" s="23"/>
      <c r="N899" s="6"/>
      <c r="Q899" s="23"/>
      <c r="R899" s="23"/>
      <c r="AR899" s="23"/>
      <c r="AS899" s="23"/>
      <c r="AT899" s="23"/>
      <c r="AU899" s="23"/>
    </row>
    <row r="900" spans="8:47" x14ac:dyDescent="0.2">
      <c r="H900" s="23"/>
      <c r="N900" s="6"/>
      <c r="Q900" s="23"/>
      <c r="R900" s="23"/>
      <c r="AR900" s="23"/>
      <c r="AS900" s="23"/>
      <c r="AT900" s="23"/>
      <c r="AU900" s="23"/>
    </row>
    <row r="901" spans="8:47" x14ac:dyDescent="0.2">
      <c r="H901" s="23"/>
      <c r="N901" s="6"/>
      <c r="Q901" s="23"/>
      <c r="R901" s="23"/>
      <c r="AR901" s="23"/>
      <c r="AS901" s="23"/>
      <c r="AT901" s="23"/>
      <c r="AU901" s="23"/>
    </row>
    <row r="902" spans="8:47" x14ac:dyDescent="0.2">
      <c r="H902" s="23"/>
      <c r="N902" s="6"/>
      <c r="Q902" s="23"/>
      <c r="R902" s="23"/>
      <c r="AR902" s="23"/>
      <c r="AS902" s="23"/>
      <c r="AT902" s="23"/>
      <c r="AU902" s="23"/>
    </row>
    <row r="903" spans="8:47" x14ac:dyDescent="0.2">
      <c r="H903" s="23"/>
      <c r="N903" s="6"/>
      <c r="Q903" s="23"/>
      <c r="R903" s="23"/>
      <c r="AR903" s="23"/>
      <c r="AS903" s="23"/>
      <c r="AT903" s="23"/>
      <c r="AU903" s="23"/>
    </row>
    <row r="904" spans="8:47" x14ac:dyDescent="0.2">
      <c r="H904" s="23"/>
      <c r="N904" s="6"/>
      <c r="Q904" s="23"/>
      <c r="R904" s="23"/>
      <c r="AR904" s="23"/>
      <c r="AS904" s="23"/>
      <c r="AT904" s="23"/>
      <c r="AU904" s="23"/>
    </row>
    <row r="905" spans="8:47" x14ac:dyDescent="0.2">
      <c r="H905" s="23"/>
      <c r="N905" s="6"/>
      <c r="Q905" s="23"/>
      <c r="R905" s="23"/>
      <c r="AR905" s="23"/>
      <c r="AS905" s="23"/>
      <c r="AT905" s="23"/>
      <c r="AU905" s="23"/>
    </row>
    <row r="906" spans="8:47" x14ac:dyDescent="0.2">
      <c r="H906" s="23"/>
      <c r="N906" s="6"/>
      <c r="Q906" s="23"/>
      <c r="R906" s="23"/>
      <c r="AR906" s="23"/>
      <c r="AS906" s="23"/>
      <c r="AT906" s="23"/>
      <c r="AU906" s="23"/>
    </row>
    <row r="907" spans="8:47" x14ac:dyDescent="0.2">
      <c r="H907" s="23"/>
      <c r="N907" s="6"/>
      <c r="Q907" s="23"/>
      <c r="R907" s="23"/>
    </row>
    <row r="908" spans="8:47" x14ac:dyDescent="0.2">
      <c r="H908" s="23"/>
      <c r="N908" s="6"/>
      <c r="Q908" s="23"/>
      <c r="R908" s="23"/>
      <c r="AR908" s="23"/>
      <c r="AS908" s="23"/>
      <c r="AT908" s="23"/>
      <c r="AU908" s="23"/>
    </row>
    <row r="909" spans="8:47" x14ac:dyDescent="0.2">
      <c r="H909" s="23"/>
      <c r="N909" s="6"/>
      <c r="Q909" s="23"/>
      <c r="R909" s="23"/>
      <c r="AR909" s="23"/>
      <c r="AS909" s="23"/>
      <c r="AT909" s="23"/>
      <c r="AU909" s="23"/>
    </row>
    <row r="910" spans="8:47" x14ac:dyDescent="0.2">
      <c r="H910" s="23"/>
      <c r="N910" s="6"/>
      <c r="Q910" s="23"/>
      <c r="R910" s="23"/>
      <c r="AR910" s="23"/>
      <c r="AS910" s="23"/>
      <c r="AT910" s="23"/>
      <c r="AU910" s="23"/>
    </row>
    <row r="911" spans="8:47" x14ac:dyDescent="0.2">
      <c r="H911" s="23"/>
      <c r="N911" s="6"/>
      <c r="Q911" s="23"/>
      <c r="R911" s="23"/>
      <c r="AR911" s="23"/>
      <c r="AS911" s="23"/>
      <c r="AT911" s="23"/>
      <c r="AU911" s="23"/>
    </row>
    <row r="912" spans="8:47" x14ac:dyDescent="0.2">
      <c r="H912" s="23"/>
      <c r="N912" s="6"/>
      <c r="Q912" s="23"/>
      <c r="R912" s="23"/>
      <c r="AR912" s="23"/>
      <c r="AS912" s="23"/>
      <c r="AT912" s="23"/>
      <c r="AU912" s="23"/>
    </row>
    <row r="913" spans="8:47" x14ac:dyDescent="0.2">
      <c r="H913" s="23"/>
      <c r="N913" s="6"/>
      <c r="Q913" s="23"/>
      <c r="R913" s="23"/>
      <c r="AR913" s="23"/>
      <c r="AS913" s="23"/>
      <c r="AT913" s="23"/>
      <c r="AU913" s="23"/>
    </row>
    <row r="914" spans="8:47" x14ac:dyDescent="0.2">
      <c r="H914" s="23"/>
      <c r="N914" s="6"/>
      <c r="Q914" s="23"/>
      <c r="R914" s="23"/>
      <c r="AR914" s="23"/>
      <c r="AS914" s="23"/>
      <c r="AT914" s="23"/>
      <c r="AU914" s="23"/>
    </row>
    <row r="915" spans="8:47" x14ac:dyDescent="0.2">
      <c r="H915" s="23"/>
      <c r="N915" s="6"/>
      <c r="Q915" s="23"/>
      <c r="R915" s="23"/>
      <c r="AT915" s="23"/>
      <c r="AU915" s="23"/>
    </row>
    <row r="916" spans="8:47" x14ac:dyDescent="0.2">
      <c r="H916" s="23"/>
      <c r="N916" s="6"/>
      <c r="Q916" s="23"/>
      <c r="R916" s="23"/>
      <c r="AR916" s="23"/>
      <c r="AS916" s="23"/>
      <c r="AT916" s="23"/>
      <c r="AU916" s="23"/>
    </row>
    <row r="917" spans="8:47" x14ac:dyDescent="0.2">
      <c r="H917" s="23"/>
      <c r="N917" s="6"/>
      <c r="Q917" s="23"/>
      <c r="R917" s="23"/>
      <c r="AR917" s="23"/>
      <c r="AS917" s="23"/>
      <c r="AT917" s="23"/>
      <c r="AU917" s="23"/>
    </row>
    <row r="918" spans="8:47" x14ac:dyDescent="0.2">
      <c r="H918" s="23"/>
      <c r="N918" s="6"/>
      <c r="Q918" s="23"/>
      <c r="R918" s="23"/>
      <c r="AR918" s="23"/>
      <c r="AT918" s="23"/>
      <c r="AU918" s="23"/>
    </row>
    <row r="919" spans="8:47" x14ac:dyDescent="0.2">
      <c r="H919" s="23"/>
      <c r="N919" s="6"/>
      <c r="Q919" s="23"/>
      <c r="R919" s="23"/>
      <c r="AR919" s="23"/>
      <c r="AS919" s="23"/>
      <c r="AT919" s="23"/>
      <c r="AU919" s="23"/>
    </row>
    <row r="920" spans="8:47" x14ac:dyDescent="0.2">
      <c r="H920" s="23"/>
      <c r="N920" s="6"/>
      <c r="Q920" s="23"/>
      <c r="R920" s="23"/>
      <c r="AR920" s="23"/>
      <c r="AS920" s="23"/>
      <c r="AT920" s="23"/>
      <c r="AU920" s="23"/>
    </row>
    <row r="921" spans="8:47" x14ac:dyDescent="0.2">
      <c r="H921" s="23"/>
      <c r="N921" s="6"/>
      <c r="Q921" s="23"/>
      <c r="R921" s="23"/>
      <c r="AR921" s="23"/>
      <c r="AS921" s="23"/>
      <c r="AT921" s="23"/>
      <c r="AU921" s="23"/>
    </row>
    <row r="922" spans="8:47" x14ac:dyDescent="0.2">
      <c r="H922" s="23"/>
      <c r="N922" s="6"/>
      <c r="Q922" s="23"/>
      <c r="R922" s="23"/>
      <c r="AR922" s="23"/>
      <c r="AS922" s="23"/>
      <c r="AT922" s="23"/>
      <c r="AU922" s="23"/>
    </row>
    <row r="923" spans="8:47" x14ac:dyDescent="0.2">
      <c r="H923" s="23"/>
      <c r="N923" s="6"/>
      <c r="Q923" s="23"/>
      <c r="R923" s="23"/>
      <c r="AR923" s="23"/>
      <c r="AS923" s="23"/>
      <c r="AT923" s="23"/>
      <c r="AU923" s="23"/>
    </row>
    <row r="924" spans="8:47" x14ac:dyDescent="0.2">
      <c r="H924" s="23"/>
      <c r="N924" s="6"/>
      <c r="Q924" s="23"/>
      <c r="R924" s="23"/>
      <c r="AR924" s="23"/>
      <c r="AS924" s="23"/>
      <c r="AT924" s="23"/>
      <c r="AU924" s="23"/>
    </row>
    <row r="925" spans="8:47" x14ac:dyDescent="0.2">
      <c r="H925" s="23"/>
      <c r="N925" s="6"/>
      <c r="Q925" s="23"/>
      <c r="R925" s="23"/>
      <c r="AR925" s="23"/>
      <c r="AS925" s="23"/>
      <c r="AT925" s="23"/>
      <c r="AU925" s="23"/>
    </row>
    <row r="926" spans="8:47" x14ac:dyDescent="0.2">
      <c r="H926" s="23"/>
      <c r="N926" s="6"/>
      <c r="Q926" s="23"/>
      <c r="R926" s="23"/>
      <c r="AR926" s="23"/>
      <c r="AS926" s="23"/>
      <c r="AT926" s="23"/>
      <c r="AU926" s="23"/>
    </row>
    <row r="927" spans="8:47" x14ac:dyDescent="0.2">
      <c r="H927" s="23"/>
      <c r="N927" s="6"/>
      <c r="Q927" s="23"/>
      <c r="R927" s="23"/>
      <c r="AR927" s="23"/>
      <c r="AS927" s="23"/>
      <c r="AT927" s="23"/>
      <c r="AU927" s="23"/>
    </row>
    <row r="928" spans="8:47" x14ac:dyDescent="0.2">
      <c r="H928" s="23"/>
      <c r="N928" s="6"/>
      <c r="Q928" s="23"/>
      <c r="R928" s="23"/>
      <c r="AR928" s="23"/>
      <c r="AS928" s="23"/>
      <c r="AT928" s="23"/>
      <c r="AU928" s="23"/>
    </row>
    <row r="929" spans="8:47" x14ac:dyDescent="0.2">
      <c r="H929" s="23"/>
      <c r="N929" s="6"/>
      <c r="Q929" s="23"/>
      <c r="R929" s="23"/>
      <c r="AR929" s="23"/>
      <c r="AS929" s="23"/>
      <c r="AT929" s="23"/>
      <c r="AU929" s="23"/>
    </row>
    <row r="930" spans="8:47" x14ac:dyDescent="0.2">
      <c r="H930" s="23"/>
      <c r="N930" s="6"/>
      <c r="Q930" s="23"/>
      <c r="R930" s="23"/>
      <c r="AR930" s="23"/>
      <c r="AS930" s="23"/>
      <c r="AT930" s="23"/>
      <c r="AU930" s="23"/>
    </row>
    <row r="931" spans="8:47" x14ac:dyDescent="0.2">
      <c r="H931" s="23"/>
      <c r="N931" s="6"/>
      <c r="Q931" s="23"/>
      <c r="R931" s="23"/>
      <c r="AT931" s="23"/>
      <c r="AU931" s="23"/>
    </row>
    <row r="932" spans="8:47" x14ac:dyDescent="0.2">
      <c r="H932" s="23"/>
      <c r="N932" s="6"/>
      <c r="Q932" s="23"/>
      <c r="R932" s="23"/>
      <c r="AT932" s="23"/>
      <c r="AU932" s="23"/>
    </row>
    <row r="933" spans="8:47" x14ac:dyDescent="0.2">
      <c r="H933" s="23"/>
      <c r="N933" s="6"/>
      <c r="Q933" s="23"/>
      <c r="R933" s="23"/>
      <c r="AR933" s="23"/>
      <c r="AS933" s="23"/>
      <c r="AT933" s="23"/>
      <c r="AU933" s="23"/>
    </row>
    <row r="934" spans="8:47" x14ac:dyDescent="0.2">
      <c r="H934" s="23"/>
      <c r="N934" s="6"/>
      <c r="Q934" s="23"/>
      <c r="R934" s="23"/>
      <c r="AR934" s="23"/>
      <c r="AS934" s="23"/>
      <c r="AT934" s="23"/>
      <c r="AU934" s="23"/>
    </row>
    <row r="935" spans="8:47" x14ac:dyDescent="0.2">
      <c r="H935" s="23"/>
      <c r="N935" s="6"/>
      <c r="Q935" s="23"/>
      <c r="R935" s="23"/>
      <c r="AR935" s="23"/>
      <c r="AS935" s="23"/>
      <c r="AT935" s="23"/>
      <c r="AU935" s="23"/>
    </row>
    <row r="936" spans="8:47" x14ac:dyDescent="0.2">
      <c r="H936" s="23"/>
      <c r="N936" s="6"/>
      <c r="Q936" s="23"/>
      <c r="R936" s="23"/>
      <c r="AR936" s="23"/>
      <c r="AS936" s="23"/>
      <c r="AT936" s="23"/>
      <c r="AU936" s="23"/>
    </row>
    <row r="937" spans="8:47" x14ac:dyDescent="0.2">
      <c r="H937" s="23"/>
      <c r="N937" s="6"/>
      <c r="Q937" s="23"/>
      <c r="R937" s="23"/>
      <c r="AR937" s="23"/>
      <c r="AS937" s="23"/>
      <c r="AT937" s="23"/>
      <c r="AU937" s="23"/>
    </row>
    <row r="938" spans="8:47" x14ac:dyDescent="0.2">
      <c r="H938" s="23"/>
      <c r="N938" s="6"/>
      <c r="Q938" s="23"/>
      <c r="R938" s="23"/>
      <c r="AR938" s="23"/>
      <c r="AS938" s="23"/>
      <c r="AT938" s="23"/>
      <c r="AU938" s="23"/>
    </row>
    <row r="939" spans="8:47" x14ac:dyDescent="0.2">
      <c r="H939" s="23"/>
      <c r="N939" s="6"/>
      <c r="Q939" s="23"/>
      <c r="R939" s="23"/>
      <c r="AR939" s="23"/>
      <c r="AS939" s="23"/>
      <c r="AT939" s="23"/>
      <c r="AU939" s="23"/>
    </row>
    <row r="940" spans="8:47" x14ac:dyDescent="0.2">
      <c r="H940" s="23"/>
      <c r="N940" s="6"/>
      <c r="Q940" s="23"/>
      <c r="R940" s="23"/>
      <c r="AR940" s="23"/>
      <c r="AS940" s="23"/>
      <c r="AT940" s="23"/>
      <c r="AU940" s="23"/>
    </row>
    <row r="941" spans="8:47" x14ac:dyDescent="0.2">
      <c r="H941" s="23"/>
      <c r="N941" s="6"/>
      <c r="Q941" s="23"/>
      <c r="R941" s="23"/>
      <c r="AR941" s="23"/>
      <c r="AS941" s="23"/>
      <c r="AT941" s="23"/>
      <c r="AU941" s="23"/>
    </row>
    <row r="942" spans="8:47" x14ac:dyDescent="0.2">
      <c r="H942" s="23"/>
      <c r="N942" s="6"/>
      <c r="Q942" s="23"/>
      <c r="R942" s="23"/>
      <c r="AR942" s="23"/>
      <c r="AS942" s="23"/>
      <c r="AT942" s="23"/>
      <c r="AU942" s="23"/>
    </row>
    <row r="943" spans="8:47" x14ac:dyDescent="0.2">
      <c r="H943" s="23"/>
      <c r="N943" s="6"/>
      <c r="Q943" s="23"/>
      <c r="R943" s="23"/>
      <c r="AR943" s="23"/>
      <c r="AS943" s="23"/>
      <c r="AT943" s="23"/>
      <c r="AU943" s="23"/>
    </row>
    <row r="944" spans="8:47" x14ac:dyDescent="0.2">
      <c r="H944" s="23"/>
      <c r="N944" s="6"/>
      <c r="Q944" s="23"/>
      <c r="R944" s="23"/>
      <c r="AR944" s="23"/>
      <c r="AS944" s="23"/>
      <c r="AT944" s="23"/>
      <c r="AU944" s="23"/>
    </row>
    <row r="945" spans="8:47" x14ac:dyDescent="0.2">
      <c r="H945" s="23"/>
      <c r="N945" s="6"/>
      <c r="Q945" s="23"/>
      <c r="R945" s="23"/>
      <c r="AR945" s="23"/>
      <c r="AS945" s="23"/>
      <c r="AT945" s="23"/>
      <c r="AU945" s="23"/>
    </row>
    <row r="946" spans="8:47" x14ac:dyDescent="0.2">
      <c r="H946" s="23"/>
      <c r="N946" s="6"/>
      <c r="Q946" s="23"/>
      <c r="R946" s="23"/>
      <c r="AR946" s="23"/>
      <c r="AS946" s="23"/>
      <c r="AT946" s="23"/>
      <c r="AU946" s="23"/>
    </row>
    <row r="947" spans="8:47" x14ac:dyDescent="0.2">
      <c r="H947" s="23"/>
      <c r="N947" s="6"/>
      <c r="Q947" s="23"/>
      <c r="R947" s="23"/>
      <c r="AR947" s="23"/>
      <c r="AS947" s="23"/>
      <c r="AT947" s="23"/>
      <c r="AU947" s="23"/>
    </row>
    <row r="948" spans="8:47" x14ac:dyDescent="0.2">
      <c r="H948" s="23"/>
      <c r="N948" s="6"/>
      <c r="Q948" s="23"/>
      <c r="R948" s="23"/>
      <c r="AR948" s="23"/>
      <c r="AS948" s="23"/>
      <c r="AT948" s="23"/>
      <c r="AU948" s="23"/>
    </row>
    <row r="949" spans="8:47" x14ac:dyDescent="0.2">
      <c r="H949" s="23"/>
      <c r="N949" s="6"/>
      <c r="Q949" s="23"/>
      <c r="R949" s="23"/>
      <c r="AR949" s="23"/>
      <c r="AS949" s="23"/>
      <c r="AT949" s="23"/>
      <c r="AU949" s="23"/>
    </row>
    <row r="950" spans="8:47" x14ac:dyDescent="0.2">
      <c r="H950" s="23"/>
      <c r="N950" s="6"/>
      <c r="Q950" s="23"/>
      <c r="R950" s="23"/>
      <c r="AR950" s="23"/>
      <c r="AS950" s="23"/>
      <c r="AT950" s="23"/>
      <c r="AU950" s="23"/>
    </row>
    <row r="951" spans="8:47" x14ac:dyDescent="0.2">
      <c r="H951" s="23"/>
      <c r="N951" s="6"/>
      <c r="Q951" s="23"/>
      <c r="R951" s="23"/>
      <c r="AT951" s="23"/>
      <c r="AU951" s="23"/>
    </row>
    <row r="952" spans="8:47" x14ac:dyDescent="0.2">
      <c r="H952" s="23"/>
      <c r="N952" s="6"/>
      <c r="Q952" s="23"/>
      <c r="R952" s="23"/>
      <c r="AR952" s="23"/>
      <c r="AS952" s="23"/>
      <c r="AT952" s="23"/>
      <c r="AU952" s="23"/>
    </row>
    <row r="953" spans="8:47" x14ac:dyDescent="0.2">
      <c r="H953" s="23"/>
      <c r="N953" s="6"/>
      <c r="Q953" s="23"/>
      <c r="R953" s="23"/>
      <c r="AR953" s="23"/>
      <c r="AS953" s="23"/>
      <c r="AT953" s="23"/>
      <c r="AU953" s="23"/>
    </row>
    <row r="954" spans="8:47" x14ac:dyDescent="0.2">
      <c r="H954" s="23"/>
      <c r="N954" s="6"/>
      <c r="Q954" s="23"/>
      <c r="R954" s="23"/>
      <c r="AR954" s="23"/>
      <c r="AT954" s="23"/>
      <c r="AU954" s="23"/>
    </row>
    <row r="955" spans="8:47" x14ac:dyDescent="0.2">
      <c r="H955" s="23"/>
      <c r="N955" s="6"/>
      <c r="Q955" s="23"/>
      <c r="R955" s="23"/>
      <c r="AR955" s="23"/>
      <c r="AS955" s="23"/>
      <c r="AT955" s="23"/>
      <c r="AU955" s="23"/>
    </row>
    <row r="956" spans="8:47" x14ac:dyDescent="0.2">
      <c r="H956" s="23"/>
      <c r="N956" s="6"/>
      <c r="Q956" s="23"/>
      <c r="R956" s="23"/>
      <c r="AR956" s="23"/>
      <c r="AS956" s="23"/>
      <c r="AT956" s="23"/>
      <c r="AU956" s="23"/>
    </row>
    <row r="957" spans="8:47" x14ac:dyDescent="0.2">
      <c r="H957" s="23"/>
      <c r="N957" s="6"/>
      <c r="Q957" s="23"/>
      <c r="R957" s="23"/>
      <c r="AR957" s="23"/>
      <c r="AS957" s="23"/>
      <c r="AT957" s="23"/>
      <c r="AU957" s="23"/>
    </row>
    <row r="958" spans="8:47" x14ac:dyDescent="0.2">
      <c r="H958" s="23"/>
      <c r="N958" s="6"/>
      <c r="Q958" s="23"/>
      <c r="R958" s="23"/>
      <c r="AR958" s="23"/>
      <c r="AS958" s="23"/>
      <c r="AT958" s="23"/>
      <c r="AU958" s="23"/>
    </row>
    <row r="959" spans="8:47" x14ac:dyDescent="0.2">
      <c r="H959" s="23"/>
      <c r="N959" s="6"/>
      <c r="Q959" s="23"/>
      <c r="R959" s="23"/>
      <c r="AR959" s="23"/>
      <c r="AS959" s="23"/>
      <c r="AT959" s="23"/>
      <c r="AU959" s="23"/>
    </row>
    <row r="960" spans="8:47" x14ac:dyDescent="0.2">
      <c r="H960" s="23"/>
      <c r="N960" s="6"/>
      <c r="Q960" s="23"/>
      <c r="R960" s="23"/>
      <c r="AT960" s="23"/>
      <c r="AU960" s="23"/>
    </row>
    <row r="961" spans="8:47" x14ac:dyDescent="0.2">
      <c r="H961" s="23"/>
      <c r="N961" s="6"/>
      <c r="Q961" s="23"/>
      <c r="R961" s="23"/>
      <c r="AR961" s="23"/>
      <c r="AT961" s="23"/>
      <c r="AU961" s="23"/>
    </row>
    <row r="962" spans="8:47" x14ac:dyDescent="0.2">
      <c r="H962" s="23"/>
      <c r="N962" s="6"/>
      <c r="Q962" s="23"/>
      <c r="R962" s="23"/>
      <c r="AT962" s="23"/>
      <c r="AU962" s="23"/>
    </row>
    <row r="963" spans="8:47" x14ac:dyDescent="0.2">
      <c r="H963" s="23"/>
      <c r="N963" s="6"/>
      <c r="Q963" s="23"/>
      <c r="R963" s="23"/>
      <c r="AR963" s="23"/>
      <c r="AS963" s="23"/>
      <c r="AT963" s="23"/>
      <c r="AU963" s="23"/>
    </row>
    <row r="964" spans="8:47" x14ac:dyDescent="0.2">
      <c r="H964" s="23"/>
      <c r="N964" s="6"/>
      <c r="Q964" s="23"/>
      <c r="R964" s="23"/>
      <c r="AR964" s="23"/>
      <c r="AS964" s="23"/>
      <c r="AT964" s="23"/>
      <c r="AU964" s="23"/>
    </row>
    <row r="965" spans="8:47" x14ac:dyDescent="0.2">
      <c r="H965" s="23"/>
      <c r="N965" s="6"/>
      <c r="Q965" s="23"/>
      <c r="R965" s="23"/>
      <c r="AR965" s="23"/>
      <c r="AT965" s="23"/>
      <c r="AU965" s="23"/>
    </row>
    <row r="966" spans="8:47" x14ac:dyDescent="0.2">
      <c r="H966" s="23"/>
      <c r="N966" s="6"/>
      <c r="Q966" s="23"/>
      <c r="R966" s="23"/>
      <c r="AR966" s="23"/>
      <c r="AS966" s="23"/>
      <c r="AT966" s="23"/>
      <c r="AU966" s="23"/>
    </row>
    <row r="967" spans="8:47" x14ac:dyDescent="0.2">
      <c r="H967" s="23"/>
      <c r="N967" s="6"/>
      <c r="Q967" s="23"/>
      <c r="R967" s="23"/>
      <c r="AR967" s="23"/>
      <c r="AS967" s="23"/>
      <c r="AT967" s="23"/>
      <c r="AU967" s="23"/>
    </row>
    <row r="968" spans="8:47" x14ac:dyDescent="0.2">
      <c r="H968" s="23"/>
      <c r="N968" s="6"/>
      <c r="Q968" s="23"/>
      <c r="R968" s="23"/>
      <c r="AR968" s="23"/>
      <c r="AS968" s="23"/>
      <c r="AT968" s="23"/>
      <c r="AU968" s="23"/>
    </row>
    <row r="969" spans="8:47" x14ac:dyDescent="0.2">
      <c r="H969" s="23"/>
      <c r="N969" s="6"/>
      <c r="Q969" s="23"/>
      <c r="R969" s="23"/>
      <c r="AR969" s="23"/>
      <c r="AS969" s="23"/>
      <c r="AT969" s="23"/>
      <c r="AU969" s="23"/>
    </row>
    <row r="970" spans="8:47" x14ac:dyDescent="0.2">
      <c r="H970" s="23"/>
      <c r="N970" s="6"/>
      <c r="Q970" s="23"/>
      <c r="R970" s="23"/>
      <c r="AR970" s="23"/>
      <c r="AS970" s="23"/>
      <c r="AT970" s="23"/>
      <c r="AU970" s="23"/>
    </row>
    <row r="971" spans="8:47" x14ac:dyDescent="0.2">
      <c r="H971" s="23"/>
      <c r="N971" s="6"/>
      <c r="Q971" s="23"/>
      <c r="R971" s="23"/>
      <c r="AR971" s="23"/>
      <c r="AS971" s="23"/>
      <c r="AT971" s="23"/>
      <c r="AU971" s="23"/>
    </row>
    <row r="972" spans="8:47" x14ac:dyDescent="0.2">
      <c r="H972" s="23"/>
      <c r="N972" s="6"/>
      <c r="Q972" s="23"/>
      <c r="R972" s="23"/>
      <c r="AR972" s="23"/>
      <c r="AS972" s="23"/>
      <c r="AT972" s="23"/>
      <c r="AU972" s="23"/>
    </row>
    <row r="973" spans="8:47" x14ac:dyDescent="0.2">
      <c r="H973" s="23"/>
      <c r="N973" s="6"/>
      <c r="Q973" s="23"/>
      <c r="R973" s="23"/>
      <c r="AR973" s="23"/>
      <c r="AS973" s="23"/>
      <c r="AT973" s="23"/>
      <c r="AU973" s="23"/>
    </row>
    <row r="974" spans="8:47" x14ac:dyDescent="0.2">
      <c r="H974" s="23"/>
      <c r="N974" s="6"/>
      <c r="Q974" s="23"/>
      <c r="R974" s="23"/>
      <c r="AR974" s="23"/>
      <c r="AS974" s="23"/>
      <c r="AT974" s="23"/>
      <c r="AU974" s="23"/>
    </row>
    <row r="975" spans="8:47" x14ac:dyDescent="0.2">
      <c r="H975" s="23"/>
      <c r="N975" s="6"/>
      <c r="Q975" s="23"/>
      <c r="R975" s="23"/>
      <c r="AR975" s="23"/>
      <c r="AS975" s="23"/>
      <c r="AT975" s="23"/>
      <c r="AU975" s="23"/>
    </row>
    <row r="976" spans="8:47" x14ac:dyDescent="0.2">
      <c r="H976" s="23"/>
      <c r="N976" s="6"/>
      <c r="Q976" s="23"/>
      <c r="R976" s="23"/>
      <c r="AR976" s="23"/>
      <c r="AS976" s="23"/>
      <c r="AT976" s="23"/>
    </row>
    <row r="977" spans="8:47" x14ac:dyDescent="0.2">
      <c r="H977" s="23"/>
      <c r="N977" s="6"/>
      <c r="Q977" s="23"/>
      <c r="R977" s="23"/>
      <c r="AR977" s="23"/>
      <c r="AS977" s="23"/>
      <c r="AT977" s="23"/>
      <c r="AU977" s="23"/>
    </row>
    <row r="978" spans="8:47" x14ac:dyDescent="0.2">
      <c r="H978" s="23"/>
      <c r="N978" s="6"/>
      <c r="Q978" s="23"/>
      <c r="R978" s="23"/>
      <c r="AR978" s="23"/>
      <c r="AS978" s="23"/>
      <c r="AT978" s="23"/>
      <c r="AU978" s="23"/>
    </row>
    <row r="979" spans="8:47" x14ac:dyDescent="0.2">
      <c r="H979" s="23"/>
      <c r="N979" s="6"/>
      <c r="Q979" s="23"/>
      <c r="R979" s="23"/>
      <c r="AR979" s="23"/>
      <c r="AS979" s="23"/>
      <c r="AT979" s="23"/>
      <c r="AU979" s="23"/>
    </row>
    <row r="980" spans="8:47" x14ac:dyDescent="0.2">
      <c r="H980" s="23"/>
      <c r="N980" s="6"/>
      <c r="Q980" s="23"/>
      <c r="R980" s="23"/>
      <c r="AR980" s="23"/>
      <c r="AS980" s="23"/>
      <c r="AT980" s="23"/>
      <c r="AU980" s="23"/>
    </row>
    <row r="981" spans="8:47" x14ac:dyDescent="0.2">
      <c r="H981" s="23"/>
      <c r="N981" s="6"/>
      <c r="Q981" s="23"/>
      <c r="R981" s="23"/>
      <c r="AR981" s="23"/>
      <c r="AT981" s="23"/>
      <c r="AU981" s="23"/>
    </row>
    <row r="982" spans="8:47" x14ac:dyDescent="0.2">
      <c r="H982" s="23"/>
      <c r="N982" s="6"/>
      <c r="Q982" s="23"/>
      <c r="R982" s="23"/>
      <c r="AR982" s="23"/>
      <c r="AS982" s="23"/>
      <c r="AT982" s="23"/>
      <c r="AU982" s="23"/>
    </row>
    <row r="983" spans="8:47" x14ac:dyDescent="0.2">
      <c r="H983" s="23"/>
      <c r="N983" s="6"/>
      <c r="Q983" s="23"/>
      <c r="R983" s="23"/>
      <c r="AR983" s="23"/>
      <c r="AS983" s="23"/>
      <c r="AT983" s="23"/>
      <c r="AU983" s="23"/>
    </row>
    <row r="984" spans="8:47" x14ac:dyDescent="0.2">
      <c r="H984" s="23"/>
      <c r="N984" s="6"/>
      <c r="Q984" s="23"/>
      <c r="R984" s="23"/>
      <c r="AR984" s="23"/>
      <c r="AS984" s="23"/>
      <c r="AT984" s="23"/>
      <c r="AU984" s="23"/>
    </row>
    <row r="985" spans="8:47" x14ac:dyDescent="0.2">
      <c r="H985" s="23"/>
      <c r="N985" s="6"/>
      <c r="Q985" s="23"/>
      <c r="R985" s="23"/>
      <c r="AR985" s="23"/>
      <c r="AS985" s="23"/>
      <c r="AT985" s="23"/>
      <c r="AU985" s="23"/>
    </row>
    <row r="986" spans="8:47" x14ac:dyDescent="0.2">
      <c r="H986" s="23"/>
      <c r="N986" s="6"/>
      <c r="Q986" s="23"/>
      <c r="R986" s="23"/>
      <c r="AR986" s="23"/>
      <c r="AS986" s="23"/>
      <c r="AT986" s="23"/>
      <c r="AU986" s="23"/>
    </row>
    <row r="987" spans="8:47" x14ac:dyDescent="0.2">
      <c r="H987" s="23"/>
      <c r="N987" s="6"/>
      <c r="Q987" s="23"/>
      <c r="R987" s="23"/>
      <c r="AR987" s="23"/>
      <c r="AS987" s="23"/>
      <c r="AT987" s="23"/>
      <c r="AU987" s="23"/>
    </row>
    <row r="988" spans="8:47" x14ac:dyDescent="0.2">
      <c r="H988" s="23"/>
      <c r="N988" s="6"/>
      <c r="Q988" s="23"/>
      <c r="R988" s="23"/>
      <c r="AR988" s="23"/>
      <c r="AS988" s="23"/>
      <c r="AT988" s="23"/>
      <c r="AU988" s="23"/>
    </row>
    <row r="989" spans="8:47" x14ac:dyDescent="0.2">
      <c r="H989" s="23"/>
      <c r="N989" s="6"/>
      <c r="Q989" s="23"/>
      <c r="R989" s="23"/>
      <c r="AR989" s="23"/>
      <c r="AS989" s="23"/>
      <c r="AT989" s="23"/>
      <c r="AU989" s="23"/>
    </row>
    <row r="990" spans="8:47" x14ac:dyDescent="0.2">
      <c r="H990" s="23"/>
      <c r="N990" s="6"/>
      <c r="Q990" s="23"/>
      <c r="R990" s="23"/>
      <c r="AR990" s="23"/>
      <c r="AS990" s="23"/>
      <c r="AT990" s="23"/>
      <c r="AU990" s="23"/>
    </row>
    <row r="991" spans="8:47" x14ac:dyDescent="0.2">
      <c r="H991" s="23"/>
      <c r="N991" s="6"/>
      <c r="Q991" s="23"/>
      <c r="R991" s="23"/>
      <c r="AR991" s="23"/>
      <c r="AS991" s="23"/>
      <c r="AT991" s="23"/>
      <c r="AU991" s="23"/>
    </row>
    <row r="992" spans="8:47" x14ac:dyDescent="0.2">
      <c r="H992" s="23"/>
      <c r="N992" s="6"/>
      <c r="Q992" s="23"/>
      <c r="R992" s="23"/>
      <c r="AT992" s="23"/>
      <c r="AU992" s="23"/>
    </row>
    <row r="993" spans="8:47" x14ac:dyDescent="0.2">
      <c r="H993" s="23"/>
      <c r="N993" s="6"/>
      <c r="Q993" s="23"/>
      <c r="R993" s="23"/>
      <c r="AR993" s="23"/>
      <c r="AS993" s="23"/>
      <c r="AT993" s="23"/>
      <c r="AU993" s="23"/>
    </row>
    <row r="994" spans="8:47" x14ac:dyDescent="0.2">
      <c r="H994" s="23"/>
      <c r="N994" s="6"/>
      <c r="Q994" s="23"/>
      <c r="R994" s="23"/>
      <c r="AR994" s="23"/>
      <c r="AS994" s="23"/>
      <c r="AT994" s="23"/>
      <c r="AU994" s="23"/>
    </row>
    <row r="995" spans="8:47" x14ac:dyDescent="0.2">
      <c r="H995" s="23"/>
      <c r="N995" s="6"/>
      <c r="Q995" s="23"/>
      <c r="R995" s="23"/>
      <c r="AR995" s="23"/>
      <c r="AS995" s="23"/>
      <c r="AT995" s="23"/>
      <c r="AU995" s="23"/>
    </row>
    <row r="996" spans="8:47" x14ac:dyDescent="0.2">
      <c r="H996" s="23"/>
      <c r="N996" s="6"/>
      <c r="Q996" s="23"/>
      <c r="R996" s="23"/>
      <c r="AR996" s="23"/>
      <c r="AS996" s="23"/>
      <c r="AT996" s="23"/>
      <c r="AU996" s="23"/>
    </row>
    <row r="997" spans="8:47" x14ac:dyDescent="0.2">
      <c r="H997" s="23"/>
      <c r="N997" s="6"/>
      <c r="Q997" s="23"/>
      <c r="R997" s="23"/>
      <c r="AR997" s="23"/>
      <c r="AS997" s="23"/>
      <c r="AT997" s="23"/>
      <c r="AU997" s="23"/>
    </row>
    <row r="998" spans="8:47" x14ac:dyDescent="0.2">
      <c r="H998" s="23"/>
      <c r="N998" s="6"/>
      <c r="Q998" s="23"/>
      <c r="R998" s="23"/>
      <c r="AR998" s="23"/>
      <c r="AS998" s="23"/>
      <c r="AT998" s="23"/>
      <c r="AU998" s="23"/>
    </row>
    <row r="999" spans="8:47" x14ac:dyDescent="0.2">
      <c r="H999" s="23"/>
      <c r="N999" s="6"/>
      <c r="Q999" s="23"/>
      <c r="R999" s="23"/>
    </row>
    <row r="1000" spans="8:47" x14ac:dyDescent="0.2">
      <c r="H1000" s="23"/>
      <c r="N1000" s="6"/>
      <c r="Q1000" s="23"/>
      <c r="R1000" s="23"/>
      <c r="AR1000" s="23"/>
      <c r="AS1000" s="23"/>
      <c r="AT1000" s="23"/>
      <c r="AU1000" s="23"/>
    </row>
    <row r="1001" spans="8:47" x14ac:dyDescent="0.2">
      <c r="H1001" s="23"/>
      <c r="N1001" s="6"/>
      <c r="Q1001" s="23"/>
      <c r="R1001" s="23"/>
      <c r="AT1001" s="23"/>
      <c r="AU1001" s="23"/>
    </row>
    <row r="1002" spans="8:47" x14ac:dyDescent="0.2">
      <c r="H1002" s="23"/>
      <c r="N1002" s="6"/>
      <c r="Q1002" s="23"/>
      <c r="R1002" s="23"/>
      <c r="AR1002" s="23"/>
      <c r="AS1002" s="23"/>
      <c r="AT1002" s="23"/>
      <c r="AU1002" s="23"/>
    </row>
    <row r="1003" spans="8:47" x14ac:dyDescent="0.2">
      <c r="H1003" s="23"/>
      <c r="N1003" s="6"/>
      <c r="Q1003" s="23"/>
      <c r="R1003" s="23"/>
      <c r="AR1003" s="23"/>
      <c r="AS1003" s="23"/>
      <c r="AT1003" s="23"/>
      <c r="AU1003" s="23"/>
    </row>
    <row r="1004" spans="8:47" x14ac:dyDescent="0.2">
      <c r="H1004" s="23"/>
      <c r="N1004" s="6"/>
      <c r="Q1004" s="23"/>
      <c r="R1004" s="23"/>
      <c r="AR1004" s="23"/>
      <c r="AS1004" s="23"/>
      <c r="AT1004" s="23"/>
      <c r="AU1004" s="23"/>
    </row>
    <row r="1005" spans="8:47" x14ac:dyDescent="0.2">
      <c r="H1005" s="23"/>
      <c r="N1005" s="6"/>
      <c r="Q1005" s="23"/>
      <c r="R1005" s="23"/>
      <c r="AR1005" s="23"/>
      <c r="AS1005" s="23"/>
      <c r="AT1005" s="23"/>
      <c r="AU1005" s="23"/>
    </row>
    <row r="1006" spans="8:47" x14ac:dyDescent="0.2">
      <c r="H1006" s="23"/>
      <c r="N1006" s="6"/>
      <c r="Q1006" s="23"/>
      <c r="R1006" s="23"/>
      <c r="AR1006" s="23"/>
      <c r="AS1006" s="23"/>
      <c r="AT1006" s="23"/>
      <c r="AU1006" s="23"/>
    </row>
    <row r="1007" spans="8:47" x14ac:dyDescent="0.2">
      <c r="H1007" s="23"/>
      <c r="N1007" s="6"/>
      <c r="Q1007" s="23"/>
      <c r="R1007" s="23"/>
      <c r="AR1007" s="23"/>
      <c r="AS1007" s="23"/>
      <c r="AT1007" s="23"/>
      <c r="AU1007" s="23"/>
    </row>
    <row r="1008" spans="8:47" x14ac:dyDescent="0.2">
      <c r="H1008" s="23"/>
      <c r="N1008" s="6"/>
      <c r="Q1008" s="23"/>
      <c r="R1008" s="23"/>
      <c r="AR1008" s="23"/>
      <c r="AS1008" s="23"/>
      <c r="AT1008" s="23"/>
      <c r="AU1008" s="23"/>
    </row>
    <row r="1009" spans="8:47" x14ac:dyDescent="0.2">
      <c r="H1009" s="23"/>
      <c r="N1009" s="6"/>
      <c r="Q1009" s="23"/>
      <c r="R1009" s="23"/>
      <c r="AR1009" s="23"/>
      <c r="AS1009" s="23"/>
      <c r="AT1009" s="23"/>
      <c r="AU1009" s="23"/>
    </row>
    <row r="1010" spans="8:47" x14ac:dyDescent="0.2">
      <c r="H1010" s="23"/>
      <c r="N1010" s="6"/>
      <c r="Q1010" s="23"/>
      <c r="R1010" s="23"/>
      <c r="AR1010" s="23"/>
      <c r="AS1010" s="23"/>
      <c r="AT1010" s="23"/>
      <c r="AU1010" s="23"/>
    </row>
    <row r="1011" spans="8:47" x14ac:dyDescent="0.2">
      <c r="H1011" s="23"/>
      <c r="N1011" s="6"/>
      <c r="Q1011" s="23"/>
      <c r="R1011" s="23"/>
      <c r="AR1011" s="23"/>
      <c r="AT1011" s="23"/>
      <c r="AU1011" s="23"/>
    </row>
    <row r="1012" spans="8:47" x14ac:dyDescent="0.2">
      <c r="H1012" s="23"/>
      <c r="N1012" s="6"/>
      <c r="Q1012" s="23"/>
      <c r="R1012" s="23"/>
      <c r="AR1012" s="23"/>
      <c r="AS1012" s="23"/>
      <c r="AT1012" s="23"/>
      <c r="AU1012" s="23"/>
    </row>
    <row r="1013" spans="8:47" x14ac:dyDescent="0.2">
      <c r="H1013" s="23"/>
      <c r="N1013" s="6"/>
      <c r="Q1013" s="23"/>
      <c r="R1013" s="23"/>
      <c r="AT1013" s="23"/>
      <c r="AU1013" s="23"/>
    </row>
    <row r="1014" spans="8:47" x14ac:dyDescent="0.2">
      <c r="H1014" s="23"/>
      <c r="N1014" s="6"/>
      <c r="Q1014" s="23"/>
      <c r="R1014" s="23"/>
      <c r="AR1014" s="23"/>
      <c r="AS1014" s="23"/>
      <c r="AT1014" s="23"/>
      <c r="AU1014" s="23"/>
    </row>
    <row r="1015" spans="8:47" x14ac:dyDescent="0.2">
      <c r="H1015" s="23"/>
      <c r="N1015" s="6"/>
      <c r="Q1015" s="23"/>
      <c r="R1015" s="23"/>
      <c r="AR1015" s="23"/>
      <c r="AS1015" s="23"/>
      <c r="AT1015" s="23"/>
      <c r="AU1015" s="23"/>
    </row>
    <row r="1016" spans="8:47" x14ac:dyDescent="0.2">
      <c r="H1016" s="23"/>
      <c r="N1016" s="6"/>
      <c r="Q1016" s="23"/>
      <c r="R1016" s="23"/>
      <c r="AR1016" s="23"/>
      <c r="AS1016" s="23"/>
      <c r="AT1016" s="23"/>
      <c r="AU1016" s="23"/>
    </row>
    <row r="1017" spans="8:47" x14ac:dyDescent="0.2">
      <c r="H1017" s="23"/>
      <c r="N1017" s="6"/>
      <c r="Q1017" s="23"/>
      <c r="R1017" s="23"/>
      <c r="AR1017" s="23"/>
      <c r="AT1017" s="23"/>
      <c r="AU1017" s="23"/>
    </row>
    <row r="1018" spans="8:47" x14ac:dyDescent="0.2">
      <c r="H1018" s="23"/>
      <c r="N1018" s="6"/>
      <c r="Q1018" s="23"/>
      <c r="R1018" s="23"/>
      <c r="AR1018" s="23"/>
      <c r="AS1018" s="23"/>
      <c r="AT1018" s="23"/>
      <c r="AU1018" s="23"/>
    </row>
    <row r="1019" spans="8:47" x14ac:dyDescent="0.2">
      <c r="H1019" s="23"/>
      <c r="N1019" s="6"/>
      <c r="Q1019" s="23"/>
      <c r="R1019" s="23"/>
      <c r="AR1019" s="23"/>
      <c r="AS1019" s="23"/>
      <c r="AT1019" s="23"/>
      <c r="AU1019" s="23"/>
    </row>
    <row r="1020" spans="8:47" x14ac:dyDescent="0.2">
      <c r="H1020" s="23"/>
      <c r="N1020" s="6"/>
      <c r="Q1020" s="23"/>
      <c r="R1020" s="23"/>
      <c r="AR1020" s="23"/>
      <c r="AS1020" s="23"/>
      <c r="AT1020" s="23"/>
      <c r="AU1020" s="23"/>
    </row>
    <row r="1021" spans="8:47" x14ac:dyDescent="0.2">
      <c r="H1021" s="23"/>
      <c r="N1021" s="6"/>
      <c r="Q1021" s="23"/>
      <c r="R1021" s="23"/>
      <c r="AR1021" s="23"/>
      <c r="AS1021" s="23"/>
      <c r="AT1021" s="23"/>
      <c r="AU1021" s="23"/>
    </row>
    <row r="1022" spans="8:47" x14ac:dyDescent="0.2">
      <c r="H1022" s="23"/>
      <c r="N1022" s="6"/>
      <c r="Q1022" s="23"/>
      <c r="R1022" s="23"/>
      <c r="AR1022" s="23"/>
      <c r="AS1022" s="23"/>
      <c r="AT1022" s="23"/>
      <c r="AU1022" s="23"/>
    </row>
    <row r="1023" spans="8:47" x14ac:dyDescent="0.2">
      <c r="H1023" s="23"/>
      <c r="N1023" s="6"/>
      <c r="Q1023" s="23"/>
      <c r="R1023" s="23"/>
      <c r="AR1023" s="23"/>
      <c r="AT1023" s="23"/>
      <c r="AU1023" s="23"/>
    </row>
    <row r="1024" spans="8:47" x14ac:dyDescent="0.2">
      <c r="H1024" s="23"/>
      <c r="N1024" s="6"/>
      <c r="Q1024" s="23"/>
      <c r="R1024" s="23"/>
      <c r="AR1024" s="23"/>
      <c r="AS1024" s="23"/>
      <c r="AT1024" s="23"/>
      <c r="AU1024" s="23"/>
    </row>
    <row r="1025" spans="8:47" x14ac:dyDescent="0.2">
      <c r="H1025" s="23"/>
      <c r="N1025" s="6"/>
      <c r="Q1025" s="23"/>
      <c r="R1025" s="23"/>
      <c r="AR1025" s="23"/>
      <c r="AS1025" s="23"/>
      <c r="AT1025" s="23"/>
      <c r="AU1025" s="23"/>
    </row>
    <row r="1026" spans="8:47" x14ac:dyDescent="0.2">
      <c r="H1026" s="23"/>
      <c r="N1026" s="6"/>
      <c r="Q1026" s="23"/>
      <c r="R1026" s="23"/>
      <c r="AR1026" s="23"/>
      <c r="AS1026" s="23"/>
      <c r="AT1026" s="23"/>
      <c r="AU1026" s="23"/>
    </row>
    <row r="1027" spans="8:47" x14ac:dyDescent="0.2">
      <c r="H1027" s="23"/>
      <c r="N1027" s="6"/>
      <c r="Q1027" s="23"/>
      <c r="R1027" s="23"/>
      <c r="AR1027" s="23"/>
      <c r="AS1027" s="23"/>
      <c r="AT1027" s="23"/>
      <c r="AU1027" s="23"/>
    </row>
    <row r="1028" spans="8:47" x14ac:dyDescent="0.2">
      <c r="H1028" s="23"/>
      <c r="N1028" s="6"/>
      <c r="Q1028" s="23"/>
      <c r="R1028" s="23"/>
      <c r="AT1028" s="23"/>
      <c r="AU1028" s="23"/>
    </row>
    <row r="1029" spans="8:47" x14ac:dyDescent="0.2">
      <c r="H1029" s="23"/>
      <c r="N1029" s="6"/>
      <c r="Q1029" s="23"/>
      <c r="R1029" s="23"/>
      <c r="AR1029" s="23"/>
      <c r="AS1029" s="23"/>
      <c r="AT1029" s="23"/>
      <c r="AU1029" s="23"/>
    </row>
    <row r="1030" spans="8:47" x14ac:dyDescent="0.2">
      <c r="H1030" s="23"/>
      <c r="N1030" s="6"/>
      <c r="Q1030" s="23"/>
      <c r="R1030" s="23"/>
      <c r="AR1030" s="23"/>
      <c r="AS1030" s="23"/>
      <c r="AT1030" s="23"/>
      <c r="AU1030" s="23"/>
    </row>
    <row r="1031" spans="8:47" x14ac:dyDescent="0.2">
      <c r="H1031" s="23"/>
      <c r="N1031" s="6"/>
      <c r="Q1031" s="23"/>
      <c r="R1031" s="23"/>
    </row>
    <row r="1032" spans="8:47" x14ac:dyDescent="0.2">
      <c r="H1032" s="23"/>
      <c r="N1032" s="6"/>
      <c r="Q1032" s="23"/>
      <c r="R1032" s="23"/>
      <c r="AR1032" s="23"/>
      <c r="AS1032" s="23"/>
      <c r="AT1032" s="23"/>
      <c r="AU1032" s="23"/>
    </row>
    <row r="1033" spans="8:47" x14ac:dyDescent="0.2">
      <c r="H1033" s="23"/>
      <c r="N1033" s="6"/>
      <c r="Q1033" s="23"/>
      <c r="R1033" s="23"/>
      <c r="AT1033" s="23"/>
      <c r="AU1033" s="23"/>
    </row>
    <row r="1034" spans="8:47" x14ac:dyDescent="0.2">
      <c r="H1034" s="23"/>
      <c r="N1034" s="6"/>
      <c r="Q1034" s="23"/>
      <c r="R1034" s="23"/>
      <c r="AR1034" s="23"/>
      <c r="AS1034" s="23"/>
      <c r="AT1034" s="23"/>
      <c r="AU1034" s="23"/>
    </row>
    <row r="1035" spans="8:47" x14ac:dyDescent="0.2">
      <c r="H1035" s="23"/>
      <c r="N1035" s="6"/>
      <c r="Q1035" s="23"/>
      <c r="R1035" s="23"/>
      <c r="AR1035" s="23"/>
      <c r="AS1035" s="23"/>
      <c r="AT1035" s="23"/>
      <c r="AU1035" s="23"/>
    </row>
    <row r="1036" spans="8:47" x14ac:dyDescent="0.2">
      <c r="H1036" s="23"/>
      <c r="N1036" s="6"/>
      <c r="Q1036" s="23"/>
      <c r="R1036" s="23"/>
      <c r="AR1036" s="23"/>
      <c r="AS1036" s="23"/>
      <c r="AT1036" s="23"/>
      <c r="AU1036" s="23"/>
    </row>
    <row r="1037" spans="8:47" x14ac:dyDescent="0.2">
      <c r="H1037" s="23"/>
      <c r="N1037" s="6"/>
      <c r="Q1037" s="23"/>
      <c r="R1037" s="23"/>
      <c r="AR1037" s="23"/>
      <c r="AS1037" s="23"/>
      <c r="AT1037" s="23"/>
      <c r="AU1037" s="23"/>
    </row>
    <row r="1038" spans="8:47" x14ac:dyDescent="0.2">
      <c r="H1038" s="23"/>
      <c r="N1038" s="6"/>
      <c r="Q1038" s="23"/>
      <c r="R1038" s="23"/>
      <c r="AR1038" s="23"/>
      <c r="AS1038" s="23"/>
      <c r="AT1038" s="23"/>
      <c r="AU1038" s="23"/>
    </row>
    <row r="1039" spans="8:47" x14ac:dyDescent="0.2">
      <c r="H1039" s="23"/>
      <c r="N1039" s="6"/>
      <c r="Q1039" s="23"/>
      <c r="R1039" s="23"/>
      <c r="AR1039" s="23"/>
      <c r="AS1039" s="23"/>
      <c r="AT1039" s="23"/>
      <c r="AU1039" s="23"/>
    </row>
    <row r="1040" spans="8:47" x14ac:dyDescent="0.2">
      <c r="H1040" s="23"/>
      <c r="N1040" s="6"/>
      <c r="Q1040" s="23"/>
      <c r="R1040" s="23"/>
      <c r="AR1040" s="23"/>
      <c r="AS1040" s="23"/>
      <c r="AT1040" s="23"/>
      <c r="AU1040" s="23"/>
    </row>
    <row r="1041" spans="8:47" x14ac:dyDescent="0.2">
      <c r="H1041" s="23"/>
      <c r="N1041" s="6"/>
      <c r="Q1041" s="23"/>
      <c r="R1041" s="23"/>
      <c r="AR1041" s="23"/>
      <c r="AS1041" s="23"/>
      <c r="AT1041" s="23"/>
      <c r="AU1041" s="23"/>
    </row>
    <row r="1042" spans="8:47" x14ac:dyDescent="0.2">
      <c r="H1042" s="23"/>
      <c r="N1042" s="6"/>
      <c r="Q1042" s="23"/>
      <c r="R1042" s="23"/>
      <c r="AR1042" s="23"/>
      <c r="AS1042" s="23"/>
      <c r="AT1042" s="23"/>
      <c r="AU1042" s="23"/>
    </row>
    <row r="1043" spans="8:47" x14ac:dyDescent="0.2">
      <c r="H1043" s="23"/>
      <c r="N1043" s="6"/>
      <c r="Q1043" s="23"/>
      <c r="R1043" s="23"/>
      <c r="AR1043" s="23"/>
      <c r="AS1043" s="23"/>
      <c r="AT1043" s="23"/>
      <c r="AU1043" s="23"/>
    </row>
    <row r="1044" spans="8:47" x14ac:dyDescent="0.2">
      <c r="H1044" s="23"/>
      <c r="N1044" s="6"/>
      <c r="Q1044" s="23"/>
      <c r="R1044" s="23"/>
      <c r="AR1044" s="23"/>
      <c r="AS1044" s="23"/>
      <c r="AT1044" s="23"/>
      <c r="AU1044" s="23"/>
    </row>
    <row r="1045" spans="8:47" x14ac:dyDescent="0.2">
      <c r="H1045" s="23"/>
      <c r="N1045" s="6"/>
      <c r="Q1045" s="23"/>
      <c r="R1045" s="23"/>
      <c r="AR1045" s="23"/>
      <c r="AS1045" s="23"/>
      <c r="AT1045" s="23"/>
      <c r="AU1045" s="23"/>
    </row>
    <row r="1046" spans="8:47" x14ac:dyDescent="0.2">
      <c r="H1046" s="23"/>
      <c r="N1046" s="6"/>
      <c r="Q1046" s="23"/>
      <c r="R1046" s="23"/>
      <c r="AR1046" s="23"/>
      <c r="AS1046" s="23"/>
      <c r="AT1046" s="23"/>
      <c r="AU1046" s="23"/>
    </row>
    <row r="1047" spans="8:47" x14ac:dyDescent="0.2">
      <c r="H1047" s="23"/>
      <c r="N1047" s="6"/>
      <c r="Q1047" s="23"/>
      <c r="R1047" s="23"/>
      <c r="AR1047" s="23"/>
      <c r="AS1047" s="23"/>
      <c r="AT1047" s="23"/>
      <c r="AU1047" s="23"/>
    </row>
    <row r="1048" spans="8:47" x14ac:dyDescent="0.2">
      <c r="H1048" s="23"/>
      <c r="N1048" s="6"/>
      <c r="Q1048" s="23"/>
      <c r="R1048" s="23"/>
      <c r="AR1048" s="23"/>
      <c r="AS1048" s="23"/>
      <c r="AT1048" s="23"/>
      <c r="AU1048" s="23"/>
    </row>
    <row r="1049" spans="8:47" x14ac:dyDescent="0.2">
      <c r="H1049" s="23"/>
      <c r="N1049" s="6"/>
      <c r="Q1049" s="23"/>
      <c r="R1049" s="23"/>
      <c r="AR1049" s="23"/>
      <c r="AS1049" s="23"/>
      <c r="AT1049" s="23"/>
      <c r="AU1049" s="23"/>
    </row>
    <row r="1050" spans="8:47" x14ac:dyDescent="0.2">
      <c r="H1050" s="23"/>
      <c r="N1050" s="6"/>
      <c r="Q1050" s="23"/>
      <c r="R1050" s="23"/>
      <c r="AR1050" s="23"/>
      <c r="AS1050" s="23"/>
      <c r="AT1050" s="23"/>
      <c r="AU1050" s="23"/>
    </row>
    <row r="1051" spans="8:47" x14ac:dyDescent="0.2">
      <c r="H1051" s="23"/>
      <c r="N1051" s="6"/>
      <c r="Q1051" s="23"/>
      <c r="R1051" s="23"/>
      <c r="AR1051" s="23"/>
      <c r="AS1051" s="23"/>
      <c r="AT1051" s="23"/>
      <c r="AU1051" s="23"/>
    </row>
    <row r="1052" spans="8:47" x14ac:dyDescent="0.2">
      <c r="H1052" s="23"/>
      <c r="N1052" s="6"/>
      <c r="Q1052" s="23"/>
      <c r="R1052" s="23"/>
      <c r="AR1052" s="23"/>
      <c r="AS1052" s="23"/>
      <c r="AT1052" s="23"/>
      <c r="AU1052" s="23"/>
    </row>
    <row r="1053" spans="8:47" x14ac:dyDescent="0.2">
      <c r="H1053" s="23"/>
      <c r="N1053" s="6"/>
      <c r="Q1053" s="23"/>
      <c r="R1053" s="23"/>
      <c r="AR1053" s="23"/>
      <c r="AS1053" s="23"/>
      <c r="AT1053" s="23"/>
      <c r="AU1053" s="23"/>
    </row>
    <row r="1054" spans="8:47" x14ac:dyDescent="0.2">
      <c r="H1054" s="23"/>
      <c r="N1054" s="6"/>
      <c r="Q1054" s="23"/>
      <c r="R1054" s="23"/>
      <c r="AR1054" s="23"/>
      <c r="AS1054" s="23"/>
      <c r="AT1054" s="23"/>
      <c r="AU1054" s="23"/>
    </row>
    <row r="1055" spans="8:47" x14ac:dyDescent="0.2">
      <c r="H1055" s="23"/>
      <c r="N1055" s="6"/>
      <c r="Q1055" s="23"/>
      <c r="R1055" s="23"/>
      <c r="AR1055" s="23"/>
      <c r="AS1055" s="23"/>
      <c r="AT1055" s="23"/>
      <c r="AU1055" s="23"/>
    </row>
    <row r="1056" spans="8:47" x14ac:dyDescent="0.2">
      <c r="H1056" s="23"/>
      <c r="N1056" s="6"/>
      <c r="Q1056" s="23"/>
      <c r="R1056" s="23"/>
      <c r="AR1056" s="23"/>
      <c r="AS1056" s="23"/>
      <c r="AT1056" s="23"/>
      <c r="AU1056" s="23"/>
    </row>
    <row r="1057" spans="8:47" x14ac:dyDescent="0.2">
      <c r="H1057" s="23"/>
      <c r="N1057" s="6"/>
      <c r="Q1057" s="23"/>
      <c r="R1057" s="23"/>
      <c r="AR1057" s="23"/>
      <c r="AS1057" s="23"/>
      <c r="AT1057" s="23"/>
      <c r="AU1057" s="23"/>
    </row>
    <row r="1058" spans="8:47" x14ac:dyDescent="0.2">
      <c r="H1058" s="23"/>
      <c r="N1058" s="6"/>
      <c r="Q1058" s="23"/>
      <c r="R1058" s="23"/>
      <c r="AR1058" s="23"/>
      <c r="AS1058" s="23"/>
      <c r="AT1058" s="23"/>
      <c r="AU1058" s="23"/>
    </row>
    <row r="1059" spans="8:47" x14ac:dyDescent="0.2">
      <c r="H1059" s="23"/>
      <c r="N1059" s="6"/>
      <c r="Q1059" s="23"/>
      <c r="R1059" s="23"/>
      <c r="AR1059" s="23"/>
      <c r="AS1059" s="23"/>
      <c r="AT1059" s="23"/>
      <c r="AU1059" s="23"/>
    </row>
    <row r="1060" spans="8:47" x14ac:dyDescent="0.2">
      <c r="H1060" s="23"/>
      <c r="N1060" s="6"/>
      <c r="Q1060" s="23"/>
      <c r="R1060" s="23"/>
      <c r="AR1060" s="23"/>
      <c r="AS1060" s="23"/>
      <c r="AT1060" s="23"/>
      <c r="AU1060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7AA7-83E3-4073-B099-0F5630DDE896}">
  <dimension ref="A2:AU717"/>
  <sheetViews>
    <sheetView topLeftCell="A671" workbookViewId="0">
      <selection sqref="A1:XFD1048576"/>
    </sheetView>
  </sheetViews>
  <sheetFormatPr defaultRowHeight="12.75" x14ac:dyDescent="0.2"/>
  <cols>
    <col min="1" max="1" width="38.7109375" bestFit="1" customWidth="1"/>
    <col min="2" max="2" width="12" bestFit="1" customWidth="1"/>
    <col min="3" max="3" width="10" bestFit="1" customWidth="1"/>
    <col min="4" max="4" width="36.7109375" bestFit="1" customWidth="1"/>
    <col min="5" max="5" width="10.5703125" bestFit="1" customWidth="1"/>
    <col min="6" max="6" width="7.7109375" bestFit="1" customWidth="1"/>
    <col min="7" max="7" width="32.7109375" bestFit="1" customWidth="1"/>
    <col min="8" max="8" width="12" bestFit="1" customWidth="1"/>
    <col min="9" max="9" width="6.5703125" bestFit="1" customWidth="1"/>
    <col min="10" max="10" width="33.28515625" bestFit="1" customWidth="1"/>
    <col min="11" max="11" width="10.42578125" bestFit="1" customWidth="1"/>
    <col min="13" max="13" width="10.28515625" bestFit="1" customWidth="1"/>
    <col min="14" max="14" width="10.42578125" bestFit="1" customWidth="1"/>
    <col min="15" max="15" width="11.28515625" bestFit="1" customWidth="1"/>
    <col min="16" max="16" width="13.7109375" bestFit="1" customWidth="1"/>
    <col min="17" max="18" width="12" bestFit="1" customWidth="1"/>
    <col min="19" max="19" width="6" bestFit="1" customWidth="1"/>
    <col min="20" max="20" width="8.7109375" bestFit="1" customWidth="1"/>
    <col min="21" max="21" width="8" bestFit="1" customWidth="1"/>
    <col min="22" max="22" width="8.42578125" bestFit="1" customWidth="1"/>
    <col min="23" max="23" width="7.42578125" bestFit="1" customWidth="1"/>
    <col min="24" max="24" width="6.7109375" bestFit="1" customWidth="1"/>
    <col min="25" max="25" width="6.5703125" bestFit="1" customWidth="1"/>
    <col min="26" max="26" width="8.7109375" bestFit="1" customWidth="1"/>
    <col min="27" max="27" width="14.42578125" bestFit="1" customWidth="1"/>
    <col min="28" max="28" width="14.28515625" bestFit="1" customWidth="1"/>
    <col min="29" max="29" width="13.28515625" bestFit="1" customWidth="1"/>
    <col min="30" max="30" width="10.7109375" bestFit="1" customWidth="1"/>
    <col min="31" max="31" width="8" bestFit="1" customWidth="1"/>
    <col min="32" max="32" width="14" bestFit="1" customWidth="1"/>
    <col min="33" max="33" width="13.5703125" bestFit="1" customWidth="1"/>
    <col min="34" max="34" width="11.7109375" bestFit="1" customWidth="1"/>
    <col min="35" max="35" width="11" bestFit="1" customWidth="1"/>
    <col min="36" max="36" width="10.7109375" bestFit="1" customWidth="1"/>
    <col min="37" max="37" width="13.28515625" bestFit="1" customWidth="1"/>
    <col min="38" max="38" width="18.7109375" bestFit="1" customWidth="1"/>
    <col min="39" max="39" width="18.5703125" bestFit="1" customWidth="1"/>
    <col min="40" max="40" width="10.28515625" bestFit="1" customWidth="1"/>
    <col min="41" max="41" width="9.7109375" bestFit="1" customWidth="1"/>
    <col min="42" max="42" width="12.7109375" bestFit="1" customWidth="1"/>
    <col min="43" max="43" width="6.42578125" bestFit="1" customWidth="1"/>
    <col min="44" max="47" width="12" bestFit="1" customWidth="1"/>
    <col min="48" max="48" width="38.42578125" bestFit="1" customWidth="1"/>
    <col min="49" max="49" width="15.28515625" bestFit="1" customWidth="1"/>
    <col min="50" max="50" width="14" bestFit="1" customWidth="1"/>
    <col min="51" max="51" width="8.28515625" bestFit="1" customWidth="1"/>
    <col min="52" max="52" width="44" bestFit="1" customWidth="1"/>
    <col min="53" max="53" width="12.7109375" bestFit="1" customWidth="1"/>
    <col min="54" max="54" width="16.7109375" bestFit="1" customWidth="1"/>
    <col min="55" max="55" width="21.28515625" bestFit="1" customWidth="1"/>
    <col min="56" max="56" width="17" bestFit="1" customWidth="1"/>
    <col min="57" max="57" width="12.7109375" bestFit="1" customWidth="1"/>
    <col min="58" max="58" width="11.5703125" bestFit="1" customWidth="1"/>
    <col min="59" max="59" width="32.28515625" bestFit="1" customWidth="1"/>
    <col min="60" max="60" width="119.42578125" bestFit="1" customWidth="1"/>
    <col min="61" max="61" width="15.7109375" bestFit="1" customWidth="1"/>
    <col min="62" max="63" width="24.7109375" bestFit="1" customWidth="1"/>
    <col min="64" max="64" width="19.28515625" bestFit="1" customWidth="1"/>
    <col min="65" max="65" width="26.28515625" bestFit="1" customWidth="1"/>
  </cols>
  <sheetData>
    <row r="2" spans="1:47" x14ac:dyDescent="0.2">
      <c r="A2" s="18"/>
    </row>
    <row r="6" spans="1:47" x14ac:dyDescent="0.2">
      <c r="H6" s="23"/>
      <c r="N6" s="6"/>
      <c r="Q6" s="23"/>
      <c r="R6" s="23"/>
      <c r="AR6" s="23"/>
      <c r="AS6" s="23"/>
      <c r="AT6" s="23"/>
      <c r="AU6" s="23"/>
    </row>
    <row r="7" spans="1:47" x14ac:dyDescent="0.2">
      <c r="H7" s="23"/>
      <c r="N7" s="6"/>
      <c r="Q7" s="23"/>
      <c r="R7" s="23"/>
      <c r="AR7" s="23"/>
      <c r="AS7" s="23"/>
      <c r="AT7" s="23"/>
      <c r="AU7" s="23"/>
    </row>
    <row r="8" spans="1:47" x14ac:dyDescent="0.2">
      <c r="H8" s="23"/>
      <c r="N8" s="6"/>
      <c r="Q8" s="23"/>
      <c r="R8" s="23"/>
      <c r="AR8" s="23"/>
      <c r="AS8" s="23"/>
      <c r="AT8" s="23"/>
      <c r="AU8" s="23"/>
    </row>
    <row r="9" spans="1:47" x14ac:dyDescent="0.2">
      <c r="H9" s="23"/>
      <c r="N9" s="6"/>
      <c r="Q9" s="23"/>
      <c r="R9" s="23"/>
      <c r="AR9" s="23"/>
      <c r="AS9" s="23"/>
      <c r="AT9" s="23"/>
      <c r="AU9" s="23"/>
    </row>
    <row r="10" spans="1:47" x14ac:dyDescent="0.2">
      <c r="H10" s="23"/>
      <c r="N10" s="6"/>
      <c r="Q10" s="23"/>
      <c r="R10" s="23"/>
      <c r="AR10" s="23"/>
      <c r="AS10" s="23"/>
      <c r="AT10" s="23"/>
      <c r="AU10" s="23"/>
    </row>
    <row r="11" spans="1:47" x14ac:dyDescent="0.2">
      <c r="H11" s="23"/>
      <c r="N11" s="6"/>
      <c r="Q11" s="23"/>
      <c r="R11" s="23"/>
      <c r="AT11" s="23"/>
      <c r="AU11" s="23"/>
    </row>
    <row r="12" spans="1:47" x14ac:dyDescent="0.2">
      <c r="H12" s="23"/>
      <c r="N12" s="6"/>
      <c r="Q12" s="23"/>
      <c r="R12" s="23"/>
      <c r="AR12" s="23"/>
      <c r="AS12" s="23"/>
      <c r="AT12" s="23"/>
      <c r="AU12" s="23"/>
    </row>
    <row r="13" spans="1:47" x14ac:dyDescent="0.2">
      <c r="H13" s="23"/>
      <c r="N13" s="6"/>
      <c r="Q13" s="23"/>
      <c r="R13" s="23"/>
      <c r="AR13" s="23"/>
      <c r="AS13" s="23"/>
      <c r="AT13" s="23"/>
      <c r="AU13" s="23"/>
    </row>
    <row r="14" spans="1:47" x14ac:dyDescent="0.2">
      <c r="H14" s="23"/>
      <c r="N14" s="6"/>
      <c r="Q14" s="23"/>
      <c r="R14" s="23"/>
      <c r="AR14" s="23"/>
      <c r="AS14" s="23"/>
      <c r="AT14" s="23"/>
      <c r="AU14" s="23"/>
    </row>
    <row r="15" spans="1:47" x14ac:dyDescent="0.2">
      <c r="H15" s="23"/>
      <c r="N15" s="6"/>
      <c r="Q15" s="23"/>
      <c r="R15" s="23"/>
      <c r="AR15" s="23"/>
      <c r="AS15" s="23"/>
      <c r="AT15" s="23"/>
      <c r="AU15" s="23"/>
    </row>
    <row r="16" spans="1:47" x14ac:dyDescent="0.2">
      <c r="H16" s="23"/>
      <c r="N16" s="6"/>
      <c r="Q16" s="23"/>
      <c r="R16" s="23"/>
      <c r="AR16" s="23"/>
      <c r="AS16" s="23"/>
      <c r="AT16" s="23"/>
      <c r="AU16" s="23"/>
    </row>
    <row r="17" spans="8:47" x14ac:dyDescent="0.2">
      <c r="H17" s="23"/>
      <c r="N17" s="6"/>
      <c r="Q17" s="23"/>
      <c r="R17" s="23"/>
      <c r="AR17" s="23"/>
      <c r="AS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</row>
    <row r="22" spans="8:47" x14ac:dyDescent="0.2">
      <c r="H22" s="23"/>
      <c r="N22" s="6"/>
      <c r="Q22" s="23"/>
      <c r="R22" s="23"/>
      <c r="AR22" s="23"/>
      <c r="AS22" s="23"/>
      <c r="AT22" s="23"/>
      <c r="AU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  <c r="AR25" s="23"/>
      <c r="AS25" s="23"/>
      <c r="AT25" s="23"/>
      <c r="AU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</row>
    <row r="30" spans="8:47" x14ac:dyDescent="0.2">
      <c r="H30" s="23"/>
      <c r="N30" s="6"/>
      <c r="Q30" s="23"/>
      <c r="R30" s="23"/>
      <c r="AR30" s="23"/>
      <c r="AS30" s="23"/>
      <c r="AT30" s="23"/>
      <c r="AU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T35" s="23"/>
      <c r="AU35" s="23"/>
    </row>
    <row r="36" spans="8:47" x14ac:dyDescent="0.2">
      <c r="H36" s="23"/>
      <c r="N36" s="6"/>
      <c r="Q36" s="23"/>
      <c r="R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T38" s="23"/>
      <c r="AU38" s="23"/>
    </row>
    <row r="39" spans="8:47" x14ac:dyDescent="0.2">
      <c r="H39" s="23"/>
      <c r="N39" s="6"/>
      <c r="Q39" s="23"/>
      <c r="R39" s="23"/>
      <c r="AR39" s="23"/>
      <c r="AS39" s="23"/>
      <c r="AT39" s="23"/>
      <c r="AU39" s="23"/>
    </row>
    <row r="40" spans="8:47" x14ac:dyDescent="0.2">
      <c r="H40" s="23"/>
      <c r="N40" s="6"/>
      <c r="Q40" s="23"/>
      <c r="R40" s="23"/>
      <c r="AR40" s="23"/>
      <c r="AS40" s="23"/>
      <c r="AT40" s="23"/>
      <c r="AU40" s="23"/>
    </row>
    <row r="41" spans="8:47" x14ac:dyDescent="0.2">
      <c r="H41" s="23"/>
      <c r="N41" s="6"/>
      <c r="Q41" s="23"/>
      <c r="R41" s="23"/>
      <c r="AT41" s="23"/>
      <c r="AU41" s="23"/>
    </row>
    <row r="42" spans="8:47" x14ac:dyDescent="0.2">
      <c r="H42" s="23"/>
      <c r="N42" s="6"/>
      <c r="Q42" s="23"/>
      <c r="R42" s="23"/>
      <c r="AR42" s="23"/>
      <c r="AS42" s="23"/>
      <c r="AT42" s="23"/>
      <c r="AU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  <c r="AT47" s="23"/>
      <c r="AU47" s="23"/>
    </row>
    <row r="48" spans="8:47" x14ac:dyDescent="0.2">
      <c r="H48" s="23"/>
      <c r="N48" s="6"/>
      <c r="Q48" s="23"/>
      <c r="R48" s="23"/>
    </row>
    <row r="49" spans="8:47" x14ac:dyDescent="0.2">
      <c r="H49" s="23"/>
      <c r="N49" s="6"/>
      <c r="Q49" s="23"/>
      <c r="R49" s="23"/>
      <c r="AR49" s="23"/>
      <c r="AT49" s="23"/>
      <c r="AU49" s="23"/>
    </row>
    <row r="50" spans="8:47" x14ac:dyDescent="0.2">
      <c r="H50" s="23"/>
      <c r="N50" s="6"/>
      <c r="Q50" s="23"/>
      <c r="R50" s="23"/>
      <c r="AR50" s="23"/>
      <c r="AS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4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  <c r="AU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  <c r="AU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  <c r="AR57" s="23"/>
      <c r="AS57" s="23"/>
      <c r="AT57" s="23"/>
      <c r="AU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  <c r="AR59" s="23"/>
      <c r="AS59" s="23"/>
      <c r="AT59" s="23"/>
    </row>
    <row r="60" spans="8:47" x14ac:dyDescent="0.2">
      <c r="H60" s="23"/>
      <c r="N60" s="6"/>
      <c r="Q60" s="23"/>
      <c r="R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R62" s="23"/>
      <c r="AS62" s="23"/>
      <c r="AT62" s="23"/>
      <c r="AU62" s="23"/>
    </row>
    <row r="63" spans="8:47" x14ac:dyDescent="0.2">
      <c r="H63" s="23"/>
      <c r="N63" s="6"/>
      <c r="Q63" s="23"/>
      <c r="R63" s="23"/>
      <c r="AT63" s="23"/>
      <c r="AU63" s="23"/>
    </row>
    <row r="64" spans="8:47" x14ac:dyDescent="0.2">
      <c r="H64" s="23"/>
      <c r="N64" s="6"/>
      <c r="Q64" s="23"/>
      <c r="R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T69" s="23"/>
      <c r="AU69" s="23"/>
    </row>
    <row r="70" spans="8:47" x14ac:dyDescent="0.2">
      <c r="H70" s="23"/>
      <c r="N70" s="6"/>
      <c r="Q70" s="23"/>
      <c r="R70" s="23"/>
      <c r="AR70" s="23"/>
      <c r="AS70" s="23"/>
      <c r="AT70" s="23"/>
      <c r="AU70" s="23"/>
    </row>
    <row r="71" spans="8:47" x14ac:dyDescent="0.2">
      <c r="H71" s="23"/>
      <c r="N71" s="6"/>
      <c r="Q71" s="23"/>
      <c r="R71" s="23"/>
      <c r="AR71" s="23"/>
      <c r="AS71" s="23"/>
      <c r="AT71" s="23"/>
    </row>
    <row r="72" spans="8:47" x14ac:dyDescent="0.2">
      <c r="H72" s="23"/>
      <c r="N72" s="6"/>
      <c r="Q72" s="23"/>
      <c r="R72" s="23"/>
      <c r="AR72" s="23"/>
      <c r="AS72" s="23"/>
      <c r="AT72" s="23"/>
      <c r="AU72" s="23"/>
    </row>
    <row r="73" spans="8:47" x14ac:dyDescent="0.2">
      <c r="H73" s="23"/>
      <c r="N73" s="6"/>
      <c r="Q73" s="23"/>
      <c r="R73" s="23"/>
      <c r="AR73" s="23"/>
      <c r="AT73" s="23"/>
      <c r="AU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T77" s="23"/>
    </row>
    <row r="78" spans="8:47" x14ac:dyDescent="0.2">
      <c r="H78" s="23"/>
      <c r="N78" s="6"/>
      <c r="Q78" s="23"/>
      <c r="R78" s="23"/>
      <c r="AR78" s="23"/>
      <c r="AS78" s="23"/>
      <c r="AT78" s="23"/>
      <c r="AU78" s="23"/>
    </row>
    <row r="79" spans="8:47" x14ac:dyDescent="0.2">
      <c r="H79" s="23"/>
      <c r="N79" s="6"/>
      <c r="Q79" s="23"/>
      <c r="R79" s="23"/>
    </row>
    <row r="80" spans="8:47" x14ac:dyDescent="0.2">
      <c r="H80" s="23"/>
      <c r="N80" s="6"/>
      <c r="Q80" s="23"/>
      <c r="R80" s="23"/>
      <c r="AR80" s="23"/>
      <c r="AS80" s="23"/>
      <c r="AT80" s="23"/>
    </row>
    <row r="81" spans="8:47" x14ac:dyDescent="0.2">
      <c r="H81" s="23"/>
      <c r="N81" s="6"/>
      <c r="Q81" s="23"/>
      <c r="R81" s="23"/>
      <c r="AR81" s="23"/>
      <c r="AS81" s="23"/>
      <c r="AT81" s="23"/>
      <c r="AU81" s="23"/>
    </row>
    <row r="82" spans="8:47" x14ac:dyDescent="0.2">
      <c r="H82" s="23"/>
      <c r="N82" s="6"/>
      <c r="Q82" s="23"/>
      <c r="R82" s="23"/>
      <c r="AR82" s="23"/>
      <c r="AS82" s="23"/>
      <c r="AT82" s="23"/>
      <c r="AU82" s="23"/>
    </row>
    <row r="83" spans="8:47" x14ac:dyDescent="0.2">
      <c r="H83" s="23"/>
      <c r="N83" s="6"/>
      <c r="Q83" s="23"/>
      <c r="R83" s="23"/>
      <c r="AR83" s="23"/>
      <c r="AS83" s="23"/>
      <c r="AT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S87" s="23"/>
      <c r="AT87" s="23"/>
      <c r="AU87" s="23"/>
    </row>
    <row r="88" spans="8:47" x14ac:dyDescent="0.2">
      <c r="H88" s="23"/>
      <c r="N88" s="6"/>
      <c r="Q88" s="23"/>
      <c r="R88" s="23"/>
      <c r="AR88" s="23"/>
      <c r="AS88" s="23"/>
      <c r="AT88" s="23"/>
      <c r="AU88" s="23"/>
    </row>
    <row r="89" spans="8:47" x14ac:dyDescent="0.2">
      <c r="H89" s="23"/>
      <c r="N89" s="6"/>
      <c r="Q89" s="23"/>
      <c r="R89" s="23"/>
      <c r="AR89" s="23"/>
      <c r="AS89" s="23"/>
      <c r="AT89" s="23"/>
      <c r="AU89" s="23"/>
    </row>
    <row r="90" spans="8:47" x14ac:dyDescent="0.2">
      <c r="H90" s="23"/>
      <c r="N90" s="6"/>
      <c r="Q90" s="23"/>
      <c r="R90" s="23"/>
      <c r="AR90" s="23"/>
      <c r="AS90" s="23"/>
      <c r="AT90" s="23"/>
      <c r="AU90" s="23"/>
    </row>
    <row r="91" spans="8:47" x14ac:dyDescent="0.2">
      <c r="H91" s="23"/>
      <c r="N91" s="6"/>
      <c r="Q91" s="23"/>
      <c r="R91" s="23"/>
      <c r="AR91" s="23"/>
      <c r="AS91" s="23"/>
      <c r="AT91" s="23"/>
      <c r="AU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R93" s="23"/>
      <c r="AS93" s="23"/>
      <c r="AT93" s="23"/>
      <c r="AU93" s="23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S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S97" s="23"/>
      <c r="AT97" s="23"/>
      <c r="AU97" s="23"/>
    </row>
    <row r="98" spans="8:47" x14ac:dyDescent="0.2">
      <c r="H98" s="23"/>
      <c r="N98" s="6"/>
      <c r="Q98" s="23"/>
      <c r="R98" s="23"/>
      <c r="AR98" s="23"/>
      <c r="AS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R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S102" s="23"/>
      <c r="AT102" s="23"/>
      <c r="AU102" s="23"/>
    </row>
    <row r="103" spans="8:47" x14ac:dyDescent="0.2">
      <c r="H103" s="23"/>
      <c r="N103" s="6"/>
      <c r="Q103" s="23"/>
      <c r="R103" s="23"/>
      <c r="AR103" s="23"/>
      <c r="AS103" s="23"/>
      <c r="AT103" s="23"/>
      <c r="AU103" s="23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T106" s="23"/>
      <c r="AU106" s="23"/>
    </row>
    <row r="107" spans="8:47" x14ac:dyDescent="0.2">
      <c r="H107" s="23"/>
      <c r="N107" s="6"/>
      <c r="Q107" s="23"/>
      <c r="R107" s="23"/>
      <c r="AR107" s="23"/>
      <c r="AS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  <c r="AR110" s="23"/>
      <c r="AS110" s="23"/>
      <c r="AT110" s="23"/>
      <c r="AU110" s="23"/>
    </row>
    <row r="111" spans="8:47" x14ac:dyDescent="0.2">
      <c r="H111" s="23"/>
      <c r="N111" s="6"/>
      <c r="Q111" s="23"/>
      <c r="R111" s="23"/>
      <c r="AR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  <c r="AU113" s="23"/>
    </row>
    <row r="114" spans="8:47" x14ac:dyDescent="0.2">
      <c r="H114" s="23"/>
      <c r="N114" s="6"/>
      <c r="Q114" s="23"/>
      <c r="R114" s="23"/>
      <c r="AT114" s="23"/>
      <c r="AU114" s="23"/>
    </row>
    <row r="115" spans="8:47" x14ac:dyDescent="0.2">
      <c r="H115" s="23"/>
      <c r="N115" s="6"/>
      <c r="Q115" s="23"/>
      <c r="R115" s="23"/>
      <c r="AR115" s="23"/>
      <c r="AS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S117" s="23"/>
      <c r="AT117" s="23"/>
      <c r="AU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3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T124" s="23"/>
      <c r="AU124" s="24"/>
    </row>
    <row r="125" spans="8:47" x14ac:dyDescent="0.2">
      <c r="H125" s="23"/>
      <c r="N125" s="6"/>
      <c r="Q125" s="23"/>
      <c r="R125" s="23"/>
      <c r="AR125" s="23"/>
      <c r="AT125" s="23"/>
      <c r="AU125" s="23"/>
    </row>
    <row r="126" spans="8:47" x14ac:dyDescent="0.2">
      <c r="H126" s="23"/>
      <c r="N126" s="6"/>
      <c r="Q126" s="23"/>
      <c r="R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  <c r="AU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  <c r="AR132" s="23"/>
      <c r="AS132" s="23"/>
      <c r="AT132" s="23"/>
      <c r="AU132" s="23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T135" s="23"/>
      <c r="AU135" s="23"/>
    </row>
    <row r="136" spans="8:47" x14ac:dyDescent="0.2">
      <c r="H136" s="23"/>
      <c r="N136" s="6"/>
      <c r="Q136" s="23"/>
      <c r="R136" s="23"/>
      <c r="AR136" s="23"/>
      <c r="AS136" s="23"/>
      <c r="AT136" s="23"/>
      <c r="AU136" s="23"/>
    </row>
    <row r="137" spans="8:47" x14ac:dyDescent="0.2">
      <c r="H137" s="23"/>
      <c r="N137" s="6"/>
      <c r="Q137" s="23"/>
      <c r="R137" s="23"/>
      <c r="AR137" s="23"/>
      <c r="AS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R141" s="23"/>
      <c r="AS141" s="23"/>
      <c r="AT141" s="23"/>
      <c r="AU141" s="23"/>
    </row>
    <row r="142" spans="8:47" x14ac:dyDescent="0.2">
      <c r="H142" s="23"/>
      <c r="N142" s="6"/>
      <c r="Q142" s="23"/>
      <c r="R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S144" s="23"/>
      <c r="AT144" s="23"/>
      <c r="AU144" s="23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R150" s="23"/>
      <c r="AS150" s="23"/>
      <c r="AT150" s="23"/>
      <c r="AU150" s="23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T152" s="23"/>
      <c r="AU152" s="23"/>
    </row>
    <row r="153" spans="8:47" x14ac:dyDescent="0.2">
      <c r="H153" s="23"/>
      <c r="N153" s="6"/>
      <c r="Q153" s="23"/>
      <c r="R153" s="23"/>
      <c r="AR153" s="23"/>
      <c r="AS153" s="23"/>
      <c r="AT153" s="23"/>
      <c r="AU153" s="23"/>
    </row>
    <row r="154" spans="8:47" x14ac:dyDescent="0.2">
      <c r="H154" s="23"/>
      <c r="N154" s="6"/>
      <c r="Q154" s="23"/>
      <c r="R154" s="23"/>
      <c r="AR154" s="23"/>
      <c r="AS154" s="23"/>
      <c r="AT154" s="23"/>
      <c r="AU154" s="23"/>
    </row>
    <row r="155" spans="8:47" x14ac:dyDescent="0.2">
      <c r="H155" s="23"/>
      <c r="N155" s="6"/>
      <c r="Q155" s="23"/>
      <c r="R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  <c r="AR157" s="23"/>
      <c r="AS157" s="23"/>
      <c r="AT157" s="23"/>
      <c r="AU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S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T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  <c r="AR163" s="23"/>
      <c r="AT163" s="23"/>
      <c r="AU163" s="23"/>
    </row>
    <row r="164" spans="8:47" x14ac:dyDescent="0.2">
      <c r="H164" s="23"/>
      <c r="N164" s="6"/>
      <c r="Q164" s="23"/>
      <c r="R164" s="23"/>
      <c r="AR164" s="23"/>
      <c r="AS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S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T169" s="23"/>
      <c r="AU169" s="23"/>
    </row>
    <row r="170" spans="8:47" x14ac:dyDescent="0.2">
      <c r="H170" s="23"/>
      <c r="N170" s="6"/>
      <c r="Q170" s="23"/>
      <c r="R170" s="23"/>
      <c r="AR170" s="23"/>
      <c r="AS170" s="23"/>
      <c r="AT170" s="23"/>
      <c r="AU170" s="23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R172" s="23"/>
      <c r="AS172" s="23"/>
      <c r="AT172" s="23"/>
      <c r="AU172" s="23"/>
    </row>
    <row r="173" spans="8:47" x14ac:dyDescent="0.2">
      <c r="H173" s="23"/>
      <c r="N173" s="6"/>
      <c r="Q173" s="23"/>
      <c r="R173" s="23"/>
      <c r="AR173" s="23"/>
      <c r="AT173" s="23"/>
      <c r="AU173" s="23"/>
    </row>
    <row r="174" spans="8:47" x14ac:dyDescent="0.2">
      <c r="H174" s="23"/>
      <c r="N174" s="6"/>
      <c r="Q174" s="23"/>
      <c r="R174" s="23"/>
      <c r="AR174" s="23"/>
      <c r="AT174" s="23"/>
      <c r="AU174" s="23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R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S182" s="23"/>
      <c r="AT182" s="23"/>
      <c r="AU182" s="23"/>
    </row>
    <row r="183" spans="8:47" x14ac:dyDescent="0.2">
      <c r="H183" s="23"/>
      <c r="N183" s="6"/>
      <c r="Q183" s="23"/>
      <c r="R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  <c r="AU184" s="23"/>
    </row>
    <row r="185" spans="8:47" x14ac:dyDescent="0.2">
      <c r="H185" s="23"/>
      <c r="N185" s="6"/>
      <c r="Q185" s="23"/>
      <c r="R185" s="23"/>
      <c r="AR185" s="23"/>
      <c r="AS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S186" s="23"/>
      <c r="AT186" s="23"/>
      <c r="AU186" s="23"/>
    </row>
    <row r="187" spans="8:47" x14ac:dyDescent="0.2">
      <c r="H187" s="23"/>
      <c r="N187" s="6"/>
      <c r="Q187" s="23"/>
      <c r="R187" s="23"/>
      <c r="AR187" s="23"/>
      <c r="AS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R190" s="23"/>
      <c r="AS190" s="23"/>
      <c r="AT190" s="23"/>
      <c r="AU190" s="23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R192" s="23"/>
      <c r="AS192" s="23"/>
      <c r="AT192" s="23"/>
      <c r="AU192" s="23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S194" s="23"/>
      <c r="AT194" s="23"/>
      <c r="AU194" s="23"/>
    </row>
    <row r="195" spans="8:47" x14ac:dyDescent="0.2">
      <c r="H195" s="23"/>
      <c r="N195" s="6"/>
      <c r="Q195" s="23"/>
      <c r="R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S197" s="23"/>
      <c r="AT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R200" s="23"/>
      <c r="AS200" s="23"/>
      <c r="AT200" s="23"/>
      <c r="AU200" s="23"/>
    </row>
    <row r="201" spans="8:47" x14ac:dyDescent="0.2">
      <c r="H201" s="23"/>
      <c r="N201" s="6"/>
      <c r="Q201" s="23"/>
      <c r="R201" s="23"/>
      <c r="AR201" s="23"/>
      <c r="AS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T202" s="23"/>
      <c r="AU202" s="23"/>
    </row>
    <row r="203" spans="8:47" x14ac:dyDescent="0.2">
      <c r="H203" s="23"/>
      <c r="N203" s="6"/>
      <c r="Q203" s="23"/>
      <c r="R203" s="23"/>
      <c r="AR203" s="23"/>
      <c r="AT203" s="23"/>
      <c r="AU203" s="23"/>
    </row>
    <row r="204" spans="8:47" x14ac:dyDescent="0.2">
      <c r="H204" s="23"/>
      <c r="N204" s="6"/>
      <c r="Q204" s="23"/>
      <c r="R204" s="23"/>
      <c r="AR204" s="23"/>
      <c r="AT204" s="23"/>
      <c r="AU204" s="23"/>
    </row>
    <row r="205" spans="8:47" x14ac:dyDescent="0.2">
      <c r="H205" s="23"/>
      <c r="N205" s="6"/>
      <c r="Q205" s="23"/>
      <c r="R205" s="23"/>
      <c r="AR205" s="23"/>
      <c r="AS205" s="23"/>
      <c r="AT205" s="23"/>
      <c r="AU205" s="23"/>
    </row>
    <row r="206" spans="8:47" x14ac:dyDescent="0.2">
      <c r="H206" s="23"/>
      <c r="N206" s="6"/>
      <c r="Q206" s="23"/>
      <c r="R206" s="23"/>
      <c r="AR206" s="23"/>
      <c r="AS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T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S210" s="23"/>
      <c r="AT210" s="23"/>
      <c r="AU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R213" s="23"/>
      <c r="AS213" s="23"/>
      <c r="AT213" s="23"/>
      <c r="AU213" s="23"/>
    </row>
    <row r="214" spans="8:47" x14ac:dyDescent="0.2">
      <c r="H214" s="23"/>
      <c r="N214" s="6"/>
      <c r="Q214" s="23"/>
      <c r="R214" s="23"/>
      <c r="AT214" s="23"/>
      <c r="AU214" s="23"/>
    </row>
    <row r="215" spans="8:47" x14ac:dyDescent="0.2">
      <c r="H215" s="23"/>
      <c r="N215" s="6"/>
      <c r="Q215" s="23"/>
      <c r="R215" s="23"/>
      <c r="AT215" s="23"/>
      <c r="AU215" s="23"/>
    </row>
    <row r="216" spans="8:47" x14ac:dyDescent="0.2">
      <c r="H216" s="23"/>
      <c r="N216" s="6"/>
      <c r="Q216" s="23"/>
      <c r="R216" s="23"/>
      <c r="AR216" s="23"/>
      <c r="AS216" s="23"/>
      <c r="AT216" s="23"/>
      <c r="AU216" s="23"/>
    </row>
    <row r="217" spans="8:47" x14ac:dyDescent="0.2">
      <c r="H217" s="23"/>
      <c r="N217" s="6"/>
      <c r="Q217" s="23"/>
      <c r="R217" s="23"/>
      <c r="AR217" s="23"/>
      <c r="AT217" s="23"/>
      <c r="AU217" s="23"/>
    </row>
    <row r="218" spans="8:47" x14ac:dyDescent="0.2">
      <c r="H218" s="23"/>
      <c r="N218" s="6"/>
      <c r="Q218" s="23"/>
      <c r="R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R228" s="23"/>
      <c r="AS228" s="23"/>
      <c r="AT228" s="23"/>
      <c r="AU228" s="23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T230" s="23"/>
      <c r="AU230" s="23"/>
    </row>
    <row r="231" spans="8:47" x14ac:dyDescent="0.2">
      <c r="H231" s="23"/>
      <c r="N231" s="6"/>
      <c r="Q231" s="23"/>
      <c r="R231" s="23"/>
      <c r="AR231" s="23"/>
      <c r="AS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R233" s="23"/>
      <c r="AS233" s="23"/>
      <c r="AT233" s="23"/>
      <c r="AU233" s="23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R240" s="23"/>
      <c r="AT240" s="23"/>
      <c r="AU240" s="23"/>
    </row>
    <row r="241" spans="8:47" x14ac:dyDescent="0.2">
      <c r="H241" s="23"/>
      <c r="N241" s="6"/>
      <c r="Q241" s="23"/>
      <c r="R241" s="23"/>
      <c r="AR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S242" s="23"/>
      <c r="AT242" s="23"/>
      <c r="AU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</row>
    <row r="256" spans="8:47" x14ac:dyDescent="0.2">
      <c r="H256" s="23"/>
      <c r="N256" s="6"/>
      <c r="Q256" s="23"/>
      <c r="R256" s="23"/>
      <c r="AR256" s="23"/>
      <c r="AS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  <c r="AR259" s="23"/>
      <c r="AS259" s="23"/>
      <c r="AT259" s="23"/>
      <c r="AU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R262" s="23"/>
      <c r="AS262" s="23"/>
      <c r="AT262" s="23"/>
      <c r="AU262" s="23"/>
    </row>
    <row r="263" spans="8:47" x14ac:dyDescent="0.2">
      <c r="H263" s="23"/>
      <c r="N263" s="6"/>
      <c r="Q263" s="23"/>
      <c r="R263" s="23"/>
      <c r="AR263" s="23"/>
      <c r="AS263" s="23"/>
      <c r="AT263" s="23"/>
      <c r="AU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S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R286" s="23"/>
      <c r="AS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S292" s="23"/>
      <c r="AT292" s="23"/>
      <c r="AU292" s="23"/>
    </row>
    <row r="293" spans="8:47" x14ac:dyDescent="0.2">
      <c r="H293" s="23"/>
      <c r="N293" s="6"/>
      <c r="Q293" s="23"/>
      <c r="R293" s="23"/>
      <c r="AR293" s="23"/>
      <c r="AS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T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  <c r="AR310" s="23"/>
      <c r="AS310" s="23"/>
      <c r="AT310" s="23"/>
      <c r="AU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R316" s="23"/>
      <c r="AS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S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S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  <c r="AR354" s="23"/>
      <c r="AS354" s="23"/>
      <c r="AT354" s="23"/>
      <c r="AU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R363" s="23"/>
      <c r="AS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T366" s="23"/>
      <c r="AU366" s="23"/>
    </row>
    <row r="367" spans="8:47" x14ac:dyDescent="0.2">
      <c r="H367" s="23"/>
      <c r="N367" s="6"/>
      <c r="Q367" s="23"/>
      <c r="R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T372" s="23"/>
      <c r="AU372" s="23"/>
    </row>
    <row r="373" spans="8:47" x14ac:dyDescent="0.2">
      <c r="H373" s="23"/>
      <c r="N373" s="6"/>
      <c r="Q373" s="23"/>
      <c r="R373" s="23"/>
      <c r="AT373" s="23"/>
      <c r="AU373" s="23"/>
    </row>
    <row r="374" spans="8:47" x14ac:dyDescent="0.2">
      <c r="H374" s="23"/>
      <c r="N374" s="6"/>
      <c r="Q374" s="23"/>
      <c r="R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T375" s="23"/>
      <c r="AU375" s="23"/>
    </row>
    <row r="376" spans="8:47" x14ac:dyDescent="0.2">
      <c r="H376" s="23"/>
      <c r="N376" s="6"/>
      <c r="Q376" s="23"/>
      <c r="R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T397" s="23"/>
      <c r="AU397" s="23"/>
    </row>
    <row r="398" spans="8:47" x14ac:dyDescent="0.2">
      <c r="H398" s="23"/>
      <c r="N398" s="6"/>
      <c r="Q398" s="23"/>
      <c r="R398" s="23"/>
      <c r="AR398" s="23"/>
      <c r="AS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S410" s="23"/>
      <c r="AT410" s="23"/>
      <c r="AU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R413" s="23"/>
      <c r="AS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S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R416" s="23"/>
      <c r="AS416" s="23"/>
      <c r="AT416" s="23"/>
      <c r="AU416" s="23"/>
    </row>
    <row r="417" spans="8:47" x14ac:dyDescent="0.2">
      <c r="H417" s="23"/>
      <c r="N417" s="6"/>
      <c r="Q417" s="23"/>
      <c r="R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S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S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  <c r="AR424" s="23"/>
      <c r="AS424" s="23"/>
      <c r="AT424" s="23"/>
      <c r="AU424" s="23"/>
    </row>
    <row r="425" spans="8:47" x14ac:dyDescent="0.2">
      <c r="H425" s="23"/>
      <c r="N425" s="6"/>
      <c r="Q425" s="23"/>
      <c r="R425" s="23"/>
      <c r="AR425" s="23"/>
      <c r="AS425" s="23"/>
      <c r="AT425" s="23"/>
      <c r="AU425" s="23"/>
    </row>
    <row r="426" spans="8:47" x14ac:dyDescent="0.2">
      <c r="H426" s="23"/>
      <c r="N426" s="6"/>
      <c r="Q426" s="23"/>
      <c r="R426" s="23"/>
      <c r="AR426" s="23"/>
      <c r="AS426" s="23"/>
      <c r="AT426" s="23"/>
      <c r="AU426" s="23"/>
    </row>
    <row r="427" spans="8:47" x14ac:dyDescent="0.2">
      <c r="H427" s="23"/>
      <c r="N427" s="6"/>
      <c r="Q427" s="23"/>
      <c r="R427" s="23"/>
    </row>
    <row r="428" spans="8:47" x14ac:dyDescent="0.2">
      <c r="H428" s="23"/>
      <c r="N428" s="6"/>
      <c r="Q428" s="23"/>
      <c r="R428" s="23"/>
      <c r="AR428" s="23"/>
      <c r="AS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S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  <c r="AR439" s="23"/>
      <c r="AS439" s="23"/>
      <c r="AT439" s="23"/>
      <c r="AU439" s="23"/>
    </row>
    <row r="440" spans="8:47" x14ac:dyDescent="0.2">
      <c r="H440" s="23"/>
      <c r="N440" s="6"/>
      <c r="Q440" s="23"/>
      <c r="R440" s="23"/>
      <c r="AR440" s="23"/>
      <c r="AS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S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R451" s="23"/>
      <c r="AS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  <c r="AR454" s="23"/>
      <c r="AS454" s="23"/>
      <c r="AT454" s="23"/>
      <c r="AU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  <c r="AR456" s="23"/>
      <c r="AS456" s="23"/>
      <c r="AT456" s="23"/>
      <c r="AU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T462" s="23"/>
      <c r="AU462" s="23"/>
    </row>
    <row r="463" spans="8:47" x14ac:dyDescent="0.2">
      <c r="H463" s="23"/>
      <c r="N463" s="6"/>
      <c r="Q463" s="23"/>
      <c r="R463" s="23"/>
      <c r="AR463" s="23"/>
      <c r="AS463" s="23"/>
      <c r="AT463" s="23"/>
      <c r="AU463" s="23"/>
    </row>
    <row r="464" spans="8:47" x14ac:dyDescent="0.2">
      <c r="H464" s="23"/>
      <c r="N464" s="6"/>
      <c r="Q464" s="23"/>
      <c r="R464" s="23"/>
      <c r="AT464" s="23"/>
      <c r="AU464" s="23"/>
    </row>
    <row r="465" spans="8:47" x14ac:dyDescent="0.2">
      <c r="H465" s="23"/>
      <c r="N465" s="6"/>
      <c r="Q465" s="23"/>
      <c r="R465" s="23"/>
      <c r="AR465" s="23"/>
      <c r="AS465" s="23"/>
      <c r="AT465" s="23"/>
      <c r="AU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  <c r="AR467" s="23"/>
      <c r="AT467" s="23"/>
      <c r="AU467" s="23"/>
    </row>
    <row r="468" spans="8:47" x14ac:dyDescent="0.2">
      <c r="H468" s="23"/>
      <c r="N468" s="6"/>
      <c r="Q468" s="23"/>
      <c r="R468" s="23"/>
      <c r="AR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  <c r="AR471" s="23"/>
      <c r="AS471" s="23"/>
      <c r="AT471" s="23"/>
      <c r="AU471" s="23"/>
    </row>
    <row r="472" spans="8:47" x14ac:dyDescent="0.2">
      <c r="H472" s="23"/>
      <c r="N472" s="6"/>
      <c r="Q472" s="23"/>
      <c r="R472" s="23"/>
      <c r="AT472" s="23"/>
      <c r="AU472" s="23"/>
    </row>
    <row r="473" spans="8:47" x14ac:dyDescent="0.2">
      <c r="H473" s="23"/>
      <c r="N473" s="6"/>
      <c r="Q473" s="23"/>
      <c r="R473" s="23"/>
      <c r="AR473" s="23"/>
      <c r="AS473" s="23"/>
      <c r="AT473" s="23"/>
      <c r="AU473" s="23"/>
    </row>
    <row r="474" spans="8:47" x14ac:dyDescent="0.2">
      <c r="H474" s="23"/>
      <c r="N474" s="6"/>
      <c r="Q474" s="23"/>
      <c r="R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S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  <c r="AR478" s="23"/>
      <c r="AS478" s="23"/>
      <c r="AT478" s="23"/>
      <c r="AU478" s="23"/>
    </row>
    <row r="479" spans="8:47" x14ac:dyDescent="0.2">
      <c r="H479" s="23"/>
      <c r="N479" s="6"/>
      <c r="Q479" s="23"/>
      <c r="R479" s="23"/>
      <c r="AR479" s="23"/>
      <c r="AS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S481" s="23"/>
      <c r="AT481" s="23"/>
      <c r="AU481" s="23"/>
    </row>
    <row r="482" spans="8:47" x14ac:dyDescent="0.2">
      <c r="H482" s="23"/>
      <c r="N482" s="6"/>
      <c r="Q482" s="23"/>
      <c r="R482" s="23"/>
      <c r="AR482" s="23"/>
      <c r="AS482" s="23"/>
      <c r="AT482" s="23"/>
      <c r="AU482" s="23"/>
    </row>
    <row r="483" spans="8:47" x14ac:dyDescent="0.2">
      <c r="H483" s="23"/>
      <c r="N483" s="6"/>
      <c r="Q483" s="23"/>
      <c r="R483" s="23"/>
      <c r="AR483" s="23"/>
      <c r="AS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S484" s="23"/>
      <c r="AT484" s="23"/>
      <c r="AU484" s="23"/>
    </row>
    <row r="485" spans="8:47" x14ac:dyDescent="0.2">
      <c r="H485" s="23"/>
      <c r="N485" s="6"/>
      <c r="Q485" s="23"/>
      <c r="R485" s="23"/>
      <c r="AR485" s="23"/>
      <c r="AS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  <c r="AR489" s="23"/>
      <c r="AS489" s="23"/>
      <c r="AT489" s="23"/>
      <c r="AU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R491" s="23"/>
      <c r="AS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  <c r="AR500" s="23"/>
      <c r="AS500" s="23"/>
      <c r="AT500" s="23"/>
      <c r="AU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  <c r="AR504" s="23"/>
      <c r="AS504" s="23"/>
      <c r="AT504" s="23"/>
      <c r="AU504" s="23"/>
    </row>
    <row r="505" spans="8:47" x14ac:dyDescent="0.2">
      <c r="H505" s="23"/>
      <c r="N505" s="6"/>
      <c r="Q505" s="23"/>
      <c r="R505" s="23"/>
      <c r="AR505" s="23"/>
      <c r="AS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S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S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R515" s="23"/>
      <c r="AS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  <c r="AR517" s="23"/>
      <c r="AS517" s="23"/>
      <c r="AT517" s="23"/>
      <c r="AU517" s="23"/>
    </row>
    <row r="518" spans="8:47" x14ac:dyDescent="0.2">
      <c r="H518" s="23"/>
      <c r="N518" s="6"/>
      <c r="Q518" s="23"/>
      <c r="R518" s="23"/>
      <c r="AR518" s="23"/>
      <c r="AT518" s="23"/>
      <c r="AU518" s="23"/>
    </row>
    <row r="519" spans="8:47" x14ac:dyDescent="0.2">
      <c r="H519" s="23"/>
      <c r="N519" s="6"/>
      <c r="Q519" s="23"/>
      <c r="R519" s="23"/>
    </row>
    <row r="520" spans="8:47" x14ac:dyDescent="0.2">
      <c r="H520" s="23"/>
      <c r="N520" s="6"/>
      <c r="Q520" s="23"/>
      <c r="R520" s="23"/>
      <c r="AR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S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S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S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S538" s="23"/>
      <c r="AT538" s="23"/>
      <c r="AU538" s="23"/>
    </row>
    <row r="539" spans="8:47" x14ac:dyDescent="0.2">
      <c r="H539" s="23"/>
      <c r="N539" s="6"/>
      <c r="Q539" s="23"/>
      <c r="R539" s="23"/>
      <c r="AR539" s="23"/>
      <c r="AS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S540" s="23"/>
      <c r="AT540" s="23"/>
      <c r="AU540" s="23"/>
    </row>
    <row r="541" spans="8:47" x14ac:dyDescent="0.2">
      <c r="H541" s="23"/>
      <c r="N541" s="6"/>
      <c r="Q541" s="23"/>
      <c r="R541" s="23"/>
    </row>
    <row r="542" spans="8:47" x14ac:dyDescent="0.2">
      <c r="H542" s="23"/>
      <c r="N542" s="6"/>
      <c r="Q542" s="23"/>
      <c r="R542" s="23"/>
      <c r="AR542" s="23"/>
      <c r="AS542" s="23"/>
      <c r="AT542" s="23"/>
      <c r="AU542" s="23"/>
    </row>
    <row r="543" spans="8:47" x14ac:dyDescent="0.2">
      <c r="H543" s="23"/>
      <c r="N543" s="6"/>
      <c r="Q543" s="23"/>
      <c r="R543" s="23"/>
      <c r="AR543" s="23"/>
      <c r="AS543" s="23"/>
      <c r="AT543" s="23"/>
      <c r="AU543" s="23"/>
    </row>
    <row r="544" spans="8:47" x14ac:dyDescent="0.2">
      <c r="H544" s="23"/>
      <c r="N544" s="6"/>
      <c r="Q544" s="23"/>
      <c r="R544" s="23"/>
      <c r="AR544" s="23"/>
      <c r="AS544" s="23"/>
      <c r="AT544" s="23"/>
      <c r="AU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  <c r="AR548" s="23"/>
      <c r="AS548" s="23"/>
      <c r="AT548" s="23"/>
      <c r="AU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S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  <c r="AR556" s="23"/>
      <c r="AS556" s="23"/>
      <c r="AT556" s="23"/>
      <c r="AU556" s="23"/>
    </row>
    <row r="557" spans="8:47" x14ac:dyDescent="0.2">
      <c r="H557" s="23"/>
      <c r="N557" s="6"/>
      <c r="Q557" s="23"/>
      <c r="R557" s="23"/>
      <c r="AR557" s="23"/>
      <c r="AS557" s="23"/>
      <c r="AT557" s="23"/>
      <c r="AU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  <c r="AR563" s="23"/>
      <c r="AS563" s="23"/>
      <c r="AT563" s="23"/>
      <c r="AU563" s="23"/>
    </row>
    <row r="564" spans="8:47" x14ac:dyDescent="0.2">
      <c r="H564" s="23"/>
      <c r="N564" s="6"/>
      <c r="Q564" s="23"/>
      <c r="R564" s="23"/>
      <c r="AR564" s="23"/>
      <c r="AS564" s="23"/>
      <c r="AT564" s="23"/>
      <c r="AU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  <c r="AU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S568" s="23"/>
      <c r="AT568" s="23"/>
      <c r="AU568" s="23"/>
    </row>
    <row r="569" spans="8:47" x14ac:dyDescent="0.2">
      <c r="H569" s="23"/>
      <c r="N569" s="6"/>
      <c r="Q569" s="23"/>
      <c r="R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R574" s="23"/>
      <c r="AS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  <c r="AR581" s="23"/>
      <c r="AS581" s="23"/>
      <c r="AT581" s="23"/>
      <c r="AU581" s="23"/>
    </row>
    <row r="582" spans="8:47" x14ac:dyDescent="0.2">
      <c r="H582" s="23"/>
      <c r="N582" s="6"/>
      <c r="Q582" s="23"/>
      <c r="R582" s="23"/>
      <c r="AR582" s="23"/>
      <c r="AS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  <c r="AR586" s="23"/>
      <c r="AS586" s="23"/>
      <c r="AT586" s="23"/>
      <c r="AU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  <c r="AU588" s="23"/>
    </row>
    <row r="589" spans="8:47" x14ac:dyDescent="0.2">
      <c r="H589" s="23"/>
      <c r="N589" s="6"/>
      <c r="Q589" s="23"/>
      <c r="R589" s="23"/>
      <c r="AR589" s="23"/>
      <c r="AS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S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S596" s="23"/>
      <c r="AT596" s="23"/>
      <c r="AU596" s="23"/>
    </row>
    <row r="597" spans="8:47" x14ac:dyDescent="0.2">
      <c r="H597" s="23"/>
      <c r="N597" s="6"/>
      <c r="Q597" s="23"/>
      <c r="R597" s="23"/>
      <c r="AR597" s="23"/>
      <c r="AS597" s="23"/>
      <c r="AT597" s="23"/>
      <c r="AU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  <c r="AU599" s="23"/>
    </row>
    <row r="600" spans="8:47" x14ac:dyDescent="0.2">
      <c r="H600" s="23"/>
      <c r="N600" s="6"/>
      <c r="Q600" s="23"/>
      <c r="R600" s="23"/>
      <c r="AR600" s="23"/>
      <c r="AS600" s="23"/>
      <c r="AT600" s="23"/>
      <c r="AU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S606" s="23"/>
      <c r="AT606" s="23"/>
      <c r="AU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3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3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3"/>
    </row>
    <row r="611" spans="8:47" x14ac:dyDescent="0.2">
      <c r="H611" s="23"/>
      <c r="N611" s="6"/>
      <c r="Q611" s="23"/>
      <c r="R611" s="23"/>
      <c r="AR611" s="23"/>
      <c r="AS611" s="23"/>
      <c r="AT611" s="23"/>
      <c r="AU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3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3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  <c r="AU615" s="23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3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  <c r="AU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3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3"/>
    </row>
    <row r="623" spans="8:47" x14ac:dyDescent="0.2">
      <c r="H623" s="23"/>
      <c r="N623" s="6"/>
      <c r="Q623" s="23"/>
      <c r="R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3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3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3"/>
    </row>
    <row r="636" spans="8:47" x14ac:dyDescent="0.2">
      <c r="H636" s="23"/>
      <c r="N636" s="6"/>
      <c r="Q636" s="23"/>
      <c r="R636" s="23"/>
      <c r="AR636" s="23"/>
      <c r="AS636" s="23"/>
      <c r="AT636" s="23"/>
      <c r="AU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3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  <c r="AR640" s="23"/>
      <c r="AS640" s="23"/>
      <c r="AT640" s="23"/>
      <c r="AU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3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R643" s="23"/>
      <c r="AS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3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  <c r="AU648" s="23"/>
    </row>
    <row r="649" spans="8:47" x14ac:dyDescent="0.2">
      <c r="H649" s="23"/>
      <c r="N649" s="6"/>
      <c r="Q649" s="23"/>
      <c r="R649" s="23"/>
      <c r="AR649" s="23"/>
      <c r="AT649" s="23"/>
      <c r="AU649" s="23"/>
    </row>
    <row r="650" spans="8:47" x14ac:dyDescent="0.2">
      <c r="H650" s="23"/>
      <c r="N650" s="6"/>
      <c r="Q650" s="23"/>
      <c r="R650" s="23"/>
      <c r="AR650" s="23"/>
      <c r="AS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3"/>
    </row>
    <row r="652" spans="8:47" x14ac:dyDescent="0.2">
      <c r="H652" s="23"/>
      <c r="N652" s="6"/>
      <c r="Q652" s="23"/>
      <c r="R652" s="23"/>
      <c r="AR652" s="23"/>
      <c r="AS652" s="23"/>
      <c r="AT652" s="23"/>
      <c r="AU652" s="23"/>
    </row>
    <row r="653" spans="8:47" x14ac:dyDescent="0.2">
      <c r="H653" s="23"/>
      <c r="N653" s="6"/>
      <c r="Q653" s="23"/>
      <c r="R653" s="23"/>
      <c r="AT653" s="23"/>
      <c r="AU653" s="23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  <c r="AR655" s="23"/>
      <c r="AS655" s="23"/>
      <c r="AT655" s="23"/>
      <c r="AU655" s="23"/>
    </row>
    <row r="656" spans="8:47" x14ac:dyDescent="0.2">
      <c r="H656" s="23"/>
      <c r="N656" s="6"/>
      <c r="Q656" s="23"/>
      <c r="R656" s="23"/>
      <c r="AT656" s="23"/>
      <c r="AU656" s="24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S659" s="23"/>
      <c r="AT659" s="23"/>
      <c r="AU659" s="23"/>
    </row>
    <row r="660" spans="8:47" x14ac:dyDescent="0.2">
      <c r="H660" s="23"/>
      <c r="N660" s="6"/>
      <c r="Q660" s="23"/>
      <c r="R660" s="23"/>
      <c r="AR660" s="23"/>
      <c r="AS660" s="23"/>
      <c r="AT660" s="23"/>
      <c r="AU660" s="23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3"/>
    </row>
    <row r="662" spans="8:47" x14ac:dyDescent="0.2">
      <c r="H662" s="23"/>
      <c r="N662" s="6"/>
      <c r="Q662" s="23"/>
      <c r="R662" s="23"/>
      <c r="AR662" s="23"/>
      <c r="AS662" s="23"/>
      <c r="AT662" s="23"/>
      <c r="AU662" s="23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  <c r="AR664" s="23"/>
      <c r="AS664" s="23"/>
      <c r="AT664" s="23"/>
      <c r="AU664" s="23"/>
    </row>
    <row r="665" spans="8:47" x14ac:dyDescent="0.2">
      <c r="H665" s="23"/>
      <c r="N665" s="6"/>
      <c r="Q665" s="23"/>
      <c r="R665" s="23"/>
      <c r="AR665" s="23"/>
      <c r="AS665" s="23"/>
      <c r="AT665" s="23"/>
      <c r="AU665" s="23"/>
    </row>
    <row r="666" spans="8:47" x14ac:dyDescent="0.2">
      <c r="H666" s="23"/>
      <c r="N666" s="6"/>
      <c r="Q666" s="23"/>
      <c r="R666" s="23"/>
      <c r="AR666" s="23"/>
      <c r="AS666" s="23"/>
      <c r="AT666" s="23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  <c r="AU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S670" s="23"/>
      <c r="AT670" s="23"/>
      <c r="AU670" s="23"/>
    </row>
    <row r="671" spans="8:47" x14ac:dyDescent="0.2">
      <c r="H671" s="23"/>
      <c r="N671" s="6"/>
      <c r="Q671" s="23"/>
      <c r="R671" s="23"/>
      <c r="AR671" s="23"/>
      <c r="AS671" s="23"/>
      <c r="AT671" s="23"/>
      <c r="AU671" s="23"/>
    </row>
    <row r="672" spans="8:47" x14ac:dyDescent="0.2">
      <c r="H672" s="23"/>
      <c r="N672" s="6"/>
      <c r="Q672" s="23"/>
      <c r="R672" s="23"/>
    </row>
    <row r="673" spans="8:47" x14ac:dyDescent="0.2">
      <c r="H673" s="23"/>
      <c r="N673" s="6"/>
      <c r="Q673" s="23"/>
      <c r="R673" s="23"/>
      <c r="AR673" s="23"/>
      <c r="AS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3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S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S683" s="23"/>
      <c r="AT683" s="23"/>
      <c r="AU683" s="23"/>
    </row>
    <row r="684" spans="8:47" x14ac:dyDescent="0.2">
      <c r="H684" s="23"/>
      <c r="N684" s="6"/>
      <c r="Q684" s="23"/>
      <c r="R684" s="23"/>
    </row>
    <row r="685" spans="8:47" x14ac:dyDescent="0.2">
      <c r="H685" s="23"/>
      <c r="N685" s="6"/>
      <c r="Q685" s="23"/>
      <c r="R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3"/>
    </row>
    <row r="687" spans="8:47" x14ac:dyDescent="0.2">
      <c r="H687" s="23"/>
      <c r="N687" s="6"/>
      <c r="Q687" s="23"/>
      <c r="R687" s="23"/>
      <c r="AR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R690" s="23"/>
      <c r="AS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R692" s="23"/>
      <c r="AS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S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R700" s="23"/>
      <c r="AS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S701" s="23"/>
      <c r="AT701" s="23"/>
      <c r="AU701" s="23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3"/>
    </row>
    <row r="704" spans="8:47" x14ac:dyDescent="0.2">
      <c r="H704" s="23"/>
      <c r="N704" s="6"/>
      <c r="Q704" s="23"/>
      <c r="R704" s="23"/>
      <c r="AR704" s="23"/>
      <c r="AS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  <c r="AU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3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3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3"/>
    </row>
    <row r="712" spans="8:47" x14ac:dyDescent="0.2">
      <c r="H712" s="23"/>
      <c r="N712" s="6"/>
      <c r="Q712" s="23"/>
      <c r="R712" s="23"/>
      <c r="AR712" s="23"/>
      <c r="AS712" s="23"/>
      <c r="AT712" s="23"/>
      <c r="AU712" s="23"/>
    </row>
    <row r="713" spans="8:47" x14ac:dyDescent="0.2">
      <c r="H713" s="23"/>
      <c r="N713" s="6"/>
      <c r="Q713" s="23"/>
      <c r="R713" s="23"/>
      <c r="AR713" s="23"/>
      <c r="AS713" s="23"/>
      <c r="AT713" s="23"/>
      <c r="AU713" s="23"/>
    </row>
    <row r="714" spans="8:47" x14ac:dyDescent="0.2">
      <c r="H714" s="23"/>
      <c r="N714" s="6"/>
      <c r="Q714" s="23"/>
      <c r="R714" s="23"/>
      <c r="AR714" s="23"/>
      <c r="AS714" s="23"/>
      <c r="AT714" s="23"/>
      <c r="AU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7EAD-094F-419C-9995-7DFC89425C8B}">
  <dimension ref="A2:AU1047"/>
  <sheetViews>
    <sheetView workbookViewId="0">
      <selection sqref="A1:XFD1048576"/>
    </sheetView>
  </sheetViews>
  <sheetFormatPr defaultRowHeight="12.75" x14ac:dyDescent="0.2"/>
  <cols>
    <col min="7" max="7" width="32.7109375" bestFit="1" customWidth="1"/>
    <col min="14" max="14" width="10.42578125" bestFit="1" customWidth="1"/>
  </cols>
  <sheetData>
    <row r="2" spans="1:47" x14ac:dyDescent="0.2">
      <c r="A2" s="18"/>
    </row>
    <row r="6" spans="1:47" x14ac:dyDescent="0.2">
      <c r="H6" s="23"/>
      <c r="N6" s="6"/>
      <c r="Q6" s="23"/>
      <c r="R6" s="23"/>
      <c r="AR6" s="23"/>
      <c r="AS6" s="23"/>
      <c r="AT6" s="23"/>
      <c r="AU6" s="23"/>
    </row>
    <row r="7" spans="1:47" x14ac:dyDescent="0.2">
      <c r="H7" s="23"/>
      <c r="N7" s="6"/>
      <c r="Q7" s="23"/>
      <c r="R7" s="23"/>
      <c r="AR7" s="23"/>
      <c r="AS7" s="23"/>
      <c r="AT7" s="23"/>
    </row>
    <row r="8" spans="1:47" x14ac:dyDescent="0.2">
      <c r="H8" s="23"/>
      <c r="N8" s="6"/>
      <c r="Q8" s="23"/>
      <c r="R8" s="23"/>
      <c r="AR8" s="23"/>
      <c r="AS8" s="23"/>
      <c r="AT8" s="23"/>
    </row>
    <row r="9" spans="1:47" x14ac:dyDescent="0.2">
      <c r="H9" s="23"/>
      <c r="N9" s="6"/>
      <c r="Q9" s="23"/>
      <c r="R9" s="23"/>
      <c r="AR9" s="23"/>
      <c r="AS9" s="23"/>
      <c r="AT9" s="23"/>
    </row>
    <row r="10" spans="1:47" x14ac:dyDescent="0.2">
      <c r="H10" s="23"/>
      <c r="N10" s="6"/>
      <c r="Q10" s="23"/>
      <c r="R10" s="23"/>
      <c r="AR10" s="23"/>
      <c r="AS10" s="23"/>
      <c r="AT10" s="23"/>
      <c r="AU10" s="23"/>
    </row>
    <row r="11" spans="1:47" x14ac:dyDescent="0.2">
      <c r="H11" s="23"/>
      <c r="N11" s="6"/>
      <c r="Q11" s="23"/>
      <c r="R11" s="23"/>
      <c r="AR11" s="23"/>
      <c r="AS11" s="23"/>
      <c r="AT11" s="23"/>
      <c r="AU11" s="23"/>
    </row>
    <row r="12" spans="1:47" x14ac:dyDescent="0.2">
      <c r="H12" s="23"/>
      <c r="N12" s="6"/>
      <c r="Q12" s="23"/>
      <c r="R12" s="23"/>
      <c r="AR12" s="23"/>
      <c r="AS12" s="23"/>
      <c r="AT12" s="23"/>
      <c r="AU12" s="23"/>
    </row>
    <row r="13" spans="1:47" x14ac:dyDescent="0.2">
      <c r="H13" s="23"/>
      <c r="N13" s="6"/>
      <c r="Q13" s="23"/>
      <c r="R13" s="23"/>
      <c r="AR13" s="23"/>
      <c r="AS13" s="23"/>
      <c r="AT13" s="23"/>
      <c r="AU13" s="23"/>
    </row>
    <row r="14" spans="1:47" x14ac:dyDescent="0.2">
      <c r="H14" s="23"/>
      <c r="N14" s="6"/>
      <c r="Q14" s="23"/>
      <c r="R14" s="23"/>
      <c r="AR14" s="23"/>
      <c r="AT14" s="23"/>
      <c r="AU14" s="23"/>
    </row>
    <row r="15" spans="1:47" x14ac:dyDescent="0.2">
      <c r="H15" s="23"/>
      <c r="N15" s="6"/>
      <c r="Q15" s="23"/>
      <c r="R15" s="23"/>
      <c r="AR15" s="23"/>
      <c r="AS15" s="23"/>
      <c r="AT15" s="23"/>
      <c r="AU15" s="23"/>
    </row>
    <row r="16" spans="1:47" x14ac:dyDescent="0.2">
      <c r="H16" s="23"/>
      <c r="N16" s="6"/>
      <c r="Q16" s="23"/>
      <c r="R16" s="23"/>
      <c r="AR16" s="23"/>
      <c r="AS16" s="23"/>
      <c r="AT16" s="23"/>
      <c r="AU16" s="23"/>
    </row>
    <row r="17" spans="8:47" x14ac:dyDescent="0.2">
      <c r="H17" s="23"/>
      <c r="N17" s="6"/>
      <c r="Q17" s="23"/>
      <c r="R17" s="23"/>
      <c r="AR17" s="23"/>
      <c r="AS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  <c r="AR21" s="23"/>
      <c r="AS21" s="23"/>
      <c r="AT21" s="23"/>
      <c r="AU21" s="23"/>
    </row>
    <row r="22" spans="8:47" x14ac:dyDescent="0.2">
      <c r="H22" s="23"/>
      <c r="N22" s="6"/>
      <c r="Q22" s="23"/>
      <c r="R22" s="23"/>
      <c r="AR22" s="23"/>
      <c r="AS22" s="23"/>
      <c r="AT22" s="23"/>
      <c r="AU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  <c r="AR25" s="23"/>
      <c r="AS25" s="23"/>
      <c r="AT25" s="23"/>
      <c r="AU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  <c r="AU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  <c r="AR29" s="23"/>
      <c r="AS29" s="23"/>
      <c r="AT29" s="23"/>
      <c r="AU29" s="23"/>
    </row>
    <row r="30" spans="8:47" x14ac:dyDescent="0.2">
      <c r="H30" s="23"/>
      <c r="N30" s="6"/>
      <c r="Q30" s="23"/>
      <c r="R30" s="23"/>
      <c r="AR30" s="23"/>
      <c r="AS30" s="23"/>
      <c r="AT30" s="23"/>
      <c r="AU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  <c r="AU38" s="23"/>
    </row>
    <row r="39" spans="8:47" x14ac:dyDescent="0.2">
      <c r="H39" s="23"/>
      <c r="N39" s="6"/>
      <c r="Q39" s="23"/>
      <c r="R39" s="23"/>
      <c r="AR39" s="23"/>
      <c r="AS39" s="23"/>
      <c r="AT39" s="23"/>
      <c r="AU39" s="23"/>
    </row>
    <row r="40" spans="8:47" x14ac:dyDescent="0.2">
      <c r="H40" s="23"/>
      <c r="N40" s="6"/>
      <c r="Q40" s="23"/>
      <c r="R40" s="23"/>
      <c r="AR40" s="23"/>
      <c r="AS40" s="23"/>
      <c r="AT40" s="23"/>
      <c r="AU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  <c r="AR42" s="23"/>
      <c r="AS42" s="23"/>
      <c r="AT42" s="23"/>
      <c r="AU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  <c r="AR47" s="23"/>
      <c r="AS47" s="23"/>
      <c r="AT47" s="23"/>
      <c r="AU47" s="23"/>
    </row>
    <row r="48" spans="8:47" x14ac:dyDescent="0.2">
      <c r="H48" s="23"/>
      <c r="N48" s="6"/>
      <c r="Q48" s="23"/>
      <c r="R48" s="23"/>
      <c r="AR48" s="23"/>
      <c r="AS48" s="23"/>
      <c r="AT48" s="23"/>
      <c r="AU48" s="23"/>
    </row>
    <row r="49" spans="8:47" x14ac:dyDescent="0.2">
      <c r="H49" s="23"/>
      <c r="N49" s="6"/>
      <c r="Q49" s="23"/>
      <c r="R49" s="23"/>
      <c r="AR49" s="23"/>
      <c r="AS49" s="23"/>
      <c r="AT49" s="23"/>
      <c r="AU49" s="23"/>
    </row>
    <row r="50" spans="8:47" x14ac:dyDescent="0.2">
      <c r="H50" s="23"/>
      <c r="N50" s="6"/>
      <c r="Q50" s="23"/>
      <c r="R50" s="23"/>
      <c r="AR50" s="23"/>
      <c r="AS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  <c r="AU53" s="23"/>
    </row>
    <row r="54" spans="8:47" x14ac:dyDescent="0.2">
      <c r="H54" s="23"/>
      <c r="N54" s="6"/>
      <c r="Q54" s="23"/>
      <c r="R54" s="23"/>
      <c r="AT54" s="23"/>
      <c r="AU54" s="23"/>
    </row>
    <row r="55" spans="8:47" x14ac:dyDescent="0.2">
      <c r="H55" s="23"/>
      <c r="N55" s="6"/>
      <c r="Q55" s="23"/>
      <c r="R55" s="23"/>
      <c r="AR55" s="23"/>
      <c r="AS55" s="23"/>
      <c r="AT55" s="23"/>
      <c r="AU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  <c r="AR57" s="23"/>
      <c r="AS57" s="23"/>
      <c r="AT57" s="23"/>
      <c r="AU57" s="23"/>
    </row>
    <row r="58" spans="8:47" x14ac:dyDescent="0.2">
      <c r="H58" s="23"/>
      <c r="N58" s="6"/>
      <c r="Q58" s="23"/>
      <c r="R58" s="23"/>
      <c r="AR58" s="23"/>
      <c r="AS58" s="23"/>
      <c r="AT58" s="23"/>
      <c r="AU58" s="23"/>
    </row>
    <row r="59" spans="8:47" x14ac:dyDescent="0.2">
      <c r="H59" s="23"/>
      <c r="N59" s="6"/>
      <c r="Q59" s="23"/>
      <c r="R59" s="23"/>
      <c r="AR59" s="23"/>
      <c r="AS59" s="23"/>
      <c r="AT59" s="23"/>
      <c r="AU59" s="23"/>
    </row>
    <row r="60" spans="8:47" x14ac:dyDescent="0.2">
      <c r="H60" s="23"/>
      <c r="N60" s="6"/>
      <c r="Q60" s="23"/>
      <c r="R60" s="23"/>
      <c r="AR60" s="23"/>
      <c r="AS60" s="23"/>
      <c r="AT60" s="23"/>
      <c r="AU60" s="23"/>
    </row>
    <row r="61" spans="8:47" x14ac:dyDescent="0.2">
      <c r="H61" s="23"/>
      <c r="N61" s="6"/>
      <c r="Q61" s="23"/>
      <c r="R61" s="23"/>
      <c r="AR61" s="23"/>
      <c r="AS61" s="23"/>
      <c r="AT61" s="23"/>
      <c r="AU61" s="23"/>
    </row>
    <row r="62" spans="8:47" x14ac:dyDescent="0.2">
      <c r="H62" s="23"/>
      <c r="N62" s="6"/>
      <c r="Q62" s="23"/>
      <c r="R62" s="23"/>
      <c r="AR62" s="23"/>
      <c r="AS62" s="23"/>
      <c r="AT62" s="23"/>
      <c r="AU62" s="23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T69" s="23"/>
      <c r="AU69" s="23"/>
    </row>
    <row r="70" spans="8:47" x14ac:dyDescent="0.2">
      <c r="H70" s="23"/>
      <c r="N70" s="6"/>
      <c r="Q70" s="23"/>
      <c r="R70" s="23"/>
      <c r="AR70" s="23"/>
      <c r="AS70" s="23"/>
      <c r="AT70" s="23"/>
      <c r="AU70" s="23"/>
    </row>
    <row r="71" spans="8:47" x14ac:dyDescent="0.2">
      <c r="H71" s="23"/>
      <c r="N71" s="6"/>
      <c r="Q71" s="23"/>
      <c r="R71" s="23"/>
      <c r="AR71" s="23"/>
      <c r="AS71" s="23"/>
      <c r="AT71" s="23"/>
      <c r="AU71" s="23"/>
    </row>
    <row r="72" spans="8:47" x14ac:dyDescent="0.2">
      <c r="H72" s="23"/>
      <c r="N72" s="6"/>
      <c r="Q72" s="23"/>
      <c r="R72" s="23"/>
      <c r="AR72" s="23"/>
      <c r="AS72" s="23"/>
      <c r="AT72" s="23"/>
      <c r="AU72" s="23"/>
    </row>
    <row r="73" spans="8:47" x14ac:dyDescent="0.2">
      <c r="H73" s="23"/>
      <c r="N73" s="6"/>
      <c r="Q73" s="23"/>
      <c r="R73" s="23"/>
      <c r="AR73" s="23"/>
      <c r="AS73" s="23"/>
      <c r="AT73" s="23"/>
      <c r="AU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R75" s="23"/>
      <c r="AS75" s="23"/>
      <c r="AT75" s="23"/>
      <c r="AU75" s="23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S77" s="23"/>
      <c r="AT77" s="23"/>
      <c r="AU77" s="23"/>
    </row>
    <row r="78" spans="8:47" x14ac:dyDescent="0.2">
      <c r="H78" s="23"/>
      <c r="N78" s="6"/>
      <c r="Q78" s="23"/>
      <c r="R78" s="23"/>
      <c r="AR78" s="23"/>
      <c r="AS78" s="23"/>
      <c r="AT78" s="23"/>
      <c r="AU78" s="23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R81" s="23"/>
      <c r="AT81" s="23"/>
      <c r="AU81" s="23"/>
    </row>
    <row r="82" spans="8:47" x14ac:dyDescent="0.2">
      <c r="H82" s="23"/>
      <c r="N82" s="6"/>
      <c r="Q82" s="23"/>
      <c r="R82" s="23"/>
      <c r="AR82" s="23"/>
      <c r="AS82" s="23"/>
      <c r="AT82" s="23"/>
      <c r="AU82" s="23"/>
    </row>
    <row r="83" spans="8:47" x14ac:dyDescent="0.2">
      <c r="H83" s="23"/>
      <c r="N83" s="6"/>
      <c r="Q83" s="23"/>
      <c r="R83" s="23"/>
      <c r="AR83" s="23"/>
      <c r="AT83" s="23"/>
      <c r="AU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S87" s="23"/>
      <c r="AT87" s="23"/>
    </row>
    <row r="88" spans="8:47" x14ac:dyDescent="0.2">
      <c r="H88" s="23"/>
      <c r="N88" s="6"/>
      <c r="Q88" s="23"/>
      <c r="R88" s="23"/>
      <c r="AR88" s="23"/>
      <c r="AS88" s="23"/>
      <c r="AT88" s="23"/>
      <c r="AU88" s="23"/>
    </row>
    <row r="89" spans="8:47" x14ac:dyDescent="0.2">
      <c r="H89" s="23"/>
      <c r="N89" s="6"/>
      <c r="Q89" s="23"/>
      <c r="R89" s="23"/>
      <c r="AR89" s="23"/>
      <c r="AS89" s="23"/>
      <c r="AT89" s="23"/>
      <c r="AU89" s="23"/>
    </row>
    <row r="90" spans="8:47" x14ac:dyDescent="0.2">
      <c r="H90" s="23"/>
      <c r="N90" s="6"/>
      <c r="Q90" s="23"/>
      <c r="R90" s="23"/>
      <c r="AR90" s="23"/>
      <c r="AT90" s="23"/>
      <c r="AU90" s="23"/>
    </row>
    <row r="91" spans="8:47" x14ac:dyDescent="0.2">
      <c r="H91" s="23"/>
      <c r="N91" s="6"/>
      <c r="Q91" s="23"/>
      <c r="R91" s="23"/>
      <c r="AR91" s="23"/>
      <c r="AS91" s="23"/>
      <c r="AT91" s="23"/>
      <c r="AU91" s="23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R93" s="23"/>
      <c r="AS93" s="23"/>
      <c r="AT93" s="23"/>
      <c r="AU93" s="23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S95" s="23"/>
      <c r="AT95" s="23"/>
      <c r="AU95" s="23"/>
    </row>
    <row r="96" spans="8:47" x14ac:dyDescent="0.2">
      <c r="H96" s="23"/>
      <c r="N96" s="6"/>
      <c r="Q96" s="23"/>
      <c r="R96" s="23"/>
      <c r="AT96" s="23"/>
      <c r="AU96" s="23"/>
    </row>
    <row r="97" spans="8:47" x14ac:dyDescent="0.2">
      <c r="H97" s="23"/>
      <c r="N97" s="6"/>
      <c r="Q97" s="23"/>
      <c r="R97" s="23"/>
      <c r="AT97" s="23"/>
      <c r="AU97" s="23"/>
    </row>
    <row r="98" spans="8:47" x14ac:dyDescent="0.2">
      <c r="H98" s="23"/>
      <c r="N98" s="6"/>
      <c r="Q98" s="23"/>
      <c r="R98" s="23"/>
      <c r="AR98" s="23"/>
      <c r="AS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R101" s="23"/>
      <c r="AS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T102" s="23"/>
      <c r="AU102" s="23"/>
    </row>
    <row r="103" spans="8:47" x14ac:dyDescent="0.2">
      <c r="H103" s="23"/>
      <c r="N103" s="6"/>
      <c r="Q103" s="23"/>
      <c r="R103" s="23"/>
      <c r="AR103" s="23"/>
      <c r="AS103" s="23"/>
      <c r="AT103" s="23"/>
      <c r="AU103" s="23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R105" s="23"/>
      <c r="AS105" s="23"/>
      <c r="AT105" s="23"/>
      <c r="AU105" s="23"/>
    </row>
    <row r="106" spans="8:47" x14ac:dyDescent="0.2">
      <c r="H106" s="23"/>
      <c r="N106" s="6"/>
      <c r="Q106" s="23"/>
      <c r="R106" s="23"/>
      <c r="AR106" s="23"/>
      <c r="AT106" s="23"/>
      <c r="AU106" s="23"/>
    </row>
    <row r="107" spans="8:47" x14ac:dyDescent="0.2">
      <c r="H107" s="23"/>
      <c r="N107" s="6"/>
      <c r="Q107" s="23"/>
      <c r="R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  <c r="AR110" s="23"/>
      <c r="AS110" s="23"/>
      <c r="AT110" s="23"/>
      <c r="AU110" s="23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  <c r="AU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S117" s="23"/>
      <c r="AT117" s="23"/>
      <c r="AU117" s="23"/>
    </row>
    <row r="118" spans="8:47" x14ac:dyDescent="0.2">
      <c r="H118" s="23"/>
      <c r="N118" s="6"/>
      <c r="Q118" s="23"/>
      <c r="R118" s="23"/>
      <c r="AR118" s="23"/>
      <c r="AS118" s="23"/>
      <c r="AT118" s="23"/>
      <c r="AU118" s="23"/>
    </row>
    <row r="119" spans="8:47" x14ac:dyDescent="0.2">
      <c r="H119" s="23"/>
      <c r="N119" s="6"/>
      <c r="Q119" s="23"/>
      <c r="R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R123" s="23"/>
      <c r="AS123" s="23"/>
      <c r="AT123" s="23"/>
      <c r="AU123" s="23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T125" s="23"/>
      <c r="AU125" s="23"/>
    </row>
    <row r="126" spans="8:47" x14ac:dyDescent="0.2">
      <c r="H126" s="23"/>
      <c r="N126" s="6"/>
      <c r="Q126" s="23"/>
      <c r="R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R128" s="23"/>
      <c r="AS128" s="23"/>
      <c r="AT128" s="23"/>
      <c r="AU128" s="23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R131" s="23"/>
      <c r="AS131" s="23"/>
      <c r="AT131" s="23"/>
      <c r="AU131" s="23"/>
    </row>
    <row r="132" spans="8:47" x14ac:dyDescent="0.2">
      <c r="H132" s="23"/>
      <c r="N132" s="6"/>
      <c r="Q132" s="23"/>
      <c r="R132" s="23"/>
      <c r="AR132" s="23"/>
      <c r="AS132" s="23"/>
      <c r="AT132" s="23"/>
      <c r="AU132" s="23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R135" s="23"/>
      <c r="AS135" s="23"/>
      <c r="AT135" s="23"/>
      <c r="AU135" s="23"/>
    </row>
    <row r="136" spans="8:47" x14ac:dyDescent="0.2">
      <c r="H136" s="23"/>
      <c r="N136" s="6"/>
      <c r="Q136" s="23"/>
      <c r="R136" s="23"/>
      <c r="AR136" s="23"/>
      <c r="AS136" s="23"/>
      <c r="AT136" s="23"/>
      <c r="AU136" s="23"/>
    </row>
    <row r="137" spans="8:47" x14ac:dyDescent="0.2">
      <c r="H137" s="23"/>
      <c r="N137" s="6"/>
      <c r="Q137" s="23"/>
      <c r="R137" s="23"/>
      <c r="AR137" s="23"/>
      <c r="AS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R141" s="23"/>
      <c r="AS141" s="23"/>
      <c r="AT141" s="23"/>
      <c r="AU141" s="23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T144" s="23"/>
      <c r="AU144" s="23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T147" s="23"/>
      <c r="AU147" s="23"/>
    </row>
    <row r="148" spans="8:47" x14ac:dyDescent="0.2">
      <c r="H148" s="23"/>
      <c r="N148" s="6"/>
      <c r="Q148" s="23"/>
      <c r="R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R150" s="23"/>
      <c r="AS150" s="23"/>
      <c r="AT150" s="23"/>
      <c r="AU150" s="23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  <c r="AR153" s="23"/>
      <c r="AS153" s="23"/>
      <c r="AT153" s="23"/>
      <c r="AU153" s="23"/>
    </row>
    <row r="154" spans="8:47" x14ac:dyDescent="0.2">
      <c r="H154" s="23"/>
      <c r="N154" s="6"/>
      <c r="Q154" s="23"/>
      <c r="R154" s="23"/>
      <c r="AR154" s="23"/>
      <c r="AS154" s="23"/>
      <c r="AT154" s="23"/>
      <c r="AU154" s="23"/>
    </row>
    <row r="155" spans="8:47" x14ac:dyDescent="0.2">
      <c r="H155" s="23"/>
      <c r="N155" s="6"/>
      <c r="Q155" s="23"/>
      <c r="R155" s="23"/>
      <c r="AR155" s="23"/>
      <c r="AS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  <c r="AR157" s="23"/>
      <c r="AS157" s="23"/>
      <c r="AT157" s="23"/>
      <c r="AU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S160" s="23"/>
      <c r="AT160" s="23"/>
      <c r="AU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  <c r="AR163" s="23"/>
      <c r="AS163" s="23"/>
      <c r="AT163" s="23"/>
      <c r="AU163" s="23"/>
    </row>
    <row r="164" spans="8:47" x14ac:dyDescent="0.2">
      <c r="H164" s="23"/>
      <c r="N164" s="6"/>
      <c r="Q164" s="23"/>
      <c r="R164" s="23"/>
      <c r="AR164" s="23"/>
      <c r="AS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S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S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R170" s="23"/>
      <c r="AS170" s="23"/>
      <c r="AT170" s="23"/>
      <c r="AU170" s="23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R172" s="23"/>
      <c r="AS172" s="23"/>
      <c r="AT172" s="23"/>
      <c r="AU172" s="23"/>
    </row>
    <row r="173" spans="8:47" x14ac:dyDescent="0.2">
      <c r="H173" s="23"/>
      <c r="N173" s="6"/>
      <c r="Q173" s="23"/>
      <c r="R173" s="23"/>
      <c r="AR173" s="23"/>
      <c r="AS173" s="23"/>
      <c r="AT173" s="23"/>
      <c r="AU173" s="23"/>
    </row>
    <row r="174" spans="8:47" x14ac:dyDescent="0.2">
      <c r="H174" s="23"/>
      <c r="N174" s="6"/>
      <c r="Q174" s="23"/>
      <c r="R174" s="23"/>
      <c r="AR174" s="23"/>
      <c r="AT174" s="23"/>
      <c r="AU174" s="23"/>
    </row>
    <row r="175" spans="8:47" x14ac:dyDescent="0.2">
      <c r="H175" s="23"/>
      <c r="N175" s="6"/>
      <c r="Q175" s="23"/>
      <c r="R175" s="23"/>
      <c r="AR175" s="23"/>
      <c r="AS175" s="23"/>
      <c r="AT175" s="23"/>
      <c r="AU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T181" s="23"/>
      <c r="AU181" s="23"/>
    </row>
    <row r="182" spans="8:47" x14ac:dyDescent="0.2">
      <c r="H182" s="23"/>
      <c r="N182" s="6"/>
      <c r="Q182" s="23"/>
      <c r="R182" s="23"/>
      <c r="AT182" s="23"/>
      <c r="AU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  <c r="AU184" s="23"/>
    </row>
    <row r="185" spans="8:47" x14ac:dyDescent="0.2">
      <c r="H185" s="23"/>
      <c r="N185" s="6"/>
      <c r="Q185" s="23"/>
      <c r="R185" s="23"/>
      <c r="AR185" s="23"/>
      <c r="AS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S186" s="23"/>
      <c r="AT186" s="23"/>
      <c r="AU186" s="23"/>
    </row>
    <row r="187" spans="8:47" x14ac:dyDescent="0.2">
      <c r="H187" s="23"/>
      <c r="N187" s="6"/>
      <c r="Q187" s="23"/>
      <c r="R187" s="23"/>
      <c r="AR187" s="23"/>
      <c r="AS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S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R190" s="23"/>
      <c r="AS190" s="23"/>
      <c r="AT190" s="23"/>
      <c r="AU190" s="23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R192" s="23"/>
      <c r="AS192" s="23"/>
      <c r="AT192" s="23"/>
      <c r="AU192" s="23"/>
    </row>
    <row r="193" spans="8:47" x14ac:dyDescent="0.2">
      <c r="H193" s="23"/>
      <c r="N193" s="6"/>
      <c r="Q193" s="23"/>
      <c r="R193" s="23"/>
      <c r="AR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S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T197" s="23"/>
      <c r="AU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S199" s="23"/>
      <c r="AT199" s="23"/>
      <c r="AU199" s="23"/>
    </row>
    <row r="200" spans="8:47" x14ac:dyDescent="0.2">
      <c r="H200" s="23"/>
      <c r="N200" s="6"/>
      <c r="Q200" s="23"/>
      <c r="R200" s="23"/>
      <c r="AR200" s="23"/>
      <c r="AS200" s="23"/>
      <c r="AT200" s="23"/>
      <c r="AU200" s="23"/>
    </row>
    <row r="201" spans="8:47" x14ac:dyDescent="0.2">
      <c r="H201" s="23"/>
      <c r="N201" s="6"/>
      <c r="Q201" s="23"/>
      <c r="R201" s="23"/>
      <c r="AR201" s="23"/>
      <c r="AS201" s="23"/>
      <c r="AT201" s="23"/>
      <c r="AU201" s="23"/>
    </row>
    <row r="202" spans="8:47" x14ac:dyDescent="0.2">
      <c r="H202" s="23"/>
      <c r="N202" s="6"/>
      <c r="Q202" s="23"/>
      <c r="R202" s="23"/>
      <c r="AR202" s="23"/>
      <c r="AS202" s="23"/>
      <c r="AT202" s="23"/>
    </row>
    <row r="203" spans="8:47" x14ac:dyDescent="0.2">
      <c r="H203" s="23"/>
      <c r="N203" s="6"/>
      <c r="Q203" s="23"/>
      <c r="R203" s="23"/>
      <c r="AR203" s="23"/>
      <c r="AS203" s="23"/>
      <c r="AT203" s="23"/>
      <c r="AU203" s="23"/>
    </row>
    <row r="204" spans="8:47" x14ac:dyDescent="0.2">
      <c r="H204" s="23"/>
      <c r="N204" s="6"/>
      <c r="Q204" s="23"/>
      <c r="R204" s="23"/>
    </row>
    <row r="205" spans="8:47" x14ac:dyDescent="0.2">
      <c r="H205" s="23"/>
      <c r="N205" s="6"/>
      <c r="Q205" s="23"/>
      <c r="R205" s="23"/>
      <c r="AR205" s="23"/>
      <c r="AS205" s="23"/>
      <c r="AT205" s="23"/>
      <c r="AU205" s="23"/>
    </row>
    <row r="206" spans="8:47" x14ac:dyDescent="0.2">
      <c r="H206" s="23"/>
      <c r="N206" s="6"/>
      <c r="Q206" s="23"/>
      <c r="R206" s="23"/>
      <c r="AR206" s="23"/>
      <c r="AS206" s="23"/>
      <c r="AT206" s="23"/>
      <c r="AU206" s="23"/>
    </row>
    <row r="207" spans="8:47" x14ac:dyDescent="0.2">
      <c r="H207" s="23"/>
      <c r="N207" s="6"/>
      <c r="Q207" s="23"/>
      <c r="R207" s="23"/>
      <c r="AR207" s="23"/>
      <c r="AS207" s="23"/>
      <c r="AT207" s="23"/>
    </row>
    <row r="208" spans="8:47" x14ac:dyDescent="0.2">
      <c r="H208" s="23"/>
      <c r="N208" s="6"/>
      <c r="Q208" s="23"/>
      <c r="R208" s="23"/>
      <c r="AR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S209" s="23"/>
      <c r="AT209" s="23"/>
      <c r="AU209" s="23"/>
    </row>
    <row r="210" spans="8:47" x14ac:dyDescent="0.2">
      <c r="H210" s="23"/>
      <c r="N210" s="6"/>
      <c r="Q210" s="23"/>
      <c r="R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</row>
    <row r="213" spans="8:47" x14ac:dyDescent="0.2">
      <c r="H213" s="23"/>
      <c r="N213" s="6"/>
      <c r="Q213" s="23"/>
      <c r="R213" s="23"/>
      <c r="AR213" s="23"/>
      <c r="AT213" s="23"/>
      <c r="AU213" s="23"/>
    </row>
    <row r="214" spans="8:47" x14ac:dyDescent="0.2">
      <c r="H214" s="23"/>
      <c r="N214" s="6"/>
      <c r="Q214" s="23"/>
      <c r="R214" s="23"/>
      <c r="AT214" s="23"/>
      <c r="AU214" s="23"/>
    </row>
    <row r="215" spans="8:47" x14ac:dyDescent="0.2">
      <c r="H215" s="23"/>
      <c r="N215" s="6"/>
      <c r="Q215" s="23"/>
      <c r="R215" s="23"/>
      <c r="AR215" s="23"/>
      <c r="AS215" s="23"/>
      <c r="AT215" s="23"/>
      <c r="AU215" s="23"/>
    </row>
    <row r="216" spans="8:47" x14ac:dyDescent="0.2">
      <c r="H216" s="23"/>
      <c r="N216" s="6"/>
      <c r="Q216" s="23"/>
      <c r="R216" s="23"/>
      <c r="AR216" s="23"/>
      <c r="AS216" s="23"/>
      <c r="AT216" s="23"/>
      <c r="AU216" s="23"/>
    </row>
    <row r="217" spans="8:47" x14ac:dyDescent="0.2">
      <c r="H217" s="23"/>
      <c r="N217" s="6"/>
      <c r="Q217" s="23"/>
      <c r="R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S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S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R226" s="23"/>
      <c r="AS226" s="23"/>
      <c r="AT226" s="23"/>
      <c r="AU226" s="23"/>
    </row>
    <row r="227" spans="8:47" x14ac:dyDescent="0.2">
      <c r="H227" s="23"/>
      <c r="N227" s="6"/>
      <c r="Q227" s="23"/>
      <c r="R227" s="23"/>
      <c r="AT227" s="23"/>
      <c r="AU227" s="23"/>
    </row>
    <row r="228" spans="8:47" x14ac:dyDescent="0.2">
      <c r="H228" s="23"/>
      <c r="N228" s="6"/>
      <c r="Q228" s="23"/>
      <c r="R228" s="23"/>
      <c r="AR228" s="23"/>
      <c r="AS228" s="23"/>
      <c r="AT228" s="23"/>
      <c r="AU228" s="23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R230" s="23"/>
      <c r="AS230" s="23"/>
      <c r="AT230" s="23"/>
      <c r="AU230" s="23"/>
    </row>
    <row r="231" spans="8:47" x14ac:dyDescent="0.2">
      <c r="H231" s="23"/>
      <c r="N231" s="6"/>
      <c r="Q231" s="23"/>
      <c r="R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R233" s="23"/>
      <c r="AS233" s="23"/>
      <c r="AT233" s="23"/>
      <c r="AU233" s="23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R240" s="23"/>
      <c r="AS240" s="23"/>
      <c r="AT240" s="23"/>
      <c r="AU240" s="23"/>
    </row>
    <row r="241" spans="8:47" x14ac:dyDescent="0.2">
      <c r="H241" s="23"/>
      <c r="N241" s="6"/>
      <c r="Q241" s="23"/>
      <c r="R241" s="23"/>
    </row>
    <row r="242" spans="8:47" x14ac:dyDescent="0.2">
      <c r="H242" s="23"/>
      <c r="N242" s="6"/>
      <c r="Q242" s="23"/>
      <c r="R242" s="23"/>
      <c r="AR242" s="23"/>
      <c r="AS242" s="23"/>
      <c r="AT242" s="23"/>
      <c r="AU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R244" s="23"/>
      <c r="AS244" s="23"/>
      <c r="AT244" s="23"/>
      <c r="AU244" s="23"/>
    </row>
    <row r="245" spans="8:47" x14ac:dyDescent="0.2">
      <c r="H245" s="23"/>
      <c r="N245" s="6"/>
      <c r="Q245" s="23"/>
      <c r="R245" s="23"/>
      <c r="AR245" s="23"/>
      <c r="AS245" s="23"/>
      <c r="AT245" s="23"/>
      <c r="AU245" s="23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T262" s="23"/>
      <c r="AU262" s="23"/>
    </row>
    <row r="263" spans="8:47" x14ac:dyDescent="0.2">
      <c r="H263" s="23"/>
      <c r="N263" s="6"/>
      <c r="Q263" s="23"/>
      <c r="R263" s="23"/>
      <c r="AR263" s="23"/>
      <c r="AS263" s="23"/>
      <c r="AT263" s="23"/>
      <c r="AU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S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T272" s="23"/>
      <c r="AU272" s="23"/>
    </row>
    <row r="273" spans="8:47" x14ac:dyDescent="0.2">
      <c r="H273" s="23"/>
      <c r="N273" s="6"/>
      <c r="Q273" s="23"/>
      <c r="R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R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S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R286" s="23"/>
      <c r="AS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S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S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S292" s="23"/>
      <c r="AT292" s="23"/>
      <c r="AU292" s="23"/>
    </row>
    <row r="293" spans="8:47" x14ac:dyDescent="0.2">
      <c r="H293" s="23"/>
      <c r="N293" s="6"/>
      <c r="Q293" s="23"/>
      <c r="R293" s="23"/>
      <c r="AR293" s="23"/>
      <c r="AS293" s="23"/>
      <c r="AT293" s="23"/>
      <c r="AU293" s="23"/>
    </row>
    <row r="294" spans="8:47" x14ac:dyDescent="0.2">
      <c r="H294" s="23"/>
      <c r="N294" s="6"/>
      <c r="Q294" s="23"/>
      <c r="R294" s="23"/>
      <c r="AR294" s="23"/>
      <c r="AS294" s="23"/>
      <c r="AT294" s="23"/>
      <c r="AU294" s="23"/>
    </row>
    <row r="295" spans="8:47" x14ac:dyDescent="0.2">
      <c r="H295" s="23"/>
      <c r="N295" s="6"/>
      <c r="Q295" s="23"/>
      <c r="R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</row>
    <row r="298" spans="8:47" x14ac:dyDescent="0.2">
      <c r="H298" s="23"/>
      <c r="N298" s="6"/>
      <c r="Q298" s="23"/>
      <c r="R298" s="23"/>
      <c r="AR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T302" s="23"/>
      <c r="AU302" s="23"/>
    </row>
    <row r="303" spans="8:47" x14ac:dyDescent="0.2">
      <c r="H303" s="23"/>
      <c r="N303" s="6"/>
      <c r="Q303" s="23"/>
      <c r="R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S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S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R331" s="23"/>
      <c r="AS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S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</row>
    <row r="367" spans="8:47" x14ac:dyDescent="0.2">
      <c r="H367" s="23"/>
      <c r="N367" s="6"/>
      <c r="Q367" s="23"/>
      <c r="R367" s="23"/>
      <c r="AR367" s="23"/>
      <c r="AS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S372" s="23"/>
      <c r="AT372" s="23"/>
      <c r="AU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T374" s="23"/>
      <c r="AU374" s="23"/>
    </row>
    <row r="375" spans="8:47" x14ac:dyDescent="0.2">
      <c r="H375" s="23"/>
      <c r="N375" s="6"/>
      <c r="Q375" s="23"/>
      <c r="R375" s="23"/>
    </row>
    <row r="376" spans="8:47" x14ac:dyDescent="0.2">
      <c r="H376" s="23"/>
      <c r="N376" s="6"/>
      <c r="Q376" s="23"/>
      <c r="R376" s="23"/>
      <c r="AR376" s="23"/>
      <c r="AS376" s="23"/>
      <c r="AT376" s="23"/>
      <c r="AU376" s="23"/>
    </row>
    <row r="377" spans="8:47" x14ac:dyDescent="0.2">
      <c r="H377" s="23"/>
      <c r="N377" s="6"/>
      <c r="Q377" s="23"/>
      <c r="R377" s="23"/>
      <c r="AR377" s="23"/>
      <c r="AS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T380" s="23"/>
      <c r="AU380" s="23"/>
    </row>
    <row r="381" spans="8:47" x14ac:dyDescent="0.2">
      <c r="H381" s="23"/>
      <c r="N381" s="6"/>
      <c r="Q381" s="23"/>
      <c r="R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R398" s="23"/>
      <c r="AS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S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S410" s="23"/>
      <c r="AT410" s="23"/>
      <c r="AU410" s="23"/>
    </row>
    <row r="411" spans="8:47" x14ac:dyDescent="0.2">
      <c r="H411" s="23"/>
      <c r="N411" s="6"/>
      <c r="Q411" s="23"/>
      <c r="R411" s="23"/>
    </row>
    <row r="412" spans="8:47" x14ac:dyDescent="0.2">
      <c r="H412" s="23"/>
      <c r="N412" s="6"/>
      <c r="Q412" s="23"/>
      <c r="R412" s="23"/>
    </row>
    <row r="413" spans="8:47" x14ac:dyDescent="0.2">
      <c r="H413" s="23"/>
      <c r="N413" s="6"/>
      <c r="Q413" s="23"/>
      <c r="R413" s="23"/>
      <c r="AR413" s="23"/>
      <c r="AS413" s="23"/>
      <c r="AT413" s="23"/>
    </row>
    <row r="1038" spans="8:47" x14ac:dyDescent="0.2">
      <c r="H1038" s="23"/>
      <c r="N1038" s="6"/>
      <c r="Q1038" s="23"/>
      <c r="R1038" s="23"/>
      <c r="AR1038" s="23"/>
      <c r="AS1038" s="23"/>
      <c r="AT1038" s="23"/>
      <c r="AU1038" s="23"/>
    </row>
    <row r="1039" spans="8:47" x14ac:dyDescent="0.2">
      <c r="H1039" s="23"/>
      <c r="N1039" s="6"/>
      <c r="Q1039" s="23"/>
      <c r="R1039" s="23"/>
      <c r="AR1039" s="23"/>
      <c r="AS1039" s="23"/>
      <c r="AT1039" s="23"/>
      <c r="AU1039" s="23"/>
    </row>
    <row r="1040" spans="8:47" x14ac:dyDescent="0.2">
      <c r="H1040" s="23"/>
      <c r="N1040" s="6"/>
      <c r="Q1040" s="23"/>
      <c r="R1040" s="23"/>
      <c r="AR1040" s="23"/>
      <c r="AS1040" s="23"/>
      <c r="AT1040" s="23"/>
      <c r="AU1040" s="23"/>
    </row>
    <row r="1041" spans="8:47" x14ac:dyDescent="0.2">
      <c r="H1041" s="23"/>
      <c r="N1041" s="6"/>
      <c r="Q1041" s="23"/>
      <c r="R1041" s="23"/>
      <c r="AR1041" s="23"/>
      <c r="AS1041" s="23"/>
      <c r="AT1041" s="23"/>
      <c r="AU1041" s="23"/>
    </row>
    <row r="1042" spans="8:47" x14ac:dyDescent="0.2">
      <c r="H1042" s="23"/>
      <c r="N1042" s="6"/>
      <c r="Q1042" s="23"/>
      <c r="R1042" s="23"/>
      <c r="AR1042" s="23"/>
      <c r="AS1042" s="23"/>
      <c r="AT1042" s="23"/>
      <c r="AU1042" s="23"/>
    </row>
    <row r="1043" spans="8:47" x14ac:dyDescent="0.2">
      <c r="H1043" s="23"/>
      <c r="N1043" s="6"/>
      <c r="Q1043" s="23"/>
      <c r="R1043" s="23"/>
      <c r="AR1043" s="23"/>
      <c r="AS1043" s="23"/>
      <c r="AT1043" s="23"/>
      <c r="AU1043" s="23"/>
    </row>
    <row r="1044" spans="8:47" x14ac:dyDescent="0.2">
      <c r="H1044" s="23"/>
      <c r="N1044" s="6"/>
      <c r="Q1044" s="23"/>
      <c r="R1044" s="23"/>
      <c r="AR1044" s="23"/>
      <c r="AS1044" s="23"/>
      <c r="AT1044" s="23"/>
      <c r="AU1044" s="23"/>
    </row>
    <row r="1045" spans="8:47" x14ac:dyDescent="0.2">
      <c r="H1045" s="23"/>
      <c r="N1045" s="6"/>
      <c r="Q1045" s="23"/>
      <c r="R1045" s="23"/>
      <c r="AR1045" s="23"/>
      <c r="AS1045" s="23"/>
      <c r="AT1045" s="23"/>
      <c r="AU1045" s="23"/>
    </row>
    <row r="1046" spans="8:47" x14ac:dyDescent="0.2">
      <c r="H1046" s="23"/>
      <c r="N1046" s="6"/>
      <c r="Q1046" s="23"/>
      <c r="R1046" s="23"/>
      <c r="AR1046" s="23"/>
      <c r="AS1046" s="23"/>
      <c r="AT1046" s="23"/>
      <c r="AU1046" s="23"/>
    </row>
    <row r="1047" spans="8:47" x14ac:dyDescent="0.2">
      <c r="H1047" s="23"/>
      <c r="N1047" s="6"/>
      <c r="Q1047" s="23"/>
      <c r="R1047" s="23"/>
      <c r="AR1047" s="23"/>
      <c r="AS1047" s="23"/>
      <c r="AT1047" s="23"/>
      <c r="AU1047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F310-033C-49AC-B5EE-6D00D4157DAD}">
  <dimension ref="H6:AU1025"/>
  <sheetViews>
    <sheetView topLeftCell="A967" workbookViewId="0">
      <selection sqref="A1:XFD1048576"/>
    </sheetView>
  </sheetViews>
  <sheetFormatPr defaultColWidth="15.28515625" defaultRowHeight="12.75" x14ac:dyDescent="0.2"/>
  <cols>
    <col min="7" max="7" width="30.5703125" bestFit="1" customWidth="1"/>
  </cols>
  <sheetData>
    <row r="6" spans="8:47" x14ac:dyDescent="0.2">
      <c r="H6" s="23"/>
      <c r="N6" s="6"/>
      <c r="Q6" s="23"/>
      <c r="R6" s="23"/>
      <c r="AT6" s="23"/>
      <c r="AU6" s="23"/>
    </row>
    <row r="7" spans="8:47" x14ac:dyDescent="0.2">
      <c r="H7" s="23"/>
      <c r="N7" s="6"/>
      <c r="Q7" s="23"/>
      <c r="R7" s="23"/>
      <c r="AR7" s="23"/>
      <c r="AS7" s="23"/>
      <c r="AT7" s="23"/>
      <c r="AU7" s="23"/>
    </row>
    <row r="8" spans="8:47" x14ac:dyDescent="0.2">
      <c r="H8" s="23"/>
      <c r="N8" s="6"/>
      <c r="Q8" s="23"/>
      <c r="R8" s="23"/>
      <c r="AR8" s="23"/>
      <c r="AS8" s="23"/>
      <c r="AT8" s="23"/>
      <c r="AU8" s="23"/>
    </row>
    <row r="9" spans="8:47" x14ac:dyDescent="0.2">
      <c r="H9" s="23"/>
      <c r="N9" s="6"/>
      <c r="Q9" s="23"/>
      <c r="R9" s="23"/>
      <c r="AR9" s="23"/>
      <c r="AS9" s="23"/>
      <c r="AT9" s="23"/>
      <c r="AU9" s="23"/>
    </row>
    <row r="10" spans="8:47" x14ac:dyDescent="0.2">
      <c r="H10" s="23"/>
      <c r="N10" s="6"/>
      <c r="Q10" s="23"/>
      <c r="R10" s="23"/>
      <c r="AR10" s="23"/>
      <c r="AS10" s="23"/>
      <c r="AT10" s="23"/>
      <c r="AU10" s="23"/>
    </row>
    <row r="11" spans="8:47" x14ac:dyDescent="0.2">
      <c r="H11" s="23"/>
      <c r="N11" s="6"/>
      <c r="Q11" s="23"/>
      <c r="R11" s="23"/>
      <c r="AR11" s="23"/>
      <c r="AS11" s="23"/>
      <c r="AT11" s="23"/>
      <c r="AU11" s="23"/>
    </row>
    <row r="12" spans="8:47" x14ac:dyDescent="0.2">
      <c r="H12" s="23"/>
      <c r="N12" s="6"/>
      <c r="Q12" s="23"/>
      <c r="R12" s="23"/>
    </row>
    <row r="13" spans="8:47" x14ac:dyDescent="0.2">
      <c r="H13" s="23"/>
      <c r="N13" s="6"/>
      <c r="Q13" s="23"/>
      <c r="R13" s="23"/>
      <c r="AR13" s="23"/>
      <c r="AS13" s="23"/>
      <c r="AT13" s="23"/>
      <c r="AU13" s="23"/>
    </row>
    <row r="14" spans="8:47" x14ac:dyDescent="0.2">
      <c r="H14" s="23"/>
      <c r="N14" s="6"/>
      <c r="Q14" s="23"/>
      <c r="R14" s="23"/>
      <c r="AR14" s="23"/>
      <c r="AS14" s="23"/>
      <c r="AT14" s="23"/>
      <c r="AU14" s="23"/>
    </row>
    <row r="15" spans="8:47" x14ac:dyDescent="0.2">
      <c r="H15" s="23"/>
      <c r="N15" s="6"/>
      <c r="Q15" s="23"/>
      <c r="R15" s="23"/>
      <c r="AR15" s="23"/>
      <c r="AS15" s="23"/>
      <c r="AT15" s="23"/>
      <c r="AU15" s="23"/>
    </row>
    <row r="16" spans="8:47" x14ac:dyDescent="0.2">
      <c r="H16" s="23"/>
      <c r="N16" s="6"/>
      <c r="Q16" s="23"/>
      <c r="R16" s="23"/>
      <c r="AR16" s="23"/>
      <c r="AS16" s="23"/>
      <c r="AT16" s="23"/>
      <c r="AU16" s="23"/>
    </row>
    <row r="17" spans="8:47" x14ac:dyDescent="0.2">
      <c r="H17" s="23"/>
      <c r="N17" s="6"/>
      <c r="Q17" s="23"/>
      <c r="R17" s="23"/>
      <c r="AR17" s="23"/>
      <c r="AS17" s="23"/>
      <c r="AT17" s="23"/>
      <c r="AU17" s="23"/>
    </row>
    <row r="18" spans="8:47" x14ac:dyDescent="0.2">
      <c r="H18" s="23"/>
      <c r="N18" s="6"/>
      <c r="Q18" s="23"/>
      <c r="R18" s="23"/>
      <c r="AR18" s="23"/>
      <c r="AS18" s="23"/>
      <c r="AT18" s="23"/>
      <c r="AU18" s="23"/>
    </row>
    <row r="19" spans="8:47" x14ac:dyDescent="0.2">
      <c r="H19" s="23"/>
      <c r="N19" s="6"/>
      <c r="Q19" s="23"/>
      <c r="R19" s="23"/>
      <c r="AR19" s="23"/>
      <c r="AS19" s="23"/>
      <c r="AT19" s="23"/>
      <c r="AU19" s="23"/>
    </row>
    <row r="20" spans="8:47" x14ac:dyDescent="0.2">
      <c r="H20" s="23"/>
      <c r="N20" s="6"/>
      <c r="Q20" s="23"/>
      <c r="R20" s="23"/>
      <c r="AR20" s="23"/>
      <c r="AS20" s="23"/>
      <c r="AT20" s="23"/>
      <c r="AU20" s="23"/>
    </row>
    <row r="21" spans="8:47" x14ac:dyDescent="0.2">
      <c r="H21" s="23"/>
      <c r="N21" s="6"/>
      <c r="Q21" s="23"/>
      <c r="R21" s="23"/>
      <c r="AR21" s="23"/>
      <c r="AS21" s="23"/>
      <c r="AT21" s="23"/>
      <c r="AU21" s="23"/>
    </row>
    <row r="22" spans="8:47" x14ac:dyDescent="0.2">
      <c r="H22" s="23"/>
      <c r="N22" s="6"/>
      <c r="Q22" s="23"/>
      <c r="R22" s="23"/>
      <c r="AR22" s="23"/>
      <c r="AS22" s="23"/>
      <c r="AT22" s="23"/>
      <c r="AU22" s="23"/>
    </row>
    <row r="23" spans="8:47" x14ac:dyDescent="0.2">
      <c r="H23" s="23"/>
      <c r="N23" s="6"/>
      <c r="Q23" s="23"/>
      <c r="R23" s="23"/>
      <c r="AR23" s="23"/>
      <c r="AS23" s="23"/>
      <c r="AT23" s="23"/>
      <c r="AU23" s="23"/>
    </row>
    <row r="24" spans="8:47" x14ac:dyDescent="0.2">
      <c r="H24" s="23"/>
      <c r="N24" s="6"/>
      <c r="Q24" s="23"/>
      <c r="R24" s="23"/>
      <c r="AR24" s="23"/>
      <c r="AS24" s="23"/>
      <c r="AT24" s="23"/>
      <c r="AU24" s="23"/>
    </row>
    <row r="25" spans="8:47" x14ac:dyDescent="0.2">
      <c r="H25" s="23"/>
      <c r="N25" s="6"/>
      <c r="Q25" s="23"/>
      <c r="R25" s="23"/>
    </row>
    <row r="26" spans="8:47" x14ac:dyDescent="0.2">
      <c r="H26" s="23"/>
      <c r="N26" s="6"/>
      <c r="Q26" s="23"/>
      <c r="R26" s="23"/>
      <c r="AR26" s="23"/>
      <c r="AS26" s="23"/>
      <c r="AT26" s="23"/>
      <c r="AU26" s="23"/>
    </row>
    <row r="27" spans="8:47" x14ac:dyDescent="0.2">
      <c r="H27" s="23"/>
      <c r="N27" s="6"/>
      <c r="Q27" s="23"/>
      <c r="R27" s="23"/>
      <c r="AR27" s="23"/>
      <c r="AS27" s="23"/>
      <c r="AT27" s="23"/>
      <c r="AU27" s="23"/>
    </row>
    <row r="28" spans="8:47" x14ac:dyDescent="0.2">
      <c r="H28" s="23"/>
      <c r="N28" s="6"/>
      <c r="Q28" s="23"/>
      <c r="R28" s="23"/>
      <c r="AR28" s="23"/>
      <c r="AS28" s="23"/>
      <c r="AT28" s="23"/>
      <c r="AU28" s="23"/>
    </row>
    <row r="29" spans="8:47" x14ac:dyDescent="0.2">
      <c r="H29" s="23"/>
      <c r="N29" s="6"/>
      <c r="Q29" s="23"/>
      <c r="R29" s="23"/>
      <c r="AR29" s="23"/>
      <c r="AS29" s="23"/>
      <c r="AT29" s="23"/>
      <c r="AU29" s="23"/>
    </row>
    <row r="30" spans="8:47" x14ac:dyDescent="0.2">
      <c r="H30" s="23"/>
      <c r="N30" s="6"/>
      <c r="Q30" s="23"/>
      <c r="R30" s="23"/>
      <c r="AR30" s="23"/>
      <c r="AS30" s="23"/>
      <c r="AT30" s="23"/>
      <c r="AU30" s="23"/>
    </row>
    <row r="31" spans="8:47" x14ac:dyDescent="0.2">
      <c r="H31" s="23"/>
      <c r="N31" s="6"/>
      <c r="Q31" s="23"/>
      <c r="R31" s="23"/>
      <c r="AR31" s="23"/>
      <c r="AS31" s="23"/>
      <c r="AT31" s="23"/>
      <c r="AU31" s="23"/>
    </row>
    <row r="32" spans="8:47" x14ac:dyDescent="0.2">
      <c r="H32" s="23"/>
      <c r="N32" s="6"/>
      <c r="Q32" s="23"/>
      <c r="R32" s="23"/>
      <c r="AR32" s="23"/>
      <c r="AS32" s="23"/>
      <c r="AT32" s="23"/>
      <c r="AU32" s="23"/>
    </row>
    <row r="33" spans="8:47" x14ac:dyDescent="0.2">
      <c r="H33" s="23"/>
      <c r="N33" s="6"/>
      <c r="Q33" s="23"/>
      <c r="R33" s="23"/>
      <c r="AR33" s="23"/>
      <c r="AS33" s="23"/>
      <c r="AT33" s="23"/>
      <c r="AU33" s="23"/>
    </row>
    <row r="34" spans="8:47" x14ac:dyDescent="0.2">
      <c r="H34" s="23"/>
      <c r="N34" s="6"/>
      <c r="Q34" s="23"/>
      <c r="R34" s="23"/>
      <c r="AR34" s="23"/>
      <c r="AS34" s="23"/>
      <c r="AT34" s="23"/>
      <c r="AU34" s="23"/>
    </row>
    <row r="35" spans="8:47" x14ac:dyDescent="0.2">
      <c r="H35" s="23"/>
      <c r="N35" s="6"/>
      <c r="Q35" s="23"/>
      <c r="R35" s="23"/>
      <c r="AR35" s="23"/>
      <c r="AS35" s="23"/>
      <c r="AT35" s="23"/>
      <c r="AU35" s="23"/>
    </row>
    <row r="36" spans="8:47" x14ac:dyDescent="0.2">
      <c r="H36" s="23"/>
      <c r="N36" s="6"/>
      <c r="Q36" s="23"/>
      <c r="R36" s="23"/>
      <c r="AR36" s="23"/>
      <c r="AS36" s="23"/>
      <c r="AT36" s="23"/>
      <c r="AU36" s="23"/>
    </row>
    <row r="37" spans="8:47" x14ac:dyDescent="0.2">
      <c r="H37" s="23"/>
      <c r="N37" s="6"/>
      <c r="Q37" s="23"/>
      <c r="R37" s="23"/>
      <c r="AR37" s="23"/>
      <c r="AS37" s="23"/>
      <c r="AT37" s="23"/>
      <c r="AU37" s="23"/>
    </row>
    <row r="38" spans="8:47" x14ac:dyDescent="0.2">
      <c r="H38" s="23"/>
      <c r="N38" s="6"/>
      <c r="Q38" s="23"/>
      <c r="R38" s="23"/>
      <c r="AR38" s="23"/>
      <c r="AS38" s="23"/>
      <c r="AT38" s="23"/>
      <c r="AU38" s="23"/>
    </row>
    <row r="39" spans="8:47" x14ac:dyDescent="0.2">
      <c r="H39" s="23"/>
      <c r="N39" s="6"/>
      <c r="Q39" s="23"/>
      <c r="R39" s="23"/>
      <c r="AR39" s="23"/>
      <c r="AS39" s="23"/>
      <c r="AT39" s="23"/>
    </row>
    <row r="40" spans="8:47" x14ac:dyDescent="0.2">
      <c r="H40" s="23"/>
      <c r="N40" s="6"/>
      <c r="Q40" s="23"/>
      <c r="R40" s="23"/>
    </row>
    <row r="41" spans="8:47" x14ac:dyDescent="0.2">
      <c r="H41" s="23"/>
      <c r="N41" s="6"/>
      <c r="Q41" s="23"/>
      <c r="R41" s="23"/>
      <c r="AR41" s="23"/>
      <c r="AS41" s="23"/>
      <c r="AT41" s="23"/>
      <c r="AU41" s="23"/>
    </row>
    <row r="42" spans="8:47" x14ac:dyDescent="0.2">
      <c r="H42" s="23"/>
      <c r="N42" s="6"/>
      <c r="Q42" s="23"/>
      <c r="R42" s="23"/>
      <c r="AR42" s="23"/>
      <c r="AS42" s="23"/>
      <c r="AT42" s="23"/>
      <c r="AU42" s="23"/>
    </row>
    <row r="43" spans="8:47" x14ac:dyDescent="0.2">
      <c r="H43" s="23"/>
      <c r="N43" s="6"/>
      <c r="Q43" s="23"/>
      <c r="R43" s="23"/>
      <c r="AR43" s="23"/>
      <c r="AS43" s="23"/>
      <c r="AT43" s="23"/>
      <c r="AU43" s="23"/>
    </row>
    <row r="44" spans="8:47" x14ac:dyDescent="0.2">
      <c r="H44" s="23"/>
      <c r="N44" s="6"/>
      <c r="Q44" s="23"/>
      <c r="R44" s="23"/>
      <c r="AR44" s="23"/>
      <c r="AS44" s="23"/>
      <c r="AT44" s="23"/>
      <c r="AU44" s="23"/>
    </row>
    <row r="45" spans="8:47" x14ac:dyDescent="0.2">
      <c r="H45" s="23"/>
      <c r="N45" s="6"/>
      <c r="Q45" s="23"/>
      <c r="R45" s="23"/>
      <c r="AR45" s="23"/>
      <c r="AS45" s="23"/>
      <c r="AT45" s="23"/>
      <c r="AU45" s="23"/>
    </row>
    <row r="46" spans="8:47" x14ac:dyDescent="0.2">
      <c r="H46" s="23"/>
      <c r="N46" s="6"/>
      <c r="Q46" s="23"/>
      <c r="R46" s="23"/>
      <c r="AR46" s="23"/>
      <c r="AS46" s="23"/>
      <c r="AT46" s="23"/>
      <c r="AU46" s="23"/>
    </row>
    <row r="47" spans="8:47" x14ac:dyDescent="0.2">
      <c r="H47" s="23"/>
      <c r="N47" s="6"/>
      <c r="Q47" s="23"/>
      <c r="R47" s="23"/>
      <c r="AT47" s="23"/>
      <c r="AU47" s="23"/>
    </row>
    <row r="48" spans="8:47" x14ac:dyDescent="0.2">
      <c r="H48" s="23"/>
      <c r="N48" s="6"/>
      <c r="Q48" s="23"/>
      <c r="R48" s="23"/>
      <c r="AR48" s="23"/>
      <c r="AS48" s="23"/>
      <c r="AT48" s="23"/>
      <c r="AU48" s="23"/>
    </row>
    <row r="49" spans="8:47" x14ac:dyDescent="0.2">
      <c r="H49" s="23"/>
      <c r="N49" s="6"/>
      <c r="Q49" s="23"/>
      <c r="R49" s="23"/>
      <c r="AR49" s="23"/>
      <c r="AS49" s="23"/>
      <c r="AT49" s="23"/>
      <c r="AU49" s="23"/>
    </row>
    <row r="50" spans="8:47" x14ac:dyDescent="0.2">
      <c r="H50" s="23"/>
      <c r="N50" s="6"/>
      <c r="Q50" s="23"/>
      <c r="R50" s="23"/>
      <c r="AR50" s="23"/>
      <c r="AS50" s="23"/>
      <c r="AT50" s="23"/>
      <c r="AU50" s="23"/>
    </row>
    <row r="51" spans="8:47" x14ac:dyDescent="0.2">
      <c r="H51" s="23"/>
      <c r="N51" s="6"/>
      <c r="Q51" s="23"/>
      <c r="R51" s="23"/>
      <c r="AR51" s="23"/>
      <c r="AS51" s="23"/>
      <c r="AT51" s="23"/>
      <c r="AU51" s="23"/>
    </row>
    <row r="52" spans="8:47" x14ac:dyDescent="0.2">
      <c r="H52" s="23"/>
      <c r="N52" s="6"/>
      <c r="Q52" s="23"/>
      <c r="R52" s="23"/>
      <c r="AR52" s="23"/>
      <c r="AS52" s="23"/>
      <c r="AT52" s="23"/>
      <c r="AU52" s="23"/>
    </row>
    <row r="53" spans="8:47" x14ac:dyDescent="0.2">
      <c r="H53" s="23"/>
      <c r="N53" s="6"/>
      <c r="Q53" s="23"/>
      <c r="R53" s="23"/>
      <c r="AR53" s="23"/>
      <c r="AS53" s="23"/>
      <c r="AT53" s="23"/>
      <c r="AU53" s="23"/>
    </row>
    <row r="54" spans="8:47" x14ac:dyDescent="0.2">
      <c r="H54" s="23"/>
      <c r="N54" s="6"/>
      <c r="Q54" s="23"/>
      <c r="R54" s="23"/>
      <c r="AR54" s="23"/>
      <c r="AS54" s="23"/>
      <c r="AT54" s="23"/>
      <c r="AU54" s="23"/>
    </row>
    <row r="55" spans="8:47" x14ac:dyDescent="0.2">
      <c r="H55" s="23"/>
      <c r="N55" s="6"/>
      <c r="Q55" s="23"/>
      <c r="R55" s="23"/>
      <c r="AR55" s="23"/>
      <c r="AT55" s="23"/>
    </row>
    <row r="56" spans="8:47" x14ac:dyDescent="0.2">
      <c r="H56" s="23"/>
      <c r="N56" s="6"/>
      <c r="Q56" s="23"/>
      <c r="R56" s="23"/>
      <c r="AR56" s="23"/>
      <c r="AS56" s="23"/>
      <c r="AT56" s="23"/>
      <c r="AU56" s="23"/>
    </row>
    <row r="57" spans="8:47" x14ac:dyDescent="0.2">
      <c r="H57" s="23"/>
      <c r="N57" s="6"/>
      <c r="Q57" s="23"/>
      <c r="R57" s="23"/>
      <c r="AT57" s="23"/>
      <c r="AU57" s="24"/>
    </row>
    <row r="58" spans="8:47" x14ac:dyDescent="0.2">
      <c r="H58" s="23"/>
      <c r="N58" s="6"/>
      <c r="Q58" s="23"/>
      <c r="R58" s="23"/>
      <c r="AR58" s="23"/>
      <c r="AT58" s="23"/>
    </row>
    <row r="59" spans="8:47" x14ac:dyDescent="0.2">
      <c r="H59" s="23"/>
      <c r="N59" s="6"/>
      <c r="Q59" s="23"/>
      <c r="R59" s="23"/>
      <c r="AR59" s="23"/>
      <c r="AS59" s="23"/>
      <c r="AT59" s="23"/>
      <c r="AU59" s="23"/>
    </row>
    <row r="60" spans="8:47" x14ac:dyDescent="0.2">
      <c r="H60" s="23"/>
      <c r="N60" s="6"/>
      <c r="Q60" s="23"/>
      <c r="R60" s="23"/>
      <c r="AR60" s="23"/>
      <c r="AS60" s="23"/>
      <c r="AT60" s="23"/>
      <c r="AU60" s="23"/>
    </row>
    <row r="61" spans="8:47" x14ac:dyDescent="0.2">
      <c r="H61" s="23"/>
      <c r="N61" s="6"/>
      <c r="Q61" s="23"/>
      <c r="R61" s="23"/>
    </row>
    <row r="62" spans="8:47" x14ac:dyDescent="0.2">
      <c r="H62" s="23"/>
      <c r="N62" s="6"/>
      <c r="Q62" s="23"/>
      <c r="R62" s="23"/>
      <c r="AR62" s="23"/>
      <c r="AS62" s="23"/>
      <c r="AT62" s="23"/>
      <c r="AU62" s="23"/>
    </row>
    <row r="63" spans="8:47" x14ac:dyDescent="0.2">
      <c r="H63" s="23"/>
      <c r="N63" s="6"/>
      <c r="Q63" s="23"/>
      <c r="R63" s="23"/>
      <c r="AR63" s="23"/>
      <c r="AS63" s="23"/>
      <c r="AT63" s="23"/>
      <c r="AU63" s="23"/>
    </row>
    <row r="64" spans="8:47" x14ac:dyDescent="0.2">
      <c r="H64" s="23"/>
      <c r="N64" s="6"/>
      <c r="Q64" s="23"/>
      <c r="R64" s="23"/>
      <c r="AR64" s="23"/>
      <c r="AS64" s="23"/>
      <c r="AT64" s="23"/>
      <c r="AU64" s="23"/>
    </row>
    <row r="65" spans="8:47" x14ac:dyDescent="0.2">
      <c r="H65" s="23"/>
      <c r="N65" s="6"/>
      <c r="Q65" s="23"/>
      <c r="R65" s="23"/>
      <c r="AR65" s="23"/>
      <c r="AS65" s="23"/>
      <c r="AT65" s="23"/>
      <c r="AU65" s="23"/>
    </row>
    <row r="66" spans="8:47" x14ac:dyDescent="0.2">
      <c r="H66" s="23"/>
      <c r="N66" s="6"/>
      <c r="Q66" s="23"/>
      <c r="R66" s="23"/>
      <c r="AR66" s="23"/>
      <c r="AS66" s="23"/>
      <c r="AT66" s="23"/>
      <c r="AU66" s="23"/>
    </row>
    <row r="67" spans="8:47" x14ac:dyDescent="0.2">
      <c r="H67" s="23"/>
      <c r="N67" s="6"/>
      <c r="Q67" s="23"/>
      <c r="R67" s="23"/>
      <c r="AR67" s="23"/>
      <c r="AS67" s="23"/>
      <c r="AT67" s="23"/>
      <c r="AU67" s="23"/>
    </row>
    <row r="68" spans="8:47" x14ac:dyDescent="0.2">
      <c r="H68" s="23"/>
      <c r="N68" s="6"/>
      <c r="Q68" s="23"/>
      <c r="R68" s="23"/>
      <c r="AR68" s="23"/>
      <c r="AS68" s="23"/>
      <c r="AT68" s="23"/>
      <c r="AU68" s="23"/>
    </row>
    <row r="69" spans="8:47" x14ac:dyDescent="0.2">
      <c r="H69" s="23"/>
      <c r="N69" s="6"/>
      <c r="Q69" s="23"/>
      <c r="R69" s="23"/>
      <c r="AT69" s="23"/>
      <c r="AU69" s="24"/>
    </row>
    <row r="70" spans="8:47" x14ac:dyDescent="0.2">
      <c r="H70" s="23"/>
      <c r="N70" s="6"/>
      <c r="Q70" s="23"/>
      <c r="R70" s="23"/>
      <c r="AR70" s="23"/>
      <c r="AS70" s="23"/>
      <c r="AT70" s="23"/>
      <c r="AU70" s="23"/>
    </row>
    <row r="71" spans="8:47" x14ac:dyDescent="0.2">
      <c r="H71" s="23"/>
      <c r="N71" s="6"/>
      <c r="Q71" s="23"/>
      <c r="R71" s="23"/>
      <c r="AT71" s="23"/>
      <c r="AU71" s="23"/>
    </row>
    <row r="72" spans="8:47" x14ac:dyDescent="0.2">
      <c r="H72" s="23"/>
      <c r="N72" s="6"/>
      <c r="Q72" s="23"/>
      <c r="R72" s="23"/>
      <c r="AR72" s="23"/>
      <c r="AS72" s="23"/>
      <c r="AT72" s="23"/>
      <c r="AU72" s="23"/>
    </row>
    <row r="73" spans="8:47" x14ac:dyDescent="0.2">
      <c r="H73" s="23"/>
      <c r="N73" s="6"/>
      <c r="Q73" s="23"/>
      <c r="R73" s="23"/>
      <c r="AR73" s="23"/>
      <c r="AS73" s="23"/>
      <c r="AT73" s="23"/>
      <c r="AU73" s="23"/>
    </row>
    <row r="74" spans="8:47" x14ac:dyDescent="0.2">
      <c r="H74" s="23"/>
      <c r="N74" s="6"/>
      <c r="Q74" s="23"/>
      <c r="R74" s="23"/>
      <c r="AR74" s="23"/>
      <c r="AS74" s="23"/>
      <c r="AT74" s="23"/>
      <c r="AU74" s="23"/>
    </row>
    <row r="75" spans="8:47" x14ac:dyDescent="0.2">
      <c r="H75" s="23"/>
      <c r="N75" s="6"/>
      <c r="Q75" s="23"/>
      <c r="R75" s="23"/>
      <c r="AT75" s="23"/>
      <c r="AU75" s="24"/>
    </row>
    <row r="76" spans="8:47" x14ac:dyDescent="0.2">
      <c r="H76" s="23"/>
      <c r="N76" s="6"/>
      <c r="Q76" s="23"/>
      <c r="R76" s="23"/>
      <c r="AR76" s="23"/>
      <c r="AS76" s="23"/>
      <c r="AT76" s="23"/>
      <c r="AU76" s="23"/>
    </row>
    <row r="77" spans="8:47" x14ac:dyDescent="0.2">
      <c r="H77" s="23"/>
      <c r="N77" s="6"/>
      <c r="Q77" s="23"/>
      <c r="R77" s="23"/>
      <c r="AR77" s="23"/>
      <c r="AS77" s="23"/>
      <c r="AT77" s="23"/>
      <c r="AU77" s="23"/>
    </row>
    <row r="78" spans="8:47" x14ac:dyDescent="0.2">
      <c r="H78" s="23"/>
      <c r="N78" s="6"/>
      <c r="Q78" s="23"/>
      <c r="R78" s="23"/>
      <c r="AT78" s="23"/>
      <c r="AU78" s="24"/>
    </row>
    <row r="79" spans="8:47" x14ac:dyDescent="0.2">
      <c r="H79" s="23"/>
      <c r="N79" s="6"/>
      <c r="Q79" s="23"/>
      <c r="R79" s="23"/>
      <c r="AR79" s="23"/>
      <c r="AS79" s="23"/>
      <c r="AT79" s="23"/>
      <c r="AU79" s="23"/>
    </row>
    <row r="80" spans="8:47" x14ac:dyDescent="0.2">
      <c r="H80" s="23"/>
      <c r="N80" s="6"/>
      <c r="Q80" s="23"/>
      <c r="R80" s="23"/>
      <c r="AR80" s="23"/>
      <c r="AS80" s="23"/>
      <c r="AT80" s="23"/>
      <c r="AU80" s="23"/>
    </row>
    <row r="81" spans="8:47" x14ac:dyDescent="0.2">
      <c r="H81" s="23"/>
      <c r="N81" s="6"/>
      <c r="Q81" s="23"/>
      <c r="R81" s="23"/>
      <c r="AR81" s="23"/>
      <c r="AS81" s="23"/>
      <c r="AT81" s="23"/>
      <c r="AU81" s="23"/>
    </row>
    <row r="82" spans="8:47" x14ac:dyDescent="0.2">
      <c r="H82" s="23"/>
      <c r="N82" s="6"/>
      <c r="Q82" s="23"/>
      <c r="R82" s="23"/>
      <c r="AR82" s="23"/>
      <c r="AT82" s="23"/>
      <c r="AU82" s="23"/>
    </row>
    <row r="83" spans="8:47" x14ac:dyDescent="0.2">
      <c r="H83" s="23"/>
      <c r="N83" s="6"/>
      <c r="Q83" s="23"/>
      <c r="R83" s="23"/>
      <c r="AR83" s="23"/>
      <c r="AS83" s="23"/>
      <c r="AT83" s="23"/>
      <c r="AU83" s="23"/>
    </row>
    <row r="84" spans="8:47" x14ac:dyDescent="0.2">
      <c r="H84" s="23"/>
      <c r="N84" s="6"/>
      <c r="Q84" s="23"/>
      <c r="R84" s="23"/>
      <c r="AR84" s="23"/>
      <c r="AS84" s="23"/>
      <c r="AT84" s="23"/>
      <c r="AU84" s="23"/>
    </row>
    <row r="85" spans="8:47" x14ac:dyDescent="0.2">
      <c r="H85" s="23"/>
      <c r="N85" s="6"/>
      <c r="Q85" s="23"/>
      <c r="R85" s="23"/>
      <c r="AR85" s="23"/>
      <c r="AS85" s="23"/>
      <c r="AT85" s="23"/>
      <c r="AU85" s="23"/>
    </row>
    <row r="86" spans="8:47" x14ac:dyDescent="0.2">
      <c r="H86" s="23"/>
      <c r="N86" s="6"/>
      <c r="Q86" s="23"/>
      <c r="R86" s="23"/>
      <c r="AR86" s="23"/>
      <c r="AS86" s="23"/>
      <c r="AT86" s="23"/>
      <c r="AU86" s="23"/>
    </row>
    <row r="87" spans="8:47" x14ac:dyDescent="0.2">
      <c r="H87" s="23"/>
      <c r="N87" s="6"/>
      <c r="Q87" s="23"/>
      <c r="R87" s="23"/>
      <c r="AR87" s="23"/>
      <c r="AS87" s="23"/>
      <c r="AT87" s="23"/>
      <c r="AU87" s="23"/>
    </row>
    <row r="88" spans="8:47" x14ac:dyDescent="0.2">
      <c r="H88" s="23"/>
      <c r="N88" s="6"/>
      <c r="Q88" s="23"/>
      <c r="R88" s="23"/>
      <c r="AR88" s="23"/>
      <c r="AS88" s="23"/>
      <c r="AT88" s="23"/>
      <c r="AU88" s="23"/>
    </row>
    <row r="89" spans="8:47" x14ac:dyDescent="0.2">
      <c r="H89" s="23"/>
      <c r="N89" s="6"/>
      <c r="Q89" s="23"/>
      <c r="R89" s="23"/>
      <c r="AR89" s="23"/>
      <c r="AS89" s="23"/>
      <c r="AT89" s="23"/>
      <c r="AU89" s="23"/>
    </row>
    <row r="90" spans="8:47" x14ac:dyDescent="0.2">
      <c r="H90" s="23"/>
      <c r="N90" s="6"/>
      <c r="Q90" s="23"/>
      <c r="R90" s="23"/>
      <c r="AR90" s="23"/>
      <c r="AS90" s="23"/>
      <c r="AT90" s="23"/>
      <c r="AU90" s="23"/>
    </row>
    <row r="91" spans="8:47" x14ac:dyDescent="0.2">
      <c r="H91" s="23"/>
      <c r="N91" s="6"/>
      <c r="Q91" s="23"/>
      <c r="R91" s="23"/>
      <c r="AT91" s="23"/>
      <c r="AU91" s="24"/>
    </row>
    <row r="92" spans="8:47" x14ac:dyDescent="0.2">
      <c r="H92" s="23"/>
      <c r="N92" s="6"/>
      <c r="Q92" s="23"/>
      <c r="R92" s="23"/>
      <c r="AR92" s="23"/>
      <c r="AS92" s="23"/>
      <c r="AT92" s="23"/>
      <c r="AU92" s="23"/>
    </row>
    <row r="93" spans="8:47" x14ac:dyDescent="0.2">
      <c r="H93" s="23"/>
      <c r="N93" s="6"/>
      <c r="Q93" s="23"/>
      <c r="R93" s="23"/>
      <c r="AR93" s="23"/>
      <c r="AS93" s="23"/>
      <c r="AT93" s="23"/>
      <c r="AU93" s="23"/>
    </row>
    <row r="94" spans="8:47" x14ac:dyDescent="0.2">
      <c r="H94" s="23"/>
      <c r="N94" s="6"/>
      <c r="Q94" s="23"/>
      <c r="R94" s="23"/>
      <c r="AR94" s="23"/>
      <c r="AS94" s="23"/>
      <c r="AT94" s="23"/>
      <c r="AU94" s="23"/>
    </row>
    <row r="95" spans="8:47" x14ac:dyDescent="0.2">
      <c r="H95" s="23"/>
      <c r="N95" s="6"/>
      <c r="Q95" s="23"/>
      <c r="R95" s="23"/>
      <c r="AR95" s="23"/>
      <c r="AS95" s="23"/>
      <c r="AT95" s="23"/>
      <c r="AU95" s="23"/>
    </row>
    <row r="96" spans="8:47" x14ac:dyDescent="0.2">
      <c r="H96" s="23"/>
      <c r="N96" s="6"/>
      <c r="Q96" s="23"/>
      <c r="R96" s="23"/>
      <c r="AR96" s="23"/>
      <c r="AS96" s="23"/>
      <c r="AT96" s="23"/>
      <c r="AU96" s="23"/>
    </row>
    <row r="97" spans="8:47" x14ac:dyDescent="0.2">
      <c r="H97" s="23"/>
      <c r="N97" s="6"/>
      <c r="Q97" s="23"/>
      <c r="R97" s="23"/>
      <c r="AR97" s="23"/>
      <c r="AS97" s="23"/>
      <c r="AT97" s="23"/>
      <c r="AU97" s="23"/>
    </row>
    <row r="98" spans="8:47" x14ac:dyDescent="0.2">
      <c r="H98" s="23"/>
      <c r="N98" s="6"/>
      <c r="Q98" s="23"/>
      <c r="R98" s="23"/>
      <c r="AR98" s="23"/>
      <c r="AS98" s="23"/>
      <c r="AT98" s="23"/>
      <c r="AU98" s="23"/>
    </row>
    <row r="99" spans="8:47" x14ac:dyDescent="0.2">
      <c r="H99" s="23"/>
      <c r="N99" s="6"/>
      <c r="Q99" s="23"/>
      <c r="R99" s="23"/>
      <c r="AR99" s="23"/>
      <c r="AS99" s="23"/>
      <c r="AT99" s="23"/>
      <c r="AU99" s="23"/>
    </row>
    <row r="100" spans="8:47" x14ac:dyDescent="0.2">
      <c r="H100" s="23"/>
      <c r="N100" s="6"/>
      <c r="Q100" s="23"/>
      <c r="R100" s="23"/>
      <c r="AR100" s="23"/>
      <c r="AS100" s="23"/>
      <c r="AT100" s="23"/>
      <c r="AU100" s="23"/>
    </row>
    <row r="101" spans="8:47" x14ac:dyDescent="0.2">
      <c r="H101" s="23"/>
      <c r="N101" s="6"/>
      <c r="Q101" s="23"/>
      <c r="R101" s="23"/>
      <c r="AR101" s="23"/>
      <c r="AS101" s="23"/>
      <c r="AT101" s="23"/>
      <c r="AU101" s="23"/>
    </row>
    <row r="102" spans="8:47" x14ac:dyDescent="0.2">
      <c r="H102" s="23"/>
      <c r="N102" s="6"/>
      <c r="Q102" s="23"/>
      <c r="R102" s="23"/>
      <c r="AR102" s="23"/>
      <c r="AS102" s="23"/>
      <c r="AT102" s="23"/>
      <c r="AU102" s="23"/>
    </row>
    <row r="103" spans="8:47" x14ac:dyDescent="0.2">
      <c r="H103" s="23"/>
      <c r="N103" s="6"/>
      <c r="Q103" s="23"/>
      <c r="R103" s="23"/>
      <c r="AR103" s="23"/>
      <c r="AS103" s="23"/>
      <c r="AT103" s="23"/>
      <c r="AU103" s="23"/>
    </row>
    <row r="104" spans="8:47" x14ac:dyDescent="0.2">
      <c r="H104" s="23"/>
      <c r="N104" s="6"/>
      <c r="Q104" s="23"/>
      <c r="R104" s="23"/>
      <c r="AR104" s="23"/>
      <c r="AS104" s="23"/>
      <c r="AT104" s="23"/>
      <c r="AU104" s="23"/>
    </row>
    <row r="105" spans="8:47" x14ac:dyDescent="0.2">
      <c r="H105" s="23"/>
      <c r="N105" s="6"/>
      <c r="Q105" s="23"/>
      <c r="R105" s="23"/>
      <c r="AT105" s="23"/>
      <c r="AU105" s="24"/>
    </row>
    <row r="106" spans="8:47" x14ac:dyDescent="0.2">
      <c r="H106" s="23"/>
      <c r="N106" s="6"/>
      <c r="Q106" s="23"/>
      <c r="R106" s="23"/>
      <c r="AR106" s="23"/>
      <c r="AS106" s="23"/>
      <c r="AT106" s="23"/>
      <c r="AU106" s="23"/>
    </row>
    <row r="107" spans="8:47" x14ac:dyDescent="0.2">
      <c r="H107" s="23"/>
      <c r="N107" s="6"/>
      <c r="Q107" s="23"/>
      <c r="R107" s="23"/>
      <c r="AR107" s="23"/>
      <c r="AS107" s="23"/>
      <c r="AT107" s="23"/>
      <c r="AU107" s="23"/>
    </row>
    <row r="108" spans="8:47" x14ac:dyDescent="0.2">
      <c r="H108" s="23"/>
      <c r="N108" s="6"/>
      <c r="Q108" s="23"/>
      <c r="R108" s="23"/>
      <c r="AR108" s="23"/>
      <c r="AS108" s="23"/>
      <c r="AT108" s="23"/>
      <c r="AU108" s="23"/>
    </row>
    <row r="109" spans="8:47" x14ac:dyDescent="0.2">
      <c r="H109" s="23"/>
      <c r="N109" s="6"/>
      <c r="Q109" s="23"/>
      <c r="R109" s="23"/>
      <c r="AR109" s="23"/>
      <c r="AS109" s="23"/>
      <c r="AT109" s="23"/>
      <c r="AU109" s="23"/>
    </row>
    <row r="110" spans="8:47" x14ac:dyDescent="0.2">
      <c r="H110" s="23"/>
      <c r="N110" s="6"/>
      <c r="Q110" s="23"/>
      <c r="R110" s="23"/>
      <c r="AR110" s="23"/>
      <c r="AS110" s="23"/>
      <c r="AT110" s="23"/>
      <c r="AU110" s="23"/>
    </row>
    <row r="111" spans="8:47" x14ac:dyDescent="0.2">
      <c r="H111" s="23"/>
      <c r="N111" s="6"/>
      <c r="Q111" s="23"/>
      <c r="R111" s="23"/>
      <c r="AR111" s="23"/>
      <c r="AS111" s="23"/>
      <c r="AT111" s="23"/>
      <c r="AU111" s="23"/>
    </row>
    <row r="112" spans="8:47" x14ac:dyDescent="0.2">
      <c r="H112" s="23"/>
      <c r="N112" s="6"/>
      <c r="Q112" s="23"/>
      <c r="R112" s="23"/>
      <c r="AR112" s="23"/>
      <c r="AS112" s="23"/>
      <c r="AT112" s="23"/>
      <c r="AU112" s="23"/>
    </row>
    <row r="113" spans="8:47" x14ac:dyDescent="0.2">
      <c r="H113" s="23"/>
      <c r="N113" s="6"/>
      <c r="Q113" s="23"/>
      <c r="R113" s="23"/>
      <c r="AR113" s="23"/>
      <c r="AS113" s="23"/>
      <c r="AT113" s="23"/>
    </row>
    <row r="114" spans="8:47" x14ac:dyDescent="0.2">
      <c r="H114" s="23"/>
      <c r="N114" s="6"/>
      <c r="Q114" s="23"/>
      <c r="R114" s="23"/>
      <c r="AR114" s="23"/>
      <c r="AS114" s="23"/>
      <c r="AT114" s="23"/>
      <c r="AU114" s="23"/>
    </row>
    <row r="115" spans="8:47" x14ac:dyDescent="0.2">
      <c r="H115" s="23"/>
      <c r="N115" s="6"/>
      <c r="Q115" s="23"/>
      <c r="R115" s="23"/>
      <c r="AT115" s="23"/>
      <c r="AU115" s="23"/>
    </row>
    <row r="116" spans="8:47" x14ac:dyDescent="0.2">
      <c r="H116" s="23"/>
      <c r="N116" s="6"/>
      <c r="Q116" s="23"/>
      <c r="R116" s="23"/>
      <c r="AR116" s="23"/>
      <c r="AS116" s="23"/>
      <c r="AT116" s="23"/>
      <c r="AU116" s="23"/>
    </row>
    <row r="117" spans="8:47" x14ac:dyDescent="0.2">
      <c r="H117" s="23"/>
      <c r="N117" s="6"/>
      <c r="Q117" s="23"/>
      <c r="R117" s="23"/>
      <c r="AR117" s="23"/>
      <c r="AS117" s="23"/>
      <c r="AT117" s="23"/>
      <c r="AU117" s="23"/>
    </row>
    <row r="118" spans="8:47" x14ac:dyDescent="0.2">
      <c r="H118" s="23"/>
      <c r="N118" s="6"/>
      <c r="Q118" s="23"/>
      <c r="R118" s="23"/>
      <c r="AT118" s="23"/>
      <c r="AU118" s="24"/>
    </row>
    <row r="119" spans="8:47" x14ac:dyDescent="0.2">
      <c r="H119" s="23"/>
      <c r="N119" s="6"/>
      <c r="Q119" s="23"/>
      <c r="R119" s="23"/>
      <c r="AR119" s="23"/>
      <c r="AS119" s="23"/>
      <c r="AT119" s="23"/>
      <c r="AU119" s="23"/>
    </row>
    <row r="120" spans="8:47" x14ac:dyDescent="0.2">
      <c r="H120" s="23"/>
      <c r="N120" s="6"/>
      <c r="Q120" s="23"/>
      <c r="R120" s="23"/>
      <c r="AR120" s="23"/>
      <c r="AS120" s="23"/>
      <c r="AT120" s="23"/>
      <c r="AU120" s="23"/>
    </row>
    <row r="121" spans="8:47" x14ac:dyDescent="0.2">
      <c r="H121" s="23"/>
      <c r="N121" s="6"/>
      <c r="Q121" s="23"/>
      <c r="R121" s="23"/>
      <c r="AR121" s="23"/>
      <c r="AS121" s="23"/>
      <c r="AT121" s="23"/>
      <c r="AU121" s="23"/>
    </row>
    <row r="122" spans="8:47" x14ac:dyDescent="0.2">
      <c r="H122" s="23"/>
      <c r="N122" s="6"/>
      <c r="Q122" s="23"/>
      <c r="R122" s="23"/>
      <c r="AR122" s="23"/>
      <c r="AS122" s="23"/>
      <c r="AT122" s="23"/>
      <c r="AU122" s="23"/>
    </row>
    <row r="123" spans="8:47" x14ac:dyDescent="0.2">
      <c r="H123" s="23"/>
      <c r="N123" s="6"/>
      <c r="Q123" s="23"/>
      <c r="R123" s="23"/>
      <c r="AT123" s="23"/>
      <c r="AU123" s="24"/>
    </row>
    <row r="124" spans="8:47" x14ac:dyDescent="0.2">
      <c r="H124" s="23"/>
      <c r="N124" s="6"/>
      <c r="Q124" s="23"/>
      <c r="R124" s="23"/>
      <c r="AR124" s="23"/>
      <c r="AS124" s="23"/>
      <c r="AT124" s="23"/>
      <c r="AU124" s="23"/>
    </row>
    <row r="125" spans="8:47" x14ac:dyDescent="0.2">
      <c r="H125" s="23"/>
      <c r="N125" s="6"/>
      <c r="Q125" s="23"/>
      <c r="R125" s="23"/>
      <c r="AR125" s="23"/>
      <c r="AS125" s="23"/>
      <c r="AT125" s="23"/>
      <c r="AU125" s="23"/>
    </row>
    <row r="126" spans="8:47" x14ac:dyDescent="0.2">
      <c r="H126" s="23"/>
      <c r="N126" s="6"/>
      <c r="Q126" s="23"/>
      <c r="R126" s="23"/>
      <c r="AR126" s="23"/>
      <c r="AS126" s="23"/>
      <c r="AT126" s="23"/>
      <c r="AU126" s="23"/>
    </row>
    <row r="127" spans="8:47" x14ac:dyDescent="0.2">
      <c r="H127" s="23"/>
      <c r="N127" s="6"/>
      <c r="Q127" s="23"/>
      <c r="R127" s="23"/>
      <c r="AR127" s="23"/>
      <c r="AS127" s="23"/>
      <c r="AT127" s="23"/>
      <c r="AU127" s="23"/>
    </row>
    <row r="128" spans="8:47" x14ac:dyDescent="0.2">
      <c r="H128" s="23"/>
      <c r="N128" s="6"/>
      <c r="Q128" s="23"/>
      <c r="R128" s="23"/>
      <c r="AT128" s="23"/>
      <c r="AU128" s="24"/>
    </row>
    <row r="129" spans="8:47" x14ac:dyDescent="0.2">
      <c r="H129" s="23"/>
      <c r="N129" s="6"/>
      <c r="Q129" s="23"/>
      <c r="R129" s="23"/>
      <c r="AR129" s="23"/>
      <c r="AS129" s="23"/>
      <c r="AT129" s="23"/>
      <c r="AU129" s="23"/>
    </row>
    <row r="130" spans="8:47" x14ac:dyDescent="0.2">
      <c r="H130" s="23"/>
      <c r="N130" s="6"/>
      <c r="Q130" s="23"/>
      <c r="R130" s="23"/>
      <c r="AR130" s="23"/>
      <c r="AS130" s="23"/>
      <c r="AT130" s="23"/>
      <c r="AU130" s="23"/>
    </row>
    <row r="131" spans="8:47" x14ac:dyDescent="0.2">
      <c r="H131" s="23"/>
      <c r="N131" s="6"/>
      <c r="Q131" s="23"/>
      <c r="R131" s="23"/>
      <c r="AT131" s="23"/>
      <c r="AU131" s="24"/>
    </row>
    <row r="132" spans="8:47" x14ac:dyDescent="0.2">
      <c r="H132" s="23"/>
      <c r="N132" s="6"/>
      <c r="Q132" s="23"/>
      <c r="R132" s="23"/>
      <c r="AT132" s="23"/>
      <c r="AU132" s="24"/>
    </row>
    <row r="133" spans="8:47" x14ac:dyDescent="0.2">
      <c r="H133" s="23"/>
      <c r="N133" s="6"/>
      <c r="Q133" s="23"/>
      <c r="R133" s="23"/>
      <c r="AR133" s="23"/>
      <c r="AS133" s="23"/>
      <c r="AT133" s="23"/>
      <c r="AU133" s="23"/>
    </row>
    <row r="134" spans="8:47" x14ac:dyDescent="0.2">
      <c r="H134" s="23"/>
      <c r="N134" s="6"/>
      <c r="Q134" s="23"/>
      <c r="R134" s="23"/>
      <c r="AR134" s="23"/>
      <c r="AS134" s="23"/>
      <c r="AT134" s="23"/>
      <c r="AU134" s="23"/>
    </row>
    <row r="135" spans="8:47" x14ac:dyDescent="0.2">
      <c r="H135" s="23"/>
      <c r="N135" s="6"/>
      <c r="Q135" s="23"/>
      <c r="R135" s="23"/>
      <c r="AT135" s="23"/>
      <c r="AU135" s="24"/>
    </row>
    <row r="136" spans="8:47" x14ac:dyDescent="0.2">
      <c r="H136" s="23"/>
      <c r="N136" s="6"/>
      <c r="Q136" s="23"/>
      <c r="R136" s="23"/>
      <c r="AR136" s="23"/>
      <c r="AS136" s="23"/>
      <c r="AT136" s="23"/>
      <c r="AU136" s="23"/>
    </row>
    <row r="137" spans="8:47" x14ac:dyDescent="0.2">
      <c r="H137" s="23"/>
      <c r="N137" s="6"/>
      <c r="Q137" s="23"/>
      <c r="R137" s="23"/>
      <c r="AR137" s="23"/>
      <c r="AS137" s="23"/>
      <c r="AT137" s="23"/>
      <c r="AU137" s="23"/>
    </row>
    <row r="138" spans="8:47" x14ac:dyDescent="0.2">
      <c r="H138" s="23"/>
      <c r="N138" s="6"/>
      <c r="Q138" s="23"/>
      <c r="R138" s="23"/>
      <c r="AR138" s="23"/>
      <c r="AS138" s="23"/>
      <c r="AT138" s="23"/>
      <c r="AU138" s="23"/>
    </row>
    <row r="139" spans="8:47" x14ac:dyDescent="0.2">
      <c r="H139" s="23"/>
      <c r="N139" s="6"/>
      <c r="Q139" s="23"/>
      <c r="R139" s="23"/>
      <c r="AR139" s="23"/>
      <c r="AS139" s="23"/>
      <c r="AT139" s="23"/>
      <c r="AU139" s="23"/>
    </row>
    <row r="140" spans="8:47" x14ac:dyDescent="0.2">
      <c r="H140" s="23"/>
      <c r="N140" s="6"/>
      <c r="Q140" s="23"/>
      <c r="R140" s="23"/>
      <c r="AR140" s="23"/>
      <c r="AS140" s="23"/>
      <c r="AT140" s="23"/>
      <c r="AU140" s="23"/>
    </row>
    <row r="141" spans="8:47" x14ac:dyDescent="0.2">
      <c r="H141" s="23"/>
      <c r="N141" s="6"/>
      <c r="Q141" s="23"/>
      <c r="R141" s="23"/>
      <c r="AT141" s="23"/>
      <c r="AU141" s="24"/>
    </row>
    <row r="142" spans="8:47" x14ac:dyDescent="0.2">
      <c r="H142" s="23"/>
      <c r="N142" s="6"/>
      <c r="Q142" s="23"/>
      <c r="R142" s="23"/>
      <c r="AR142" s="23"/>
      <c r="AS142" s="23"/>
      <c r="AT142" s="23"/>
      <c r="AU142" s="23"/>
    </row>
    <row r="143" spans="8:47" x14ac:dyDescent="0.2">
      <c r="H143" s="23"/>
      <c r="N143" s="6"/>
      <c r="Q143" s="23"/>
      <c r="R143" s="23"/>
      <c r="AR143" s="23"/>
      <c r="AS143" s="23"/>
      <c r="AT143" s="23"/>
      <c r="AU143" s="23"/>
    </row>
    <row r="144" spans="8:47" x14ac:dyDescent="0.2">
      <c r="H144" s="23"/>
      <c r="N144" s="6"/>
      <c r="Q144" s="23"/>
      <c r="R144" s="23"/>
      <c r="AR144" s="23"/>
      <c r="AS144" s="23"/>
      <c r="AT144" s="23"/>
      <c r="AU144" s="23"/>
    </row>
    <row r="145" spans="8:47" x14ac:dyDescent="0.2">
      <c r="H145" s="23"/>
      <c r="N145" s="6"/>
      <c r="Q145" s="23"/>
      <c r="R145" s="23"/>
      <c r="AR145" s="23"/>
      <c r="AS145" s="23"/>
      <c r="AT145" s="23"/>
      <c r="AU145" s="23"/>
    </row>
    <row r="146" spans="8:47" x14ac:dyDescent="0.2">
      <c r="H146" s="23"/>
      <c r="N146" s="6"/>
      <c r="Q146" s="23"/>
      <c r="R146" s="23"/>
      <c r="AR146" s="23"/>
      <c r="AS146" s="23"/>
      <c r="AT146" s="23"/>
      <c r="AU146" s="23"/>
    </row>
    <row r="147" spans="8:47" x14ac:dyDescent="0.2">
      <c r="H147" s="23"/>
      <c r="N147" s="6"/>
      <c r="Q147" s="23"/>
      <c r="R147" s="23"/>
      <c r="AR147" s="23"/>
      <c r="AS147" s="23"/>
      <c r="AT147" s="23"/>
      <c r="AU147" s="23"/>
    </row>
    <row r="148" spans="8:47" x14ac:dyDescent="0.2">
      <c r="H148" s="23"/>
      <c r="N148" s="6"/>
      <c r="Q148" s="23"/>
      <c r="R148" s="23"/>
      <c r="AR148" s="23"/>
      <c r="AS148" s="23"/>
      <c r="AT148" s="23"/>
      <c r="AU148" s="23"/>
    </row>
    <row r="149" spans="8:47" x14ac:dyDescent="0.2">
      <c r="H149" s="23"/>
      <c r="N149" s="6"/>
      <c r="Q149" s="23"/>
      <c r="R149" s="23"/>
      <c r="AR149" s="23"/>
      <c r="AS149" s="23"/>
      <c r="AT149" s="23"/>
      <c r="AU149" s="23"/>
    </row>
    <row r="150" spans="8:47" x14ac:dyDescent="0.2">
      <c r="H150" s="23"/>
      <c r="N150" s="6"/>
      <c r="Q150" s="23"/>
      <c r="R150" s="23"/>
      <c r="AT150" s="23"/>
      <c r="AU150" s="24"/>
    </row>
    <row r="151" spans="8:47" x14ac:dyDescent="0.2">
      <c r="H151" s="23"/>
      <c r="N151" s="6"/>
      <c r="Q151" s="23"/>
      <c r="R151" s="23"/>
      <c r="AR151" s="23"/>
      <c r="AS151" s="23"/>
      <c r="AT151" s="23"/>
      <c r="AU151" s="23"/>
    </row>
    <row r="152" spans="8:47" x14ac:dyDescent="0.2">
      <c r="H152" s="23"/>
      <c r="N152" s="6"/>
      <c r="Q152" s="23"/>
      <c r="R152" s="23"/>
      <c r="AR152" s="23"/>
      <c r="AS152" s="23"/>
      <c r="AT152" s="23"/>
      <c r="AU152" s="23"/>
    </row>
    <row r="153" spans="8:47" x14ac:dyDescent="0.2">
      <c r="H153" s="23"/>
      <c r="N153" s="6"/>
      <c r="Q153" s="23"/>
      <c r="R153" s="23"/>
      <c r="AT153" s="23"/>
      <c r="AU153" s="24"/>
    </row>
    <row r="154" spans="8:47" x14ac:dyDescent="0.2">
      <c r="H154" s="23"/>
      <c r="N154" s="6"/>
      <c r="Q154" s="23"/>
      <c r="R154" s="23"/>
      <c r="AT154" s="23"/>
      <c r="AU154" s="24"/>
    </row>
    <row r="155" spans="8:47" x14ac:dyDescent="0.2">
      <c r="H155" s="23"/>
      <c r="N155" s="6"/>
      <c r="Q155" s="23"/>
      <c r="R155" s="23"/>
      <c r="AR155" s="23"/>
      <c r="AS155" s="23"/>
      <c r="AT155" s="23"/>
      <c r="AU155" s="23"/>
    </row>
    <row r="156" spans="8:47" x14ac:dyDescent="0.2">
      <c r="H156" s="23"/>
      <c r="N156" s="6"/>
      <c r="Q156" s="23"/>
      <c r="R156" s="23"/>
      <c r="AR156" s="23"/>
      <c r="AS156" s="23"/>
      <c r="AT156" s="23"/>
      <c r="AU156" s="23"/>
    </row>
    <row r="157" spans="8:47" x14ac:dyDescent="0.2">
      <c r="H157" s="23"/>
      <c r="N157" s="6"/>
      <c r="Q157" s="23"/>
      <c r="R157" s="23"/>
      <c r="AR157" s="23"/>
      <c r="AS157" s="23"/>
      <c r="AT157" s="23"/>
      <c r="AU157" s="23"/>
    </row>
    <row r="158" spans="8:47" x14ac:dyDescent="0.2">
      <c r="H158" s="23"/>
      <c r="N158" s="6"/>
      <c r="Q158" s="23"/>
      <c r="R158" s="23"/>
      <c r="AR158" s="23"/>
      <c r="AS158" s="23"/>
      <c r="AT158" s="23"/>
      <c r="AU158" s="23"/>
    </row>
    <row r="159" spans="8:47" x14ac:dyDescent="0.2">
      <c r="H159" s="23"/>
      <c r="N159" s="6"/>
      <c r="Q159" s="23"/>
      <c r="R159" s="23"/>
      <c r="AR159" s="23"/>
      <c r="AT159" s="23"/>
      <c r="AU159" s="23"/>
    </row>
    <row r="160" spans="8:47" x14ac:dyDescent="0.2">
      <c r="H160" s="23"/>
      <c r="N160" s="6"/>
      <c r="Q160" s="23"/>
      <c r="R160" s="23"/>
      <c r="AR160" s="23"/>
      <c r="AT160" s="23"/>
      <c r="AU160" s="23"/>
    </row>
    <row r="161" spans="8:47" x14ac:dyDescent="0.2">
      <c r="H161" s="23"/>
      <c r="N161" s="6"/>
      <c r="Q161" s="23"/>
      <c r="R161" s="23"/>
      <c r="AR161" s="23"/>
      <c r="AS161" s="23"/>
      <c r="AT161" s="23"/>
      <c r="AU161" s="23"/>
    </row>
    <row r="162" spans="8:47" x14ac:dyDescent="0.2">
      <c r="H162" s="23"/>
      <c r="N162" s="6"/>
      <c r="Q162" s="23"/>
      <c r="R162" s="23"/>
      <c r="AR162" s="23"/>
      <c r="AS162" s="23"/>
      <c r="AT162" s="23"/>
      <c r="AU162" s="23"/>
    </row>
    <row r="163" spans="8:47" x14ac:dyDescent="0.2">
      <c r="H163" s="23"/>
      <c r="N163" s="6"/>
      <c r="Q163" s="23"/>
      <c r="R163" s="23"/>
    </row>
    <row r="164" spans="8:47" x14ac:dyDescent="0.2">
      <c r="H164" s="23"/>
      <c r="N164" s="6"/>
      <c r="Q164" s="23"/>
      <c r="R164" s="23"/>
      <c r="AR164" s="23"/>
      <c r="AS164" s="23"/>
      <c r="AT164" s="23"/>
      <c r="AU164" s="23"/>
    </row>
    <row r="165" spans="8:47" x14ac:dyDescent="0.2">
      <c r="H165" s="23"/>
      <c r="N165" s="6"/>
      <c r="Q165" s="23"/>
      <c r="R165" s="23"/>
      <c r="AR165" s="23"/>
      <c r="AS165" s="23"/>
      <c r="AT165" s="23"/>
      <c r="AU165" s="23"/>
    </row>
    <row r="166" spans="8:47" x14ac:dyDescent="0.2">
      <c r="H166" s="23"/>
      <c r="N166" s="6"/>
      <c r="Q166" s="23"/>
      <c r="R166" s="23"/>
      <c r="AR166" s="23"/>
      <c r="AT166" s="23"/>
      <c r="AU166" s="23"/>
    </row>
    <row r="167" spans="8:47" x14ac:dyDescent="0.2">
      <c r="H167" s="23"/>
      <c r="N167" s="6"/>
      <c r="Q167" s="23"/>
      <c r="R167" s="23"/>
      <c r="AR167" s="23"/>
      <c r="AS167" s="23"/>
      <c r="AT167" s="23"/>
      <c r="AU167" s="23"/>
    </row>
    <row r="168" spans="8:47" x14ac:dyDescent="0.2">
      <c r="H168" s="23"/>
      <c r="N168" s="6"/>
      <c r="Q168" s="23"/>
      <c r="R168" s="23"/>
      <c r="AR168" s="23"/>
      <c r="AS168" s="23"/>
      <c r="AT168" s="23"/>
      <c r="AU168" s="23"/>
    </row>
    <row r="169" spans="8:47" x14ac:dyDescent="0.2">
      <c r="H169" s="23"/>
      <c r="N169" s="6"/>
      <c r="Q169" s="23"/>
      <c r="R169" s="23"/>
      <c r="AR169" s="23"/>
      <c r="AS169" s="23"/>
      <c r="AT169" s="23"/>
      <c r="AU169" s="23"/>
    </row>
    <row r="170" spans="8:47" x14ac:dyDescent="0.2">
      <c r="H170" s="23"/>
      <c r="N170" s="6"/>
      <c r="Q170" s="23"/>
      <c r="R170" s="23"/>
      <c r="AR170" s="23"/>
      <c r="AS170" s="23"/>
      <c r="AT170" s="23"/>
      <c r="AU170" s="23"/>
    </row>
    <row r="171" spans="8:47" x14ac:dyDescent="0.2">
      <c r="H171" s="23"/>
      <c r="N171" s="6"/>
      <c r="Q171" s="23"/>
      <c r="R171" s="23"/>
      <c r="AR171" s="23"/>
      <c r="AS171" s="23"/>
      <c r="AT171" s="23"/>
      <c r="AU171" s="23"/>
    </row>
    <row r="172" spans="8:47" x14ac:dyDescent="0.2">
      <c r="H172" s="23"/>
      <c r="N172" s="6"/>
      <c r="Q172" s="23"/>
      <c r="R172" s="23"/>
      <c r="AR172" s="23"/>
      <c r="AS172" s="23"/>
      <c r="AT172" s="23"/>
      <c r="AU172" s="23"/>
    </row>
    <row r="173" spans="8:47" x14ac:dyDescent="0.2">
      <c r="H173" s="23"/>
      <c r="N173" s="6"/>
      <c r="Q173" s="23"/>
      <c r="R173" s="23"/>
      <c r="AR173" s="23"/>
      <c r="AS173" s="23"/>
      <c r="AT173" s="23"/>
      <c r="AU173" s="23"/>
    </row>
    <row r="174" spans="8:47" x14ac:dyDescent="0.2">
      <c r="H174" s="23"/>
      <c r="N174" s="6"/>
      <c r="Q174" s="23"/>
      <c r="R174" s="23"/>
      <c r="AR174" s="23"/>
      <c r="AT174" s="23"/>
      <c r="AU174" s="23"/>
    </row>
    <row r="175" spans="8:47" x14ac:dyDescent="0.2">
      <c r="H175" s="23"/>
      <c r="N175" s="6"/>
      <c r="Q175" s="23"/>
      <c r="R175" s="23"/>
    </row>
    <row r="176" spans="8:47" x14ac:dyDescent="0.2">
      <c r="H176" s="23"/>
      <c r="N176" s="6"/>
      <c r="Q176" s="23"/>
      <c r="R176" s="23"/>
      <c r="AR176" s="23"/>
      <c r="AS176" s="23"/>
      <c r="AT176" s="23"/>
      <c r="AU176" s="23"/>
    </row>
    <row r="177" spans="8:47" x14ac:dyDescent="0.2">
      <c r="H177" s="23"/>
      <c r="N177" s="6"/>
      <c r="Q177" s="23"/>
      <c r="R177" s="23"/>
      <c r="AR177" s="23"/>
      <c r="AS177" s="23"/>
      <c r="AT177" s="23"/>
      <c r="AU177" s="23"/>
    </row>
    <row r="178" spans="8:47" x14ac:dyDescent="0.2">
      <c r="H178" s="23"/>
      <c r="N178" s="6"/>
      <c r="Q178" s="23"/>
      <c r="R178" s="23"/>
      <c r="AR178" s="23"/>
      <c r="AS178" s="23"/>
      <c r="AT178" s="23"/>
      <c r="AU178" s="23"/>
    </row>
    <row r="179" spans="8:47" x14ac:dyDescent="0.2">
      <c r="H179" s="23"/>
      <c r="N179" s="6"/>
      <c r="Q179" s="23"/>
      <c r="R179" s="23"/>
      <c r="AR179" s="23"/>
      <c r="AS179" s="23"/>
      <c r="AT179" s="23"/>
      <c r="AU179" s="23"/>
    </row>
    <row r="180" spans="8:47" x14ac:dyDescent="0.2">
      <c r="H180" s="23"/>
      <c r="N180" s="6"/>
      <c r="Q180" s="23"/>
      <c r="R180" s="23"/>
      <c r="AR180" s="23"/>
      <c r="AS180" s="23"/>
      <c r="AT180" s="23"/>
      <c r="AU180" s="23"/>
    </row>
    <row r="181" spans="8:47" x14ac:dyDescent="0.2">
      <c r="H181" s="23"/>
      <c r="N181" s="6"/>
      <c r="Q181" s="23"/>
      <c r="R181" s="23"/>
      <c r="AR181" s="23"/>
      <c r="AS181" s="23"/>
      <c r="AT181" s="23"/>
      <c r="AU181" s="23"/>
    </row>
    <row r="182" spans="8:47" x14ac:dyDescent="0.2">
      <c r="H182" s="23"/>
      <c r="N182" s="6"/>
      <c r="Q182" s="23"/>
      <c r="R182" s="23"/>
      <c r="AR182" s="23"/>
      <c r="AT182" s="23"/>
      <c r="AU182" s="23"/>
    </row>
    <row r="183" spans="8:47" x14ac:dyDescent="0.2">
      <c r="H183" s="23"/>
      <c r="N183" s="6"/>
      <c r="Q183" s="23"/>
      <c r="R183" s="23"/>
      <c r="AR183" s="23"/>
      <c r="AS183" s="23"/>
      <c r="AT183" s="23"/>
      <c r="AU183" s="23"/>
    </row>
    <row r="184" spans="8:47" x14ac:dyDescent="0.2">
      <c r="H184" s="23"/>
      <c r="N184" s="6"/>
      <c r="Q184" s="23"/>
      <c r="R184" s="23"/>
      <c r="AR184" s="23"/>
      <c r="AS184" s="23"/>
      <c r="AT184" s="23"/>
      <c r="AU184" s="23"/>
    </row>
    <row r="185" spans="8:47" x14ac:dyDescent="0.2">
      <c r="H185" s="23"/>
      <c r="N185" s="6"/>
      <c r="Q185" s="23"/>
      <c r="R185" s="23"/>
      <c r="AR185" s="23"/>
      <c r="AT185" s="23"/>
      <c r="AU185" s="23"/>
    </row>
    <row r="186" spans="8:47" x14ac:dyDescent="0.2">
      <c r="H186" s="23"/>
      <c r="N186" s="6"/>
      <c r="Q186" s="23"/>
      <c r="R186" s="23"/>
      <c r="AR186" s="23"/>
      <c r="AS186" s="23"/>
      <c r="AT186" s="23"/>
      <c r="AU186" s="23"/>
    </row>
    <row r="187" spans="8:47" x14ac:dyDescent="0.2">
      <c r="H187" s="23"/>
      <c r="N187" s="6"/>
      <c r="Q187" s="23"/>
      <c r="R187" s="23"/>
      <c r="AR187" s="23"/>
      <c r="AS187" s="23"/>
      <c r="AT187" s="23"/>
      <c r="AU187" s="23"/>
    </row>
    <row r="188" spans="8:47" x14ac:dyDescent="0.2">
      <c r="H188" s="23"/>
      <c r="N188" s="6"/>
      <c r="Q188" s="23"/>
      <c r="R188" s="23"/>
      <c r="AR188" s="23"/>
      <c r="AT188" s="23"/>
      <c r="AU188" s="23"/>
    </row>
    <row r="189" spans="8:47" x14ac:dyDescent="0.2">
      <c r="H189" s="23"/>
      <c r="N189" s="6"/>
      <c r="Q189" s="23"/>
      <c r="R189" s="23"/>
      <c r="AR189" s="23"/>
      <c r="AS189" s="23"/>
      <c r="AT189" s="23"/>
      <c r="AU189" s="23"/>
    </row>
    <row r="190" spans="8:47" x14ac:dyDescent="0.2">
      <c r="H190" s="23"/>
      <c r="N190" s="6"/>
      <c r="Q190" s="23"/>
      <c r="R190" s="23"/>
      <c r="AR190" s="23"/>
      <c r="AS190" s="23"/>
      <c r="AT190" s="23"/>
      <c r="AU190" s="23"/>
    </row>
    <row r="191" spans="8:47" x14ac:dyDescent="0.2">
      <c r="H191" s="23"/>
      <c r="N191" s="6"/>
      <c r="Q191" s="23"/>
      <c r="R191" s="23"/>
      <c r="AR191" s="23"/>
      <c r="AS191" s="23"/>
      <c r="AT191" s="23"/>
      <c r="AU191" s="23"/>
    </row>
    <row r="192" spans="8:47" x14ac:dyDescent="0.2">
      <c r="H192" s="23"/>
      <c r="N192" s="6"/>
      <c r="Q192" s="23"/>
      <c r="R192" s="23"/>
      <c r="AR192" s="23"/>
      <c r="AS192" s="23"/>
      <c r="AT192" s="23"/>
      <c r="AU192" s="23"/>
    </row>
    <row r="193" spans="8:47" x14ac:dyDescent="0.2">
      <c r="H193" s="23"/>
      <c r="N193" s="6"/>
      <c r="Q193" s="23"/>
      <c r="R193" s="23"/>
      <c r="AR193" s="23"/>
      <c r="AS193" s="23"/>
      <c r="AT193" s="23"/>
      <c r="AU193" s="23"/>
    </row>
    <row r="194" spans="8:47" x14ac:dyDescent="0.2">
      <c r="H194" s="23"/>
      <c r="N194" s="6"/>
      <c r="Q194" s="23"/>
      <c r="R194" s="23"/>
      <c r="AR194" s="23"/>
      <c r="AS194" s="23"/>
      <c r="AT194" s="23"/>
      <c r="AU194" s="23"/>
    </row>
    <row r="195" spans="8:47" x14ac:dyDescent="0.2">
      <c r="H195" s="23"/>
      <c r="N195" s="6"/>
      <c r="Q195" s="23"/>
      <c r="R195" s="23"/>
      <c r="AR195" s="23"/>
      <c r="AS195" s="23"/>
      <c r="AT195" s="23"/>
      <c r="AU195" s="23"/>
    </row>
    <row r="196" spans="8:47" x14ac:dyDescent="0.2">
      <c r="H196" s="23"/>
      <c r="N196" s="6"/>
      <c r="Q196" s="23"/>
      <c r="R196" s="23"/>
      <c r="AR196" s="23"/>
      <c r="AS196" s="23"/>
      <c r="AT196" s="23"/>
      <c r="AU196" s="23"/>
    </row>
    <row r="197" spans="8:47" x14ac:dyDescent="0.2">
      <c r="H197" s="23"/>
      <c r="N197" s="6"/>
      <c r="Q197" s="23"/>
      <c r="R197" s="23"/>
      <c r="AR197" s="23"/>
      <c r="AS197" s="23"/>
      <c r="AT197" s="23"/>
      <c r="AU197" s="23"/>
    </row>
    <row r="198" spans="8:47" x14ac:dyDescent="0.2">
      <c r="H198" s="23"/>
      <c r="N198" s="6"/>
      <c r="Q198" s="23"/>
      <c r="R198" s="23"/>
      <c r="AR198" s="23"/>
      <c r="AS198" s="23"/>
      <c r="AT198" s="23"/>
      <c r="AU198" s="23"/>
    </row>
    <row r="199" spans="8:47" x14ac:dyDescent="0.2">
      <c r="H199" s="23"/>
      <c r="N199" s="6"/>
      <c r="Q199" s="23"/>
      <c r="R199" s="23"/>
      <c r="AR199" s="23"/>
      <c r="AT199" s="23"/>
      <c r="AU199" s="23"/>
    </row>
    <row r="200" spans="8:47" x14ac:dyDescent="0.2">
      <c r="H200" s="23"/>
      <c r="N200" s="6"/>
      <c r="Q200" s="23"/>
      <c r="R200" s="23"/>
      <c r="AT200" s="23"/>
      <c r="AU200" s="24"/>
    </row>
    <row r="201" spans="8:47" x14ac:dyDescent="0.2">
      <c r="H201" s="23"/>
      <c r="N201" s="6"/>
      <c r="Q201" s="23"/>
      <c r="R201" s="23"/>
      <c r="AT201" s="23"/>
      <c r="AU201" s="24"/>
    </row>
    <row r="202" spans="8:47" x14ac:dyDescent="0.2">
      <c r="H202" s="23"/>
      <c r="N202" s="6"/>
      <c r="Q202" s="23"/>
      <c r="R202" s="23"/>
      <c r="AR202" s="23"/>
      <c r="AS202" s="23"/>
      <c r="AT202" s="23"/>
      <c r="AU202" s="23"/>
    </row>
    <row r="203" spans="8:47" x14ac:dyDescent="0.2">
      <c r="H203" s="23"/>
      <c r="N203" s="6"/>
      <c r="Q203" s="23"/>
      <c r="R203" s="23"/>
      <c r="AR203" s="23"/>
      <c r="AS203" s="23"/>
      <c r="AT203" s="23"/>
      <c r="AU203" s="23"/>
    </row>
    <row r="204" spans="8:47" x14ac:dyDescent="0.2">
      <c r="H204" s="23"/>
      <c r="N204" s="6"/>
      <c r="Q204" s="23"/>
      <c r="R204" s="23"/>
      <c r="AR204" s="23"/>
      <c r="AS204" s="23"/>
      <c r="AT204" s="23"/>
      <c r="AU204" s="23"/>
    </row>
    <row r="205" spans="8:47" x14ac:dyDescent="0.2">
      <c r="H205" s="23"/>
      <c r="N205" s="6"/>
      <c r="Q205" s="23"/>
      <c r="R205" s="23"/>
      <c r="AR205" s="23"/>
      <c r="AS205" s="23"/>
      <c r="AT205" s="23"/>
      <c r="AU205" s="23"/>
    </row>
    <row r="206" spans="8:47" x14ac:dyDescent="0.2">
      <c r="H206" s="23"/>
      <c r="N206" s="6"/>
      <c r="Q206" s="23"/>
      <c r="R206" s="23"/>
      <c r="AT206" s="23"/>
      <c r="AU206" s="24"/>
    </row>
    <row r="207" spans="8:47" x14ac:dyDescent="0.2">
      <c r="H207" s="23"/>
      <c r="N207" s="6"/>
      <c r="Q207" s="23"/>
      <c r="R207" s="23"/>
      <c r="AR207" s="23"/>
      <c r="AS207" s="23"/>
      <c r="AT207" s="23"/>
      <c r="AU207" s="23"/>
    </row>
    <row r="208" spans="8:47" x14ac:dyDescent="0.2">
      <c r="H208" s="23"/>
      <c r="N208" s="6"/>
      <c r="Q208" s="23"/>
      <c r="R208" s="23"/>
      <c r="AR208" s="23"/>
      <c r="AS208" s="23"/>
      <c r="AT208" s="23"/>
      <c r="AU208" s="23"/>
    </row>
    <row r="209" spans="8:47" x14ac:dyDescent="0.2">
      <c r="H209" s="23"/>
      <c r="N209" s="6"/>
      <c r="Q209" s="23"/>
      <c r="R209" s="23"/>
      <c r="AR209" s="23"/>
      <c r="AS209" s="23"/>
      <c r="AT209" s="23"/>
      <c r="AU209" s="23"/>
    </row>
    <row r="210" spans="8:47" x14ac:dyDescent="0.2">
      <c r="H210" s="23"/>
      <c r="N210" s="6"/>
      <c r="Q210" s="23"/>
      <c r="R210" s="23"/>
      <c r="AR210" s="23"/>
      <c r="AS210" s="23"/>
      <c r="AT210" s="23"/>
      <c r="AU210" s="23"/>
    </row>
    <row r="211" spans="8:47" x14ac:dyDescent="0.2">
      <c r="H211" s="23"/>
      <c r="N211" s="6"/>
      <c r="Q211" s="23"/>
      <c r="R211" s="23"/>
      <c r="AR211" s="23"/>
      <c r="AS211" s="23"/>
      <c r="AT211" s="23"/>
      <c r="AU211" s="23"/>
    </row>
    <row r="212" spans="8:47" x14ac:dyDescent="0.2">
      <c r="H212" s="23"/>
      <c r="N212" s="6"/>
      <c r="Q212" s="23"/>
      <c r="R212" s="23"/>
      <c r="AR212" s="23"/>
      <c r="AS212" s="23"/>
      <c r="AT212" s="23"/>
      <c r="AU212" s="23"/>
    </row>
    <row r="213" spans="8:47" x14ac:dyDescent="0.2">
      <c r="H213" s="23"/>
      <c r="N213" s="6"/>
      <c r="Q213" s="23"/>
      <c r="R213" s="23"/>
      <c r="AR213" s="23"/>
      <c r="AS213" s="23"/>
      <c r="AT213" s="23"/>
      <c r="AU213" s="23"/>
    </row>
    <row r="214" spans="8:47" x14ac:dyDescent="0.2">
      <c r="H214" s="23"/>
      <c r="N214" s="6"/>
      <c r="Q214" s="23"/>
      <c r="R214" s="23"/>
      <c r="AR214" s="23"/>
      <c r="AS214" s="23"/>
      <c r="AT214" s="23"/>
      <c r="AU214" s="23"/>
    </row>
    <row r="215" spans="8:47" x14ac:dyDescent="0.2">
      <c r="H215" s="23"/>
      <c r="N215" s="6"/>
      <c r="Q215" s="23"/>
      <c r="R215" s="23"/>
      <c r="AR215" s="23"/>
      <c r="AS215" s="23"/>
      <c r="AT215" s="23"/>
      <c r="AU215" s="23"/>
    </row>
    <row r="216" spans="8:47" x14ac:dyDescent="0.2">
      <c r="H216" s="23"/>
      <c r="N216" s="6"/>
      <c r="Q216" s="23"/>
      <c r="R216" s="23"/>
      <c r="AR216" s="23"/>
      <c r="AT216" s="23"/>
      <c r="AU216" s="23"/>
    </row>
    <row r="217" spans="8:47" x14ac:dyDescent="0.2">
      <c r="H217" s="23"/>
      <c r="N217" s="6"/>
      <c r="Q217" s="23"/>
      <c r="R217" s="23"/>
      <c r="AR217" s="23"/>
      <c r="AS217" s="23"/>
      <c r="AT217" s="23"/>
      <c r="AU217" s="23"/>
    </row>
    <row r="218" spans="8:47" x14ac:dyDescent="0.2">
      <c r="H218" s="23"/>
      <c r="N218" s="6"/>
      <c r="Q218" s="23"/>
      <c r="R218" s="23"/>
      <c r="AR218" s="23"/>
      <c r="AS218" s="23"/>
      <c r="AT218" s="23"/>
      <c r="AU218" s="23"/>
    </row>
    <row r="219" spans="8:47" x14ac:dyDescent="0.2">
      <c r="H219" s="23"/>
      <c r="N219" s="6"/>
      <c r="Q219" s="23"/>
      <c r="R219" s="23"/>
      <c r="AR219" s="23"/>
      <c r="AS219" s="23"/>
      <c r="AT219" s="23"/>
      <c r="AU219" s="23"/>
    </row>
    <row r="220" spans="8:47" x14ac:dyDescent="0.2">
      <c r="H220" s="23"/>
      <c r="N220" s="6"/>
      <c r="Q220" s="23"/>
      <c r="R220" s="23"/>
      <c r="AR220" s="23"/>
      <c r="AS220" s="23"/>
      <c r="AT220" s="23"/>
      <c r="AU220" s="23"/>
    </row>
    <row r="221" spans="8:47" x14ac:dyDescent="0.2">
      <c r="H221" s="23"/>
      <c r="N221" s="6"/>
      <c r="Q221" s="23"/>
      <c r="R221" s="23"/>
      <c r="AR221" s="23"/>
      <c r="AS221" s="23"/>
      <c r="AT221" s="23"/>
      <c r="AU221" s="23"/>
    </row>
    <row r="222" spans="8:47" x14ac:dyDescent="0.2">
      <c r="H222" s="23"/>
      <c r="N222" s="6"/>
      <c r="Q222" s="23"/>
      <c r="R222" s="23"/>
      <c r="AR222" s="23"/>
      <c r="AS222" s="23"/>
      <c r="AT222" s="23"/>
      <c r="AU222" s="23"/>
    </row>
    <row r="223" spans="8:47" x14ac:dyDescent="0.2">
      <c r="H223" s="23"/>
      <c r="N223" s="6"/>
      <c r="Q223" s="23"/>
      <c r="R223" s="23"/>
      <c r="AR223" s="23"/>
      <c r="AS223" s="23"/>
      <c r="AT223" s="23"/>
      <c r="AU223" s="23"/>
    </row>
    <row r="224" spans="8:47" x14ac:dyDescent="0.2">
      <c r="H224" s="23"/>
      <c r="N224" s="6"/>
      <c r="Q224" s="23"/>
      <c r="R224" s="23"/>
      <c r="AR224" s="23"/>
      <c r="AS224" s="23"/>
      <c r="AT224" s="23"/>
      <c r="AU224" s="23"/>
    </row>
    <row r="225" spans="8:47" x14ac:dyDescent="0.2">
      <c r="H225" s="23"/>
      <c r="N225" s="6"/>
      <c r="Q225" s="23"/>
      <c r="R225" s="23"/>
      <c r="AR225" s="23"/>
      <c r="AS225" s="23"/>
      <c r="AT225" s="23"/>
      <c r="AU225" s="23"/>
    </row>
    <row r="226" spans="8:47" x14ac:dyDescent="0.2">
      <c r="H226" s="23"/>
      <c r="N226" s="6"/>
      <c r="Q226" s="23"/>
      <c r="R226" s="23"/>
      <c r="AT226" s="23"/>
      <c r="AU226" s="23"/>
    </row>
    <row r="227" spans="8:47" x14ac:dyDescent="0.2">
      <c r="H227" s="23"/>
      <c r="N227" s="6"/>
      <c r="Q227" s="23"/>
      <c r="R227" s="23"/>
      <c r="AR227" s="23"/>
      <c r="AS227" s="23"/>
      <c r="AT227" s="23"/>
      <c r="AU227" s="23"/>
    </row>
    <row r="228" spans="8:47" x14ac:dyDescent="0.2">
      <c r="H228" s="23"/>
      <c r="N228" s="6"/>
      <c r="Q228" s="23"/>
      <c r="R228" s="23"/>
      <c r="AT228" s="23"/>
      <c r="AU228" s="24"/>
    </row>
    <row r="229" spans="8:47" x14ac:dyDescent="0.2">
      <c r="H229" s="23"/>
      <c r="N229" s="6"/>
      <c r="Q229" s="23"/>
      <c r="R229" s="23"/>
      <c r="AR229" s="23"/>
      <c r="AS229" s="23"/>
      <c r="AT229" s="23"/>
      <c r="AU229" s="23"/>
    </row>
    <row r="230" spans="8:47" x14ac:dyDescent="0.2">
      <c r="H230" s="23"/>
      <c r="N230" s="6"/>
      <c r="Q230" s="23"/>
      <c r="R230" s="23"/>
      <c r="AR230" s="23"/>
      <c r="AS230" s="23"/>
      <c r="AT230" s="23"/>
      <c r="AU230" s="23"/>
    </row>
    <row r="231" spans="8:47" x14ac:dyDescent="0.2">
      <c r="H231" s="23"/>
      <c r="N231" s="6"/>
      <c r="Q231" s="23"/>
      <c r="R231" s="23"/>
      <c r="AR231" s="23"/>
      <c r="AS231" s="23"/>
      <c r="AT231" s="23"/>
      <c r="AU231" s="23"/>
    </row>
    <row r="232" spans="8:47" x14ac:dyDescent="0.2">
      <c r="H232" s="23"/>
      <c r="N232" s="6"/>
      <c r="Q232" s="23"/>
      <c r="R232" s="23"/>
      <c r="AR232" s="23"/>
      <c r="AS232" s="23"/>
      <c r="AT232" s="23"/>
      <c r="AU232" s="23"/>
    </row>
    <row r="233" spans="8:47" x14ac:dyDescent="0.2">
      <c r="H233" s="23"/>
      <c r="N233" s="6"/>
      <c r="Q233" s="23"/>
      <c r="R233" s="23"/>
      <c r="AR233" s="23"/>
      <c r="AS233" s="23"/>
      <c r="AT233" s="23"/>
    </row>
    <row r="234" spans="8:47" x14ac:dyDescent="0.2">
      <c r="H234" s="23"/>
      <c r="N234" s="6"/>
      <c r="Q234" s="23"/>
      <c r="R234" s="23"/>
      <c r="AR234" s="23"/>
      <c r="AS234" s="23"/>
      <c r="AT234" s="23"/>
      <c r="AU234" s="23"/>
    </row>
    <row r="235" spans="8:47" x14ac:dyDescent="0.2">
      <c r="H235" s="23"/>
      <c r="N235" s="6"/>
      <c r="Q235" s="23"/>
      <c r="R235" s="23"/>
      <c r="AR235" s="23"/>
      <c r="AS235" s="23"/>
      <c r="AT235" s="23"/>
      <c r="AU235" s="23"/>
    </row>
    <row r="236" spans="8:47" x14ac:dyDescent="0.2">
      <c r="H236" s="23"/>
      <c r="N236" s="6"/>
      <c r="Q236" s="23"/>
      <c r="R236" s="23"/>
      <c r="AR236" s="23"/>
      <c r="AS236" s="23"/>
      <c r="AT236" s="23"/>
      <c r="AU236" s="23"/>
    </row>
    <row r="237" spans="8:47" x14ac:dyDescent="0.2">
      <c r="H237" s="23"/>
      <c r="N237" s="6"/>
      <c r="Q237" s="23"/>
      <c r="R237" s="23"/>
      <c r="AR237" s="23"/>
      <c r="AS237" s="23"/>
      <c r="AT237" s="23"/>
      <c r="AU237" s="23"/>
    </row>
    <row r="238" spans="8:47" x14ac:dyDescent="0.2">
      <c r="H238" s="23"/>
      <c r="N238" s="6"/>
      <c r="Q238" s="23"/>
      <c r="R238" s="23"/>
      <c r="AR238" s="23"/>
      <c r="AS238" s="23"/>
      <c r="AT238" s="23"/>
      <c r="AU238" s="23"/>
    </row>
    <row r="239" spans="8:47" x14ac:dyDescent="0.2">
      <c r="H239" s="23"/>
      <c r="N239" s="6"/>
      <c r="Q239" s="23"/>
      <c r="R239" s="23"/>
      <c r="AR239" s="23"/>
      <c r="AS239" s="23"/>
      <c r="AT239" s="23"/>
      <c r="AU239" s="23"/>
    </row>
    <row r="240" spans="8:47" x14ac:dyDescent="0.2">
      <c r="H240" s="23"/>
      <c r="N240" s="6"/>
      <c r="Q240" s="23"/>
      <c r="R240" s="23"/>
      <c r="AR240" s="23"/>
      <c r="AS240" s="23"/>
      <c r="AT240" s="23"/>
      <c r="AU240" s="23"/>
    </row>
    <row r="241" spans="8:47" x14ac:dyDescent="0.2">
      <c r="H241" s="23"/>
      <c r="N241" s="6"/>
      <c r="Q241" s="23"/>
      <c r="R241" s="23"/>
      <c r="AR241" s="23"/>
      <c r="AS241" s="23"/>
      <c r="AT241" s="23"/>
      <c r="AU241" s="23"/>
    </row>
    <row r="242" spans="8:47" x14ac:dyDescent="0.2">
      <c r="H242" s="23"/>
      <c r="N242" s="6"/>
      <c r="Q242" s="23"/>
      <c r="R242" s="23"/>
      <c r="AR242" s="23"/>
      <c r="AT242" s="23"/>
      <c r="AU242" s="23"/>
    </row>
    <row r="243" spans="8:47" x14ac:dyDescent="0.2">
      <c r="H243" s="23"/>
      <c r="N243" s="6"/>
      <c r="Q243" s="23"/>
      <c r="R243" s="23"/>
      <c r="AR243" s="23"/>
      <c r="AS243" s="23"/>
      <c r="AT243" s="23"/>
      <c r="AU243" s="23"/>
    </row>
    <row r="244" spans="8:47" x14ac:dyDescent="0.2">
      <c r="H244" s="23"/>
      <c r="N244" s="6"/>
      <c r="Q244" s="23"/>
      <c r="R244" s="23"/>
      <c r="AR244" s="23"/>
      <c r="AT244" s="23"/>
      <c r="AU244" s="23"/>
    </row>
    <row r="245" spans="8:47" x14ac:dyDescent="0.2">
      <c r="H245" s="23"/>
      <c r="N245" s="6"/>
      <c r="Q245" s="23"/>
      <c r="R245" s="23"/>
      <c r="AT245" s="23"/>
      <c r="AU245" s="24"/>
    </row>
    <row r="246" spans="8:47" x14ac:dyDescent="0.2">
      <c r="H246" s="23"/>
      <c r="N246" s="6"/>
      <c r="Q246" s="23"/>
      <c r="R246" s="23"/>
      <c r="AR246" s="23"/>
      <c r="AS246" s="23"/>
      <c r="AT246" s="23"/>
      <c r="AU246" s="23"/>
    </row>
    <row r="247" spans="8:47" x14ac:dyDescent="0.2">
      <c r="H247" s="23"/>
      <c r="N247" s="6"/>
      <c r="Q247" s="23"/>
      <c r="R247" s="23"/>
      <c r="AR247" s="23"/>
      <c r="AS247" s="23"/>
      <c r="AT247" s="23"/>
      <c r="AU247" s="23"/>
    </row>
    <row r="248" spans="8:47" x14ac:dyDescent="0.2">
      <c r="H248" s="23"/>
      <c r="N248" s="6"/>
      <c r="Q248" s="23"/>
      <c r="R248" s="23"/>
      <c r="AR248" s="23"/>
      <c r="AS248" s="23"/>
      <c r="AT248" s="23"/>
      <c r="AU248" s="23"/>
    </row>
    <row r="249" spans="8:47" x14ac:dyDescent="0.2">
      <c r="H249" s="23"/>
      <c r="N249" s="6"/>
      <c r="Q249" s="23"/>
      <c r="R249" s="23"/>
      <c r="AR249" s="23"/>
      <c r="AS249" s="23"/>
      <c r="AT249" s="23"/>
      <c r="AU249" s="23"/>
    </row>
    <row r="250" spans="8:47" x14ac:dyDescent="0.2">
      <c r="H250" s="23"/>
      <c r="N250" s="6"/>
      <c r="Q250" s="23"/>
      <c r="R250" s="23"/>
      <c r="AR250" s="23"/>
      <c r="AS250" s="23"/>
      <c r="AT250" s="23"/>
      <c r="AU250" s="23"/>
    </row>
    <row r="251" spans="8:47" x14ac:dyDescent="0.2">
      <c r="H251" s="23"/>
      <c r="N251" s="6"/>
      <c r="Q251" s="23"/>
      <c r="R251" s="23"/>
      <c r="AR251" s="23"/>
      <c r="AS251" s="23"/>
      <c r="AT251" s="23"/>
      <c r="AU251" s="23"/>
    </row>
    <row r="252" spans="8:47" x14ac:dyDescent="0.2">
      <c r="H252" s="23"/>
      <c r="N252" s="6"/>
      <c r="Q252" s="23"/>
      <c r="R252" s="23"/>
      <c r="AR252" s="23"/>
      <c r="AS252" s="23"/>
      <c r="AT252" s="23"/>
      <c r="AU252" s="23"/>
    </row>
    <row r="253" spans="8:47" x14ac:dyDescent="0.2">
      <c r="H253" s="23"/>
      <c r="N253" s="6"/>
      <c r="Q253" s="23"/>
      <c r="R253" s="23"/>
      <c r="AR253" s="23"/>
      <c r="AS253" s="23"/>
      <c r="AT253" s="23"/>
      <c r="AU253" s="23"/>
    </row>
    <row r="254" spans="8:47" x14ac:dyDescent="0.2">
      <c r="H254" s="23"/>
      <c r="N254" s="6"/>
      <c r="Q254" s="23"/>
      <c r="R254" s="23"/>
      <c r="AR254" s="23"/>
      <c r="AS254" s="23"/>
      <c r="AT254" s="23"/>
      <c r="AU254" s="23"/>
    </row>
    <row r="255" spans="8:47" x14ac:dyDescent="0.2">
      <c r="H255" s="23"/>
      <c r="N255" s="6"/>
      <c r="Q255" s="23"/>
      <c r="R255" s="23"/>
      <c r="AR255" s="23"/>
      <c r="AS255" s="23"/>
      <c r="AT255" s="23"/>
      <c r="AU255" s="23"/>
    </row>
    <row r="256" spans="8:47" x14ac:dyDescent="0.2">
      <c r="H256" s="23"/>
      <c r="N256" s="6"/>
      <c r="Q256" s="23"/>
      <c r="R256" s="23"/>
      <c r="AR256" s="23"/>
      <c r="AS256" s="23"/>
      <c r="AT256" s="23"/>
      <c r="AU256" s="23"/>
    </row>
    <row r="257" spans="8:47" x14ac:dyDescent="0.2">
      <c r="H257" s="23"/>
      <c r="N257" s="6"/>
      <c r="Q257" s="23"/>
      <c r="R257" s="23"/>
      <c r="AR257" s="23"/>
      <c r="AS257" s="23"/>
      <c r="AT257" s="23"/>
      <c r="AU257" s="23"/>
    </row>
    <row r="258" spans="8:47" x14ac:dyDescent="0.2">
      <c r="H258" s="23"/>
      <c r="N258" s="6"/>
      <c r="Q258" s="23"/>
      <c r="R258" s="23"/>
      <c r="AR258" s="23"/>
      <c r="AS258" s="23"/>
      <c r="AT258" s="23"/>
      <c r="AU258" s="23"/>
    </row>
    <row r="259" spans="8:47" x14ac:dyDescent="0.2">
      <c r="H259" s="23"/>
      <c r="N259" s="6"/>
      <c r="Q259" s="23"/>
      <c r="R259" s="23"/>
      <c r="AR259" s="23"/>
      <c r="AS259" s="23"/>
      <c r="AT259" s="23"/>
      <c r="AU259" s="23"/>
    </row>
    <row r="260" spans="8:47" x14ac:dyDescent="0.2">
      <c r="H260" s="23"/>
      <c r="N260" s="6"/>
      <c r="Q260" s="23"/>
      <c r="R260" s="23"/>
      <c r="AR260" s="23"/>
      <c r="AS260" s="23"/>
      <c r="AT260" s="23"/>
      <c r="AU260" s="23"/>
    </row>
    <row r="261" spans="8:47" x14ac:dyDescent="0.2">
      <c r="H261" s="23"/>
      <c r="N261" s="6"/>
      <c r="Q261" s="23"/>
      <c r="R261" s="23"/>
      <c r="AR261" s="23"/>
      <c r="AS261" s="23"/>
      <c r="AT261" s="23"/>
      <c r="AU261" s="23"/>
    </row>
    <row r="262" spans="8:47" x14ac:dyDescent="0.2">
      <c r="H262" s="23"/>
      <c r="N262" s="6"/>
      <c r="Q262" s="23"/>
      <c r="R262" s="23"/>
      <c r="AT262" s="23"/>
      <c r="AU262" s="23"/>
    </row>
    <row r="263" spans="8:47" x14ac:dyDescent="0.2">
      <c r="H263" s="23"/>
      <c r="N263" s="6"/>
      <c r="Q263" s="23"/>
      <c r="R263" s="23"/>
      <c r="AR263" s="23"/>
      <c r="AS263" s="23"/>
      <c r="AT263" s="23"/>
      <c r="AU263" s="23"/>
    </row>
    <row r="264" spans="8:47" x14ac:dyDescent="0.2">
      <c r="H264" s="23"/>
      <c r="N264" s="6"/>
      <c r="Q264" s="23"/>
      <c r="R264" s="23"/>
      <c r="AR264" s="23"/>
      <c r="AS264" s="23"/>
      <c r="AT264" s="23"/>
      <c r="AU264" s="23"/>
    </row>
    <row r="265" spans="8:47" x14ac:dyDescent="0.2">
      <c r="H265" s="23"/>
      <c r="N265" s="6"/>
      <c r="Q265" s="23"/>
      <c r="R265" s="23"/>
      <c r="AR265" s="23"/>
      <c r="AS265" s="23"/>
      <c r="AT265" s="23"/>
      <c r="AU265" s="23"/>
    </row>
    <row r="266" spans="8:47" x14ac:dyDescent="0.2">
      <c r="H266" s="23"/>
      <c r="N266" s="6"/>
      <c r="Q266" s="23"/>
      <c r="R266" s="23"/>
      <c r="AR266" s="23"/>
      <c r="AS266" s="23"/>
      <c r="AT266" s="23"/>
      <c r="AU266" s="23"/>
    </row>
    <row r="267" spans="8:47" x14ac:dyDescent="0.2">
      <c r="H267" s="23"/>
      <c r="N267" s="6"/>
      <c r="Q267" s="23"/>
      <c r="R267" s="23"/>
      <c r="AR267" s="23"/>
      <c r="AT267" s="23"/>
      <c r="AU267" s="23"/>
    </row>
    <row r="268" spans="8:47" x14ac:dyDescent="0.2">
      <c r="H268" s="23"/>
      <c r="N268" s="6"/>
      <c r="Q268" s="23"/>
      <c r="R268" s="23"/>
      <c r="AR268" s="23"/>
      <c r="AS268" s="23"/>
      <c r="AT268" s="23"/>
      <c r="AU268" s="23"/>
    </row>
    <row r="269" spans="8:47" x14ac:dyDescent="0.2">
      <c r="H269" s="23"/>
      <c r="N269" s="6"/>
      <c r="Q269" s="23"/>
      <c r="R269" s="23"/>
      <c r="AR269" s="23"/>
      <c r="AS269" s="23"/>
      <c r="AT269" s="23"/>
      <c r="AU269" s="23"/>
    </row>
    <row r="270" spans="8:47" x14ac:dyDescent="0.2">
      <c r="H270" s="23"/>
      <c r="N270" s="6"/>
      <c r="Q270" s="23"/>
      <c r="R270" s="23"/>
      <c r="AR270" s="23"/>
      <c r="AS270" s="23"/>
      <c r="AT270" s="23"/>
      <c r="AU270" s="23"/>
    </row>
    <row r="271" spans="8:47" x14ac:dyDescent="0.2">
      <c r="H271" s="23"/>
      <c r="N271" s="6"/>
      <c r="Q271" s="23"/>
      <c r="R271" s="23"/>
      <c r="AR271" s="23"/>
      <c r="AS271" s="23"/>
      <c r="AT271" s="23"/>
      <c r="AU271" s="23"/>
    </row>
    <row r="272" spans="8:47" x14ac:dyDescent="0.2">
      <c r="H272" s="23"/>
      <c r="N272" s="6"/>
      <c r="Q272" s="23"/>
      <c r="R272" s="23"/>
      <c r="AR272" s="23"/>
      <c r="AS272" s="23"/>
      <c r="AT272" s="23"/>
      <c r="AU272" s="23"/>
    </row>
    <row r="273" spans="8:47" x14ac:dyDescent="0.2">
      <c r="H273" s="23"/>
      <c r="N273" s="6"/>
      <c r="Q273" s="23"/>
      <c r="R273" s="23"/>
      <c r="AR273" s="23"/>
      <c r="AS273" s="23"/>
      <c r="AT273" s="23"/>
      <c r="AU273" s="23"/>
    </row>
    <row r="274" spans="8:47" x14ac:dyDescent="0.2">
      <c r="H274" s="23"/>
      <c r="N274" s="6"/>
      <c r="Q274" s="23"/>
      <c r="R274" s="23"/>
      <c r="AR274" s="23"/>
      <c r="AS274" s="23"/>
      <c r="AT274" s="23"/>
      <c r="AU274" s="23"/>
    </row>
    <row r="275" spans="8:47" x14ac:dyDescent="0.2">
      <c r="H275" s="23"/>
      <c r="N275" s="6"/>
      <c r="Q275" s="23"/>
      <c r="R275" s="23"/>
      <c r="AR275" s="23"/>
      <c r="AS275" s="23"/>
      <c r="AT275" s="23"/>
      <c r="AU275" s="23"/>
    </row>
    <row r="276" spans="8:47" x14ac:dyDescent="0.2">
      <c r="H276" s="23"/>
      <c r="N276" s="6"/>
      <c r="Q276" s="23"/>
      <c r="R276" s="23"/>
      <c r="AR276" s="23"/>
      <c r="AS276" s="23"/>
      <c r="AT276" s="23"/>
      <c r="AU276" s="23"/>
    </row>
    <row r="277" spans="8:47" x14ac:dyDescent="0.2">
      <c r="H277" s="23"/>
      <c r="N277" s="6"/>
      <c r="Q277" s="23"/>
      <c r="R277" s="23"/>
      <c r="AR277" s="23"/>
      <c r="AS277" s="23"/>
      <c r="AT277" s="23"/>
      <c r="AU277" s="23"/>
    </row>
    <row r="278" spans="8:47" x14ac:dyDescent="0.2">
      <c r="H278" s="23"/>
      <c r="N278" s="6"/>
      <c r="Q278" s="23"/>
      <c r="R278" s="23"/>
      <c r="AT278" s="23"/>
      <c r="AU278" s="23"/>
    </row>
    <row r="279" spans="8:47" x14ac:dyDescent="0.2">
      <c r="H279" s="23"/>
      <c r="N279" s="6"/>
      <c r="Q279" s="23"/>
      <c r="R279" s="23"/>
      <c r="AR279" s="23"/>
      <c r="AS279" s="23"/>
      <c r="AT279" s="23"/>
      <c r="AU279" s="23"/>
    </row>
    <row r="280" spans="8:47" x14ac:dyDescent="0.2">
      <c r="H280" s="23"/>
      <c r="N280" s="6"/>
      <c r="Q280" s="23"/>
      <c r="R280" s="23"/>
      <c r="AR280" s="23"/>
      <c r="AS280" s="23"/>
      <c r="AT280" s="23"/>
      <c r="AU280" s="23"/>
    </row>
    <row r="281" spans="8:47" x14ac:dyDescent="0.2">
      <c r="H281" s="23"/>
      <c r="N281" s="6"/>
      <c r="Q281" s="23"/>
      <c r="R281" s="23"/>
      <c r="AR281" s="23"/>
      <c r="AS281" s="23"/>
      <c r="AT281" s="23"/>
      <c r="AU281" s="23"/>
    </row>
    <row r="282" spans="8:47" x14ac:dyDescent="0.2">
      <c r="H282" s="23"/>
      <c r="N282" s="6"/>
      <c r="Q282" s="23"/>
      <c r="R282" s="23"/>
      <c r="AR282" s="23"/>
      <c r="AS282" s="23"/>
      <c r="AT282" s="23"/>
      <c r="AU282" s="23"/>
    </row>
    <row r="283" spans="8:47" x14ac:dyDescent="0.2">
      <c r="H283" s="23"/>
      <c r="N283" s="6"/>
      <c r="Q283" s="23"/>
      <c r="R283" s="23"/>
      <c r="AR283" s="23"/>
      <c r="AS283" s="23"/>
      <c r="AT283" s="23"/>
      <c r="AU283" s="23"/>
    </row>
    <row r="284" spans="8:47" x14ac:dyDescent="0.2">
      <c r="H284" s="23"/>
      <c r="N284" s="6"/>
      <c r="Q284" s="23"/>
      <c r="R284" s="23"/>
      <c r="AR284" s="23"/>
      <c r="AS284" s="23"/>
      <c r="AT284" s="23"/>
      <c r="AU284" s="23"/>
    </row>
    <row r="285" spans="8:47" x14ac:dyDescent="0.2">
      <c r="H285" s="23"/>
      <c r="N285" s="6"/>
      <c r="Q285" s="23"/>
      <c r="R285" s="23"/>
      <c r="AR285" s="23"/>
      <c r="AS285" s="23"/>
      <c r="AT285" s="23"/>
      <c r="AU285" s="23"/>
    </row>
    <row r="286" spans="8:47" x14ac:dyDescent="0.2">
      <c r="H286" s="23"/>
      <c r="N286" s="6"/>
      <c r="Q286" s="23"/>
      <c r="R286" s="23"/>
      <c r="AR286" s="23"/>
      <c r="AS286" s="23"/>
      <c r="AT286" s="23"/>
      <c r="AU286" s="23"/>
    </row>
    <row r="287" spans="8:47" x14ac:dyDescent="0.2">
      <c r="H287" s="23"/>
      <c r="N287" s="6"/>
      <c r="Q287" s="23"/>
      <c r="R287" s="23"/>
      <c r="AR287" s="23"/>
      <c r="AT287" s="23"/>
      <c r="AU287" s="23"/>
    </row>
    <row r="288" spans="8:47" x14ac:dyDescent="0.2">
      <c r="H288" s="23"/>
      <c r="N288" s="6"/>
      <c r="Q288" s="23"/>
      <c r="R288" s="23"/>
      <c r="AR288" s="23"/>
      <c r="AS288" s="23"/>
      <c r="AT288" s="23"/>
      <c r="AU288" s="23"/>
    </row>
    <row r="289" spans="8:47" x14ac:dyDescent="0.2">
      <c r="H289" s="23"/>
      <c r="N289" s="6"/>
      <c r="Q289" s="23"/>
      <c r="R289" s="23"/>
      <c r="AR289" s="23"/>
      <c r="AS289" s="23"/>
      <c r="AT289" s="23"/>
      <c r="AU289" s="23"/>
    </row>
    <row r="290" spans="8:47" x14ac:dyDescent="0.2">
      <c r="H290" s="23"/>
      <c r="N290" s="6"/>
      <c r="Q290" s="23"/>
      <c r="R290" s="23"/>
      <c r="AR290" s="23"/>
      <c r="AT290" s="23"/>
      <c r="AU290" s="23"/>
    </row>
    <row r="291" spans="8:47" x14ac:dyDescent="0.2">
      <c r="H291" s="23"/>
      <c r="N291" s="6"/>
      <c r="Q291" s="23"/>
      <c r="R291" s="23"/>
      <c r="AR291" s="23"/>
      <c r="AS291" s="23"/>
      <c r="AT291" s="23"/>
      <c r="AU291" s="23"/>
    </row>
    <row r="292" spans="8:47" x14ac:dyDescent="0.2">
      <c r="H292" s="23"/>
      <c r="N292" s="6"/>
      <c r="Q292" s="23"/>
      <c r="R292" s="23"/>
      <c r="AR292" s="23"/>
      <c r="AS292" s="23"/>
      <c r="AT292" s="23"/>
      <c r="AU292" s="23"/>
    </row>
    <row r="293" spans="8:47" x14ac:dyDescent="0.2">
      <c r="H293" s="23"/>
      <c r="N293" s="6"/>
      <c r="Q293" s="23"/>
      <c r="R293" s="23"/>
    </row>
    <row r="294" spans="8:47" x14ac:dyDescent="0.2">
      <c r="H294" s="23"/>
      <c r="N294" s="6"/>
      <c r="Q294" s="23"/>
      <c r="R294" s="23"/>
      <c r="AR294" s="23"/>
      <c r="AT294" s="23"/>
      <c r="AU294" s="23"/>
    </row>
    <row r="295" spans="8:47" x14ac:dyDescent="0.2">
      <c r="H295" s="23"/>
      <c r="N295" s="6"/>
      <c r="Q295" s="23"/>
      <c r="R295" s="23"/>
      <c r="AR295" s="23"/>
      <c r="AS295" s="23"/>
      <c r="AT295" s="23"/>
      <c r="AU295" s="23"/>
    </row>
    <row r="296" spans="8:47" x14ac:dyDescent="0.2">
      <c r="H296" s="23"/>
      <c r="N296" s="6"/>
      <c r="Q296" s="23"/>
      <c r="R296" s="23"/>
      <c r="AR296" s="23"/>
      <c r="AS296" s="23"/>
      <c r="AT296" s="23"/>
      <c r="AU296" s="23"/>
    </row>
    <row r="297" spans="8:47" x14ac:dyDescent="0.2">
      <c r="H297" s="23"/>
      <c r="N297" s="6"/>
      <c r="Q297" s="23"/>
      <c r="R297" s="23"/>
      <c r="AR297" s="23"/>
      <c r="AS297" s="23"/>
      <c r="AT297" s="23"/>
      <c r="AU297" s="23"/>
    </row>
    <row r="298" spans="8:47" x14ac:dyDescent="0.2">
      <c r="H298" s="23"/>
      <c r="N298" s="6"/>
      <c r="Q298" s="23"/>
      <c r="R298" s="23"/>
      <c r="AR298" s="23"/>
      <c r="AS298" s="23"/>
      <c r="AT298" s="23"/>
      <c r="AU298" s="23"/>
    </row>
    <row r="299" spans="8:47" x14ac:dyDescent="0.2">
      <c r="H299" s="23"/>
      <c r="N299" s="6"/>
      <c r="Q299" s="23"/>
      <c r="R299" s="23"/>
      <c r="AR299" s="23"/>
      <c r="AS299" s="23"/>
      <c r="AT299" s="23"/>
      <c r="AU299" s="23"/>
    </row>
    <row r="300" spans="8:47" x14ac:dyDescent="0.2">
      <c r="H300" s="23"/>
      <c r="N300" s="6"/>
      <c r="Q300" s="23"/>
      <c r="R300" s="23"/>
      <c r="AR300" s="23"/>
      <c r="AS300" s="23"/>
      <c r="AT300" s="23"/>
      <c r="AU300" s="23"/>
    </row>
    <row r="301" spans="8:47" x14ac:dyDescent="0.2">
      <c r="H301" s="23"/>
      <c r="N301" s="6"/>
      <c r="Q301" s="23"/>
      <c r="R301" s="23"/>
      <c r="AR301" s="23"/>
      <c r="AS301" s="23"/>
      <c r="AT301" s="23"/>
      <c r="AU301" s="23"/>
    </row>
    <row r="302" spans="8:47" x14ac:dyDescent="0.2">
      <c r="H302" s="23"/>
      <c r="N302" s="6"/>
      <c r="Q302" s="23"/>
      <c r="R302" s="23"/>
      <c r="AR302" s="23"/>
      <c r="AS302" s="23"/>
      <c r="AT302" s="23"/>
      <c r="AU302" s="23"/>
    </row>
    <row r="303" spans="8:47" x14ac:dyDescent="0.2">
      <c r="H303" s="23"/>
      <c r="N303" s="6"/>
      <c r="Q303" s="23"/>
      <c r="R303" s="23"/>
      <c r="AR303" s="23"/>
      <c r="AS303" s="23"/>
      <c r="AT303" s="23"/>
      <c r="AU303" s="23"/>
    </row>
    <row r="304" spans="8:47" x14ac:dyDescent="0.2">
      <c r="H304" s="23"/>
      <c r="N304" s="6"/>
      <c r="Q304" s="23"/>
      <c r="R304" s="23"/>
      <c r="AR304" s="23"/>
      <c r="AS304" s="23"/>
      <c r="AT304" s="23"/>
      <c r="AU304" s="23"/>
    </row>
    <row r="305" spans="8:47" x14ac:dyDescent="0.2">
      <c r="H305" s="23"/>
      <c r="N305" s="6"/>
      <c r="Q305" s="23"/>
      <c r="R305" s="23"/>
      <c r="AR305" s="23"/>
      <c r="AS305" s="23"/>
      <c r="AT305" s="23"/>
      <c r="AU305" s="23"/>
    </row>
    <row r="306" spans="8:47" x14ac:dyDescent="0.2">
      <c r="H306" s="23"/>
      <c r="N306" s="6"/>
      <c r="Q306" s="23"/>
      <c r="R306" s="23"/>
      <c r="AR306" s="23"/>
      <c r="AS306" s="23"/>
      <c r="AT306" s="23"/>
      <c r="AU306" s="23"/>
    </row>
    <row r="307" spans="8:47" x14ac:dyDescent="0.2">
      <c r="H307" s="23"/>
      <c r="N307" s="6"/>
      <c r="Q307" s="23"/>
      <c r="R307" s="23"/>
      <c r="AR307" s="23"/>
      <c r="AS307" s="23"/>
      <c r="AT307" s="23"/>
      <c r="AU307" s="23"/>
    </row>
    <row r="308" spans="8:47" x14ac:dyDescent="0.2">
      <c r="H308" s="23"/>
      <c r="N308" s="6"/>
      <c r="Q308" s="23"/>
      <c r="R308" s="23"/>
      <c r="AR308" s="23"/>
      <c r="AS308" s="23"/>
      <c r="AT308" s="23"/>
      <c r="AU308" s="23"/>
    </row>
    <row r="309" spans="8:47" x14ac:dyDescent="0.2">
      <c r="H309" s="23"/>
      <c r="N309" s="6"/>
      <c r="Q309" s="23"/>
      <c r="R309" s="23"/>
      <c r="AR309" s="23"/>
      <c r="AS309" s="23"/>
      <c r="AT309" s="23"/>
      <c r="AU309" s="23"/>
    </row>
    <row r="310" spans="8:47" x14ac:dyDescent="0.2">
      <c r="H310" s="23"/>
      <c r="N310" s="6"/>
      <c r="Q310" s="23"/>
      <c r="R310" s="23"/>
      <c r="AR310" s="23"/>
      <c r="AS310" s="23"/>
      <c r="AT310" s="23"/>
      <c r="AU310" s="23"/>
    </row>
    <row r="311" spans="8:47" x14ac:dyDescent="0.2">
      <c r="H311" s="23"/>
      <c r="N311" s="6"/>
      <c r="Q311" s="23"/>
      <c r="R311" s="23"/>
      <c r="AR311" s="23"/>
      <c r="AS311" s="23"/>
      <c r="AT311" s="23"/>
      <c r="AU311" s="23"/>
    </row>
    <row r="312" spans="8:47" x14ac:dyDescent="0.2">
      <c r="H312" s="23"/>
      <c r="N312" s="6"/>
      <c r="Q312" s="23"/>
      <c r="R312" s="23"/>
      <c r="AR312" s="23"/>
      <c r="AS312" s="23"/>
      <c r="AT312" s="23"/>
      <c r="AU312" s="23"/>
    </row>
    <row r="313" spans="8:47" x14ac:dyDescent="0.2">
      <c r="H313" s="23"/>
      <c r="N313" s="6"/>
      <c r="Q313" s="23"/>
      <c r="R313" s="23"/>
      <c r="AR313" s="23"/>
      <c r="AS313" s="23"/>
      <c r="AT313" s="23"/>
      <c r="AU313" s="23"/>
    </row>
    <row r="314" spans="8:47" x14ac:dyDescent="0.2">
      <c r="H314" s="23"/>
      <c r="N314" s="6"/>
      <c r="Q314" s="23"/>
      <c r="R314" s="23"/>
      <c r="AR314" s="23"/>
      <c r="AS314" s="23"/>
      <c r="AT314" s="23"/>
      <c r="AU314" s="23"/>
    </row>
    <row r="315" spans="8:47" x14ac:dyDescent="0.2">
      <c r="H315" s="23"/>
      <c r="N315" s="6"/>
      <c r="Q315" s="23"/>
      <c r="R315" s="23"/>
      <c r="AR315" s="23"/>
      <c r="AS315" s="23"/>
      <c r="AT315" s="23"/>
      <c r="AU315" s="23"/>
    </row>
    <row r="316" spans="8:47" x14ac:dyDescent="0.2">
      <c r="H316" s="23"/>
      <c r="N316" s="6"/>
      <c r="Q316" s="23"/>
      <c r="R316" s="23"/>
      <c r="AR316" s="23"/>
      <c r="AS316" s="23"/>
      <c r="AT316" s="23"/>
      <c r="AU316" s="23"/>
    </row>
    <row r="317" spans="8:47" x14ac:dyDescent="0.2">
      <c r="H317" s="23"/>
      <c r="N317" s="6"/>
      <c r="Q317" s="23"/>
      <c r="R317" s="23"/>
      <c r="AR317" s="23"/>
      <c r="AT317" s="23"/>
      <c r="AU317" s="23"/>
    </row>
    <row r="318" spans="8:47" x14ac:dyDescent="0.2">
      <c r="H318" s="23"/>
      <c r="N318" s="6"/>
      <c r="Q318" s="23"/>
      <c r="R318" s="23"/>
      <c r="AR318" s="23"/>
      <c r="AS318" s="23"/>
      <c r="AT318" s="23"/>
      <c r="AU318" s="23"/>
    </row>
    <row r="319" spans="8:47" x14ac:dyDescent="0.2">
      <c r="H319" s="23"/>
      <c r="N319" s="6"/>
      <c r="Q319" s="23"/>
      <c r="R319" s="23"/>
      <c r="AR319" s="23"/>
      <c r="AT319" s="23"/>
      <c r="AU319" s="23"/>
    </row>
    <row r="320" spans="8:47" x14ac:dyDescent="0.2">
      <c r="H320" s="23"/>
      <c r="N320" s="6"/>
      <c r="Q320" s="23"/>
      <c r="R320" s="23"/>
      <c r="AR320" s="23"/>
      <c r="AS320" s="23"/>
      <c r="AT320" s="23"/>
      <c r="AU320" s="23"/>
    </row>
    <row r="321" spans="8:47" x14ac:dyDescent="0.2">
      <c r="H321" s="23"/>
      <c r="N321" s="6"/>
      <c r="Q321" s="23"/>
      <c r="R321" s="23"/>
      <c r="AR321" s="23"/>
      <c r="AT321" s="23"/>
      <c r="AU321" s="23"/>
    </row>
    <row r="322" spans="8:47" x14ac:dyDescent="0.2">
      <c r="H322" s="23"/>
      <c r="N322" s="6"/>
      <c r="Q322" s="23"/>
      <c r="R322" s="23"/>
      <c r="AR322" s="23"/>
      <c r="AS322" s="23"/>
      <c r="AT322" s="23"/>
      <c r="AU322" s="23"/>
    </row>
    <row r="323" spans="8:47" x14ac:dyDescent="0.2">
      <c r="H323" s="23"/>
      <c r="N323" s="6"/>
      <c r="Q323" s="23"/>
      <c r="R323" s="23"/>
      <c r="AR323" s="23"/>
      <c r="AS323" s="23"/>
      <c r="AT323" s="23"/>
      <c r="AU323" s="23"/>
    </row>
    <row r="324" spans="8:47" x14ac:dyDescent="0.2">
      <c r="H324" s="23"/>
      <c r="N324" s="6"/>
      <c r="Q324" s="23"/>
      <c r="R324" s="23"/>
      <c r="AR324" s="23"/>
      <c r="AS324" s="23"/>
      <c r="AT324" s="23"/>
      <c r="AU324" s="23"/>
    </row>
    <row r="325" spans="8:47" x14ac:dyDescent="0.2">
      <c r="H325" s="23"/>
      <c r="N325" s="6"/>
      <c r="Q325" s="23"/>
      <c r="R325" s="23"/>
      <c r="AR325" s="23"/>
      <c r="AS325" s="23"/>
      <c r="AT325" s="23"/>
      <c r="AU325" s="23"/>
    </row>
    <row r="326" spans="8:47" x14ac:dyDescent="0.2">
      <c r="H326" s="23"/>
      <c r="N326" s="6"/>
      <c r="Q326" s="23"/>
      <c r="R326" s="23"/>
      <c r="AR326" s="23"/>
      <c r="AS326" s="23"/>
      <c r="AT326" s="23"/>
      <c r="AU326" s="23"/>
    </row>
    <row r="327" spans="8:47" x14ac:dyDescent="0.2">
      <c r="H327" s="23"/>
      <c r="N327" s="6"/>
      <c r="Q327" s="23"/>
      <c r="R327" s="23"/>
      <c r="AR327" s="23"/>
      <c r="AS327" s="23"/>
      <c r="AT327" s="23"/>
      <c r="AU327" s="23"/>
    </row>
    <row r="328" spans="8:47" x14ac:dyDescent="0.2">
      <c r="H328" s="23"/>
      <c r="N328" s="6"/>
      <c r="Q328" s="23"/>
      <c r="R328" s="23"/>
      <c r="AR328" s="23"/>
      <c r="AS328" s="23"/>
      <c r="AT328" s="23"/>
      <c r="AU328" s="23"/>
    </row>
    <row r="329" spans="8:47" x14ac:dyDescent="0.2">
      <c r="H329" s="23"/>
      <c r="N329" s="6"/>
      <c r="Q329" s="23"/>
      <c r="R329" s="23"/>
      <c r="AR329" s="23"/>
      <c r="AS329" s="23"/>
      <c r="AT329" s="23"/>
      <c r="AU329" s="23"/>
    </row>
    <row r="330" spans="8:47" x14ac:dyDescent="0.2">
      <c r="H330" s="23"/>
      <c r="N330" s="6"/>
      <c r="Q330" s="23"/>
      <c r="R330" s="23"/>
      <c r="AR330" s="23"/>
      <c r="AS330" s="23"/>
      <c r="AT330" s="23"/>
      <c r="AU330" s="23"/>
    </row>
    <row r="331" spans="8:47" x14ac:dyDescent="0.2">
      <c r="H331" s="23"/>
      <c r="N331" s="6"/>
      <c r="Q331" s="23"/>
      <c r="R331" s="23"/>
      <c r="AT331" s="23"/>
      <c r="AU331" s="23"/>
    </row>
    <row r="332" spans="8:47" x14ac:dyDescent="0.2">
      <c r="H332" s="23"/>
      <c r="N332" s="6"/>
      <c r="Q332" s="23"/>
      <c r="R332" s="23"/>
      <c r="AR332" s="23"/>
      <c r="AS332" s="23"/>
      <c r="AT332" s="23"/>
      <c r="AU332" s="23"/>
    </row>
    <row r="333" spans="8:47" x14ac:dyDescent="0.2">
      <c r="H333" s="23"/>
      <c r="N333" s="6"/>
      <c r="Q333" s="23"/>
      <c r="R333" s="23"/>
      <c r="AR333" s="23"/>
      <c r="AS333" s="23"/>
      <c r="AT333" s="23"/>
      <c r="AU333" s="23"/>
    </row>
    <row r="334" spans="8:47" x14ac:dyDescent="0.2">
      <c r="H334" s="23"/>
      <c r="N334" s="6"/>
      <c r="Q334" s="23"/>
      <c r="R334" s="23"/>
      <c r="AR334" s="23"/>
      <c r="AS334" s="23"/>
      <c r="AT334" s="23"/>
      <c r="AU334" s="23"/>
    </row>
    <row r="335" spans="8:47" x14ac:dyDescent="0.2">
      <c r="H335" s="23"/>
      <c r="N335" s="6"/>
      <c r="Q335" s="23"/>
      <c r="R335" s="23"/>
      <c r="AR335" s="23"/>
      <c r="AS335" s="23"/>
      <c r="AT335" s="23"/>
      <c r="AU335" s="23"/>
    </row>
    <row r="336" spans="8:47" x14ac:dyDescent="0.2">
      <c r="H336" s="23"/>
      <c r="N336" s="6"/>
      <c r="Q336" s="23"/>
      <c r="R336" s="23"/>
      <c r="AR336" s="23"/>
      <c r="AS336" s="23"/>
      <c r="AT336" s="23"/>
      <c r="AU336" s="23"/>
    </row>
    <row r="337" spans="8:47" x14ac:dyDescent="0.2">
      <c r="H337" s="23"/>
      <c r="N337" s="6"/>
      <c r="Q337" s="23"/>
      <c r="R337" s="23"/>
      <c r="AR337" s="23"/>
      <c r="AS337" s="23"/>
      <c r="AT337" s="23"/>
      <c r="AU337" s="23"/>
    </row>
    <row r="338" spans="8:47" x14ac:dyDescent="0.2">
      <c r="H338" s="23"/>
      <c r="N338" s="6"/>
      <c r="Q338" s="23"/>
      <c r="R338" s="23"/>
      <c r="AR338" s="23"/>
      <c r="AS338" s="23"/>
      <c r="AT338" s="23"/>
      <c r="AU338" s="23"/>
    </row>
    <row r="339" spans="8:47" x14ac:dyDescent="0.2">
      <c r="H339" s="23"/>
      <c r="N339" s="6"/>
      <c r="Q339" s="23"/>
      <c r="R339" s="23"/>
      <c r="AR339" s="23"/>
      <c r="AS339" s="23"/>
      <c r="AT339" s="23"/>
      <c r="AU339" s="23"/>
    </row>
    <row r="340" spans="8:47" x14ac:dyDescent="0.2">
      <c r="H340" s="23"/>
      <c r="N340" s="6"/>
      <c r="Q340" s="23"/>
      <c r="R340" s="23"/>
      <c r="AR340" s="23"/>
      <c r="AS340" s="23"/>
      <c r="AT340" s="23"/>
      <c r="AU340" s="23"/>
    </row>
    <row r="341" spans="8:47" x14ac:dyDescent="0.2">
      <c r="H341" s="23"/>
      <c r="N341" s="6"/>
      <c r="Q341" s="23"/>
      <c r="R341" s="23"/>
      <c r="AR341" s="23"/>
      <c r="AS341" s="23"/>
      <c r="AT341" s="23"/>
      <c r="AU341" s="23"/>
    </row>
    <row r="342" spans="8:47" x14ac:dyDescent="0.2">
      <c r="H342" s="23"/>
      <c r="N342" s="6"/>
      <c r="Q342" s="23"/>
      <c r="R342" s="23"/>
      <c r="AR342" s="23"/>
      <c r="AS342" s="23"/>
      <c r="AT342" s="23"/>
      <c r="AU342" s="23"/>
    </row>
    <row r="343" spans="8:47" x14ac:dyDescent="0.2">
      <c r="H343" s="23"/>
      <c r="N343" s="6"/>
      <c r="Q343" s="23"/>
      <c r="R343" s="23"/>
      <c r="AR343" s="23"/>
      <c r="AS343" s="23"/>
      <c r="AT343" s="23"/>
      <c r="AU343" s="23"/>
    </row>
    <row r="344" spans="8:47" x14ac:dyDescent="0.2">
      <c r="H344" s="23"/>
      <c r="N344" s="6"/>
      <c r="Q344" s="23"/>
      <c r="R344" s="23"/>
      <c r="AR344" s="23"/>
      <c r="AS344" s="23"/>
      <c r="AT344" s="23"/>
      <c r="AU344" s="23"/>
    </row>
    <row r="345" spans="8:47" x14ac:dyDescent="0.2">
      <c r="H345" s="23"/>
      <c r="N345" s="6"/>
      <c r="Q345" s="23"/>
      <c r="R345" s="23"/>
      <c r="AR345" s="23"/>
      <c r="AS345" s="23"/>
      <c r="AT345" s="23"/>
      <c r="AU345" s="23"/>
    </row>
    <row r="346" spans="8:47" x14ac:dyDescent="0.2">
      <c r="H346" s="23"/>
      <c r="N346" s="6"/>
      <c r="Q346" s="23"/>
      <c r="R346" s="23"/>
      <c r="AR346" s="23"/>
      <c r="AS346" s="23"/>
      <c r="AT346" s="23"/>
      <c r="AU346" s="23"/>
    </row>
    <row r="347" spans="8:47" x14ac:dyDescent="0.2">
      <c r="H347" s="23"/>
      <c r="N347" s="6"/>
      <c r="Q347" s="23"/>
      <c r="R347" s="23"/>
      <c r="AR347" s="23"/>
      <c r="AS347" s="23"/>
      <c r="AT347" s="23"/>
      <c r="AU347" s="23"/>
    </row>
    <row r="348" spans="8:47" x14ac:dyDescent="0.2">
      <c r="H348" s="23"/>
      <c r="N348" s="6"/>
      <c r="Q348" s="23"/>
      <c r="R348" s="23"/>
      <c r="AR348" s="23"/>
      <c r="AS348" s="23"/>
      <c r="AT348" s="23"/>
      <c r="AU348" s="23"/>
    </row>
    <row r="349" spans="8:47" x14ac:dyDescent="0.2">
      <c r="H349" s="23"/>
      <c r="N349" s="6"/>
      <c r="Q349" s="23"/>
      <c r="R349" s="23"/>
      <c r="AR349" s="23"/>
      <c r="AS349" s="23"/>
      <c r="AT349" s="23"/>
      <c r="AU349" s="23"/>
    </row>
    <row r="350" spans="8:47" x14ac:dyDescent="0.2">
      <c r="H350" s="23"/>
      <c r="N350" s="6"/>
      <c r="Q350" s="23"/>
      <c r="R350" s="23"/>
      <c r="AR350" s="23"/>
      <c r="AS350" s="23"/>
      <c r="AT350" s="23"/>
      <c r="AU350" s="23"/>
    </row>
    <row r="351" spans="8:47" x14ac:dyDescent="0.2">
      <c r="H351" s="23"/>
      <c r="N351" s="6"/>
      <c r="Q351" s="23"/>
      <c r="R351" s="23"/>
      <c r="AR351" s="23"/>
      <c r="AS351" s="23"/>
      <c r="AT351" s="23"/>
      <c r="AU351" s="23"/>
    </row>
    <row r="352" spans="8:47" x14ac:dyDescent="0.2">
      <c r="H352" s="23"/>
      <c r="N352" s="6"/>
      <c r="Q352" s="23"/>
      <c r="R352" s="23"/>
      <c r="AR352" s="23"/>
      <c r="AS352" s="23"/>
      <c r="AT352" s="23"/>
      <c r="AU352" s="23"/>
    </row>
    <row r="353" spans="8:47" x14ac:dyDescent="0.2">
      <c r="H353" s="23"/>
      <c r="N353" s="6"/>
      <c r="Q353" s="23"/>
      <c r="R353" s="23"/>
      <c r="AR353" s="23"/>
      <c r="AS353" s="23"/>
      <c r="AT353" s="23"/>
      <c r="AU353" s="23"/>
    </row>
    <row r="354" spans="8:47" x14ac:dyDescent="0.2">
      <c r="H354" s="23"/>
      <c r="N354" s="6"/>
      <c r="Q354" s="23"/>
      <c r="R354" s="23"/>
      <c r="AR354" s="23"/>
      <c r="AS354" s="23"/>
      <c r="AT354" s="23"/>
      <c r="AU354" s="23"/>
    </row>
    <row r="355" spans="8:47" x14ac:dyDescent="0.2">
      <c r="H355" s="23"/>
      <c r="N355" s="6"/>
      <c r="Q355" s="23"/>
      <c r="R355" s="23"/>
      <c r="AR355" s="23"/>
      <c r="AS355" s="23"/>
      <c r="AT355" s="23"/>
      <c r="AU355" s="23"/>
    </row>
    <row r="356" spans="8:47" x14ac:dyDescent="0.2">
      <c r="H356" s="23"/>
      <c r="N356" s="6"/>
      <c r="Q356" s="23"/>
      <c r="R356" s="23"/>
      <c r="AR356" s="23"/>
      <c r="AS356" s="23"/>
      <c r="AT356" s="23"/>
      <c r="AU356" s="23"/>
    </row>
    <row r="357" spans="8:47" x14ac:dyDescent="0.2">
      <c r="H357" s="23"/>
      <c r="N357" s="6"/>
      <c r="Q357" s="23"/>
      <c r="R357" s="23"/>
      <c r="AR357" s="23"/>
      <c r="AS357" s="23"/>
      <c r="AT357" s="23"/>
      <c r="AU357" s="23"/>
    </row>
    <row r="358" spans="8:47" x14ac:dyDescent="0.2">
      <c r="H358" s="23"/>
      <c r="N358" s="6"/>
      <c r="Q358" s="23"/>
      <c r="R358" s="23"/>
      <c r="AR358" s="23"/>
      <c r="AS358" s="23"/>
      <c r="AT358" s="23"/>
      <c r="AU358" s="23"/>
    </row>
    <row r="359" spans="8:47" x14ac:dyDescent="0.2">
      <c r="H359" s="23"/>
      <c r="N359" s="6"/>
      <c r="Q359" s="23"/>
      <c r="R359" s="23"/>
      <c r="AR359" s="23"/>
      <c r="AS359" s="23"/>
      <c r="AT359" s="23"/>
      <c r="AU359" s="23"/>
    </row>
    <row r="360" spans="8:47" x14ac:dyDescent="0.2">
      <c r="H360" s="23"/>
      <c r="N360" s="6"/>
      <c r="Q360" s="23"/>
      <c r="R360" s="23"/>
      <c r="AR360" s="23"/>
      <c r="AS360" s="23"/>
      <c r="AT360" s="23"/>
      <c r="AU360" s="23"/>
    </row>
    <row r="361" spans="8:47" x14ac:dyDescent="0.2">
      <c r="H361" s="23"/>
      <c r="N361" s="6"/>
      <c r="Q361" s="23"/>
      <c r="R361" s="23"/>
      <c r="AR361" s="23"/>
      <c r="AS361" s="23"/>
      <c r="AT361" s="23"/>
      <c r="AU361" s="23"/>
    </row>
    <row r="362" spans="8:47" x14ac:dyDescent="0.2">
      <c r="H362" s="23"/>
      <c r="N362" s="6"/>
      <c r="Q362" s="23"/>
      <c r="R362" s="23"/>
      <c r="AR362" s="23"/>
      <c r="AS362" s="23"/>
      <c r="AT362" s="23"/>
      <c r="AU362" s="23"/>
    </row>
    <row r="363" spans="8:47" x14ac:dyDescent="0.2">
      <c r="H363" s="23"/>
      <c r="N363" s="6"/>
      <c r="Q363" s="23"/>
      <c r="R363" s="23"/>
      <c r="AR363" s="23"/>
      <c r="AS363" s="23"/>
      <c r="AT363" s="23"/>
      <c r="AU363" s="23"/>
    </row>
    <row r="364" spans="8:47" x14ac:dyDescent="0.2">
      <c r="H364" s="23"/>
      <c r="N364" s="6"/>
      <c r="Q364" s="23"/>
      <c r="R364" s="23"/>
      <c r="AR364" s="23"/>
      <c r="AS364" s="23"/>
      <c r="AT364" s="23"/>
      <c r="AU364" s="23"/>
    </row>
    <row r="365" spans="8:47" x14ac:dyDescent="0.2">
      <c r="H365" s="23"/>
      <c r="N365" s="6"/>
      <c r="Q365" s="23"/>
      <c r="R365" s="23"/>
      <c r="AR365" s="23"/>
      <c r="AS365" s="23"/>
      <c r="AT365" s="23"/>
      <c r="AU365" s="23"/>
    </row>
    <row r="366" spans="8:47" x14ac:dyDescent="0.2">
      <c r="H366" s="23"/>
      <c r="N366" s="6"/>
      <c r="Q366" s="23"/>
      <c r="R366" s="23"/>
      <c r="AR366" s="23"/>
      <c r="AS366" s="23"/>
      <c r="AT366" s="23"/>
      <c r="AU366" s="23"/>
    </row>
    <row r="367" spans="8:47" x14ac:dyDescent="0.2">
      <c r="H367" s="23"/>
      <c r="N367" s="6"/>
      <c r="Q367" s="23"/>
      <c r="R367" s="23"/>
      <c r="AR367" s="23"/>
      <c r="AS367" s="23"/>
      <c r="AT367" s="23"/>
      <c r="AU367" s="23"/>
    </row>
    <row r="368" spans="8:47" x14ac:dyDescent="0.2">
      <c r="H368" s="23"/>
      <c r="N368" s="6"/>
      <c r="Q368" s="23"/>
      <c r="R368" s="23"/>
      <c r="AR368" s="23"/>
      <c r="AS368" s="23"/>
      <c r="AT368" s="23"/>
      <c r="AU368" s="23"/>
    </row>
    <row r="369" spans="8:47" x14ac:dyDescent="0.2">
      <c r="H369" s="23"/>
      <c r="N369" s="6"/>
      <c r="Q369" s="23"/>
      <c r="R369" s="23"/>
      <c r="AR369" s="23"/>
      <c r="AS369" s="23"/>
      <c r="AT369" s="23"/>
      <c r="AU369" s="23"/>
    </row>
    <row r="370" spans="8:47" x14ac:dyDescent="0.2">
      <c r="H370" s="23"/>
      <c r="N370" s="6"/>
      <c r="Q370" s="23"/>
      <c r="R370" s="23"/>
      <c r="AR370" s="23"/>
      <c r="AS370" s="23"/>
      <c r="AT370" s="23"/>
      <c r="AU370" s="23"/>
    </row>
    <row r="371" spans="8:47" x14ac:dyDescent="0.2">
      <c r="H371" s="23"/>
      <c r="N371" s="6"/>
      <c r="Q371" s="23"/>
      <c r="R371" s="23"/>
      <c r="AR371" s="23"/>
      <c r="AS371" s="23"/>
      <c r="AT371" s="23"/>
      <c r="AU371" s="23"/>
    </row>
    <row r="372" spans="8:47" x14ac:dyDescent="0.2">
      <c r="H372" s="23"/>
      <c r="N372" s="6"/>
      <c r="Q372" s="23"/>
      <c r="R372" s="23"/>
      <c r="AR372" s="23"/>
      <c r="AS372" s="23"/>
      <c r="AT372" s="23"/>
      <c r="AU372" s="23"/>
    </row>
    <row r="373" spans="8:47" x14ac:dyDescent="0.2">
      <c r="H373" s="23"/>
      <c r="N373" s="6"/>
      <c r="Q373" s="23"/>
      <c r="R373" s="23"/>
      <c r="AR373" s="23"/>
      <c r="AS373" s="23"/>
      <c r="AT373" s="23"/>
      <c r="AU373" s="23"/>
    </row>
    <row r="374" spans="8:47" x14ac:dyDescent="0.2">
      <c r="H374" s="23"/>
      <c r="N374" s="6"/>
      <c r="Q374" s="23"/>
      <c r="R374" s="23"/>
      <c r="AR374" s="23"/>
      <c r="AS374" s="23"/>
      <c r="AT374" s="23"/>
      <c r="AU374" s="23"/>
    </row>
    <row r="375" spans="8:47" x14ac:dyDescent="0.2">
      <c r="H375" s="23"/>
      <c r="N375" s="6"/>
      <c r="Q375" s="23"/>
      <c r="R375" s="23"/>
      <c r="AR375" s="23"/>
      <c r="AS375" s="23"/>
      <c r="AT375" s="23"/>
      <c r="AU375" s="23"/>
    </row>
    <row r="376" spans="8:47" x14ac:dyDescent="0.2">
      <c r="H376" s="23"/>
      <c r="N376" s="6"/>
      <c r="Q376" s="23"/>
      <c r="R376" s="23"/>
      <c r="AR376" s="23"/>
      <c r="AS376" s="23"/>
      <c r="AT376" s="23"/>
      <c r="AU376" s="23"/>
    </row>
    <row r="377" spans="8:47" x14ac:dyDescent="0.2">
      <c r="H377" s="23"/>
      <c r="N377" s="6"/>
      <c r="Q377" s="23"/>
      <c r="R377" s="23"/>
      <c r="AT377" s="23"/>
      <c r="AU377" s="23"/>
    </row>
    <row r="378" spans="8:47" x14ac:dyDescent="0.2">
      <c r="H378" s="23"/>
      <c r="N378" s="6"/>
      <c r="Q378" s="23"/>
      <c r="R378" s="23"/>
      <c r="AR378" s="23"/>
      <c r="AS378" s="23"/>
      <c r="AT378" s="23"/>
      <c r="AU378" s="23"/>
    </row>
    <row r="379" spans="8:47" x14ac:dyDescent="0.2">
      <c r="H379" s="23"/>
      <c r="N379" s="6"/>
      <c r="Q379" s="23"/>
      <c r="R379" s="23"/>
      <c r="AR379" s="23"/>
      <c r="AS379" s="23"/>
      <c r="AT379" s="23"/>
      <c r="AU379" s="23"/>
    </row>
    <row r="380" spans="8:47" x14ac:dyDescent="0.2">
      <c r="H380" s="23"/>
      <c r="N380" s="6"/>
      <c r="Q380" s="23"/>
      <c r="R380" s="23"/>
      <c r="AR380" s="23"/>
      <c r="AS380" s="23"/>
      <c r="AT380" s="23"/>
      <c r="AU380" s="23"/>
    </row>
    <row r="381" spans="8:47" x14ac:dyDescent="0.2">
      <c r="H381" s="23"/>
      <c r="N381" s="6"/>
      <c r="Q381" s="23"/>
      <c r="R381" s="23"/>
      <c r="AR381" s="23"/>
      <c r="AS381" s="23"/>
      <c r="AT381" s="23"/>
      <c r="AU381" s="23"/>
    </row>
    <row r="382" spans="8:47" x14ac:dyDescent="0.2">
      <c r="H382" s="23"/>
      <c r="N382" s="6"/>
      <c r="Q382" s="23"/>
      <c r="R382" s="23"/>
      <c r="AR382" s="23"/>
      <c r="AS382" s="23"/>
      <c r="AT382" s="23"/>
      <c r="AU382" s="23"/>
    </row>
    <row r="383" spans="8:47" x14ac:dyDescent="0.2">
      <c r="H383" s="23"/>
      <c r="N383" s="6"/>
      <c r="Q383" s="23"/>
      <c r="R383" s="23"/>
      <c r="AR383" s="23"/>
      <c r="AS383" s="23"/>
      <c r="AT383" s="23"/>
      <c r="AU383" s="23"/>
    </row>
    <row r="384" spans="8:47" x14ac:dyDescent="0.2">
      <c r="H384" s="23"/>
      <c r="N384" s="6"/>
      <c r="Q384" s="23"/>
      <c r="R384" s="23"/>
      <c r="AR384" s="23"/>
      <c r="AS384" s="23"/>
      <c r="AT384" s="23"/>
      <c r="AU384" s="23"/>
    </row>
    <row r="385" spans="8:47" x14ac:dyDescent="0.2">
      <c r="H385" s="23"/>
      <c r="N385" s="6"/>
      <c r="Q385" s="23"/>
      <c r="R385" s="23"/>
      <c r="AR385" s="23"/>
      <c r="AS385" s="23"/>
      <c r="AT385" s="23"/>
      <c r="AU385" s="23"/>
    </row>
    <row r="386" spans="8:47" x14ac:dyDescent="0.2">
      <c r="H386" s="23"/>
      <c r="N386" s="6"/>
      <c r="Q386" s="23"/>
      <c r="R386" s="23"/>
      <c r="AR386" s="23"/>
      <c r="AS386" s="23"/>
      <c r="AT386" s="23"/>
      <c r="AU386" s="23"/>
    </row>
    <row r="387" spans="8:47" x14ac:dyDescent="0.2">
      <c r="H387" s="23"/>
      <c r="N387" s="6"/>
      <c r="Q387" s="23"/>
      <c r="R387" s="23"/>
      <c r="AR387" s="23"/>
      <c r="AS387" s="23"/>
      <c r="AT387" s="23"/>
      <c r="AU387" s="23"/>
    </row>
    <row r="388" spans="8:47" x14ac:dyDescent="0.2">
      <c r="H388" s="23"/>
      <c r="N388" s="6"/>
      <c r="Q388" s="23"/>
      <c r="R388" s="23"/>
      <c r="AR388" s="23"/>
      <c r="AS388" s="23"/>
      <c r="AT388" s="23"/>
      <c r="AU388" s="23"/>
    </row>
    <row r="389" spans="8:47" x14ac:dyDescent="0.2">
      <c r="H389" s="23"/>
      <c r="N389" s="6"/>
      <c r="Q389" s="23"/>
      <c r="R389" s="23"/>
      <c r="AR389" s="23"/>
      <c r="AS389" s="23"/>
      <c r="AT389" s="23"/>
      <c r="AU389" s="23"/>
    </row>
    <row r="390" spans="8:47" x14ac:dyDescent="0.2">
      <c r="H390" s="23"/>
      <c r="N390" s="6"/>
      <c r="Q390" s="23"/>
      <c r="R390" s="23"/>
      <c r="AR390" s="23"/>
      <c r="AS390" s="23"/>
      <c r="AT390" s="23"/>
      <c r="AU390" s="23"/>
    </row>
    <row r="391" spans="8:47" x14ac:dyDescent="0.2">
      <c r="H391" s="23"/>
      <c r="N391" s="6"/>
      <c r="Q391" s="23"/>
      <c r="R391" s="23"/>
      <c r="AR391" s="23"/>
      <c r="AS391" s="23"/>
      <c r="AT391" s="23"/>
      <c r="AU391" s="23"/>
    </row>
    <row r="392" spans="8:47" x14ac:dyDescent="0.2">
      <c r="H392" s="23"/>
      <c r="N392" s="6"/>
      <c r="Q392" s="23"/>
      <c r="R392" s="23"/>
      <c r="AR392" s="23"/>
      <c r="AS392" s="23"/>
      <c r="AT392" s="23"/>
      <c r="AU392" s="23"/>
    </row>
    <row r="393" spans="8:47" x14ac:dyDescent="0.2">
      <c r="H393" s="23"/>
      <c r="N393" s="6"/>
      <c r="Q393" s="23"/>
      <c r="R393" s="23"/>
      <c r="AR393" s="23"/>
      <c r="AS393" s="23"/>
      <c r="AT393" s="23"/>
      <c r="AU393" s="23"/>
    </row>
    <row r="394" spans="8:47" x14ac:dyDescent="0.2">
      <c r="H394" s="23"/>
      <c r="N394" s="6"/>
      <c r="Q394" s="23"/>
      <c r="R394" s="23"/>
      <c r="AR394" s="23"/>
      <c r="AS394" s="23"/>
      <c r="AT394" s="23"/>
      <c r="AU394" s="23"/>
    </row>
    <row r="395" spans="8:47" x14ac:dyDescent="0.2">
      <c r="H395" s="23"/>
      <c r="N395" s="6"/>
      <c r="Q395" s="23"/>
      <c r="R395" s="23"/>
      <c r="AR395" s="23"/>
      <c r="AS395" s="23"/>
      <c r="AT395" s="23"/>
      <c r="AU395" s="23"/>
    </row>
    <row r="396" spans="8:47" x14ac:dyDescent="0.2">
      <c r="H396" s="23"/>
      <c r="N396" s="6"/>
      <c r="Q396" s="23"/>
      <c r="R396" s="23"/>
      <c r="AR396" s="23"/>
      <c r="AS396" s="23"/>
      <c r="AT396" s="23"/>
      <c r="AU396" s="23"/>
    </row>
    <row r="397" spans="8:47" x14ac:dyDescent="0.2">
      <c r="H397" s="23"/>
      <c r="N397" s="6"/>
      <c r="Q397" s="23"/>
      <c r="R397" s="23"/>
      <c r="AR397" s="23"/>
      <c r="AS397" s="23"/>
      <c r="AT397" s="23"/>
      <c r="AU397" s="23"/>
    </row>
    <row r="398" spans="8:47" x14ac:dyDescent="0.2">
      <c r="H398" s="23"/>
      <c r="N398" s="6"/>
      <c r="Q398" s="23"/>
      <c r="R398" s="23"/>
      <c r="AR398" s="23"/>
      <c r="AS398" s="23"/>
      <c r="AT398" s="23"/>
      <c r="AU398" s="23"/>
    </row>
    <row r="399" spans="8:47" x14ac:dyDescent="0.2">
      <c r="H399" s="23"/>
      <c r="N399" s="6"/>
      <c r="Q399" s="23"/>
      <c r="R399" s="23"/>
      <c r="AR399" s="23"/>
      <c r="AT399" s="23"/>
      <c r="AU399" s="23"/>
    </row>
    <row r="400" spans="8:47" x14ac:dyDescent="0.2">
      <c r="H400" s="23"/>
      <c r="N400" s="6"/>
      <c r="Q400" s="23"/>
      <c r="R400" s="23"/>
      <c r="AR400" s="23"/>
      <c r="AS400" s="23"/>
      <c r="AT400" s="23"/>
      <c r="AU400" s="23"/>
    </row>
    <row r="401" spans="8:47" x14ac:dyDescent="0.2">
      <c r="H401" s="23"/>
      <c r="N401" s="6"/>
      <c r="Q401" s="23"/>
      <c r="R401" s="23"/>
      <c r="AR401" s="23"/>
      <c r="AS401" s="23"/>
      <c r="AT401" s="23"/>
      <c r="AU401" s="23"/>
    </row>
    <row r="402" spans="8:47" x14ac:dyDescent="0.2">
      <c r="H402" s="23"/>
      <c r="N402" s="6"/>
      <c r="Q402" s="23"/>
      <c r="R402" s="23"/>
      <c r="AR402" s="23"/>
      <c r="AS402" s="23"/>
      <c r="AT402" s="23"/>
      <c r="AU402" s="23"/>
    </row>
    <row r="403" spans="8:47" x14ac:dyDescent="0.2">
      <c r="H403" s="23"/>
      <c r="N403" s="6"/>
      <c r="Q403" s="23"/>
      <c r="R403" s="23"/>
      <c r="AR403" s="23"/>
      <c r="AS403" s="23"/>
      <c r="AT403" s="23"/>
      <c r="AU403" s="23"/>
    </row>
    <row r="404" spans="8:47" x14ac:dyDescent="0.2">
      <c r="H404" s="23"/>
      <c r="N404" s="6"/>
      <c r="Q404" s="23"/>
      <c r="R404" s="23"/>
      <c r="AR404" s="23"/>
      <c r="AS404" s="23"/>
      <c r="AT404" s="23"/>
      <c r="AU404" s="23"/>
    </row>
    <row r="405" spans="8:47" x14ac:dyDescent="0.2">
      <c r="H405" s="23"/>
      <c r="N405" s="6"/>
      <c r="Q405" s="23"/>
      <c r="R405" s="23"/>
      <c r="AR405" s="23"/>
      <c r="AS405" s="23"/>
      <c r="AT405" s="23"/>
      <c r="AU405" s="23"/>
    </row>
    <row r="406" spans="8:47" x14ac:dyDescent="0.2">
      <c r="H406" s="23"/>
      <c r="N406" s="6"/>
      <c r="Q406" s="23"/>
      <c r="R406" s="23"/>
      <c r="AR406" s="23"/>
      <c r="AS406" s="23"/>
      <c r="AT406" s="23"/>
      <c r="AU406" s="23"/>
    </row>
    <row r="407" spans="8:47" x14ac:dyDescent="0.2">
      <c r="H407" s="23"/>
      <c r="N407" s="6"/>
      <c r="Q407" s="23"/>
      <c r="R407" s="23"/>
      <c r="AR407" s="23"/>
      <c r="AS407" s="23"/>
      <c r="AT407" s="23"/>
      <c r="AU407" s="23"/>
    </row>
    <row r="408" spans="8:47" x14ac:dyDescent="0.2">
      <c r="H408" s="23"/>
      <c r="N408" s="6"/>
      <c r="Q408" s="23"/>
      <c r="R408" s="23"/>
      <c r="AR408" s="23"/>
      <c r="AS408" s="23"/>
      <c r="AT408" s="23"/>
      <c r="AU408" s="23"/>
    </row>
    <row r="409" spans="8:47" x14ac:dyDescent="0.2">
      <c r="H409" s="23"/>
      <c r="N409" s="6"/>
      <c r="Q409" s="23"/>
      <c r="R409" s="23"/>
      <c r="AR409" s="23"/>
      <c r="AS409" s="23"/>
      <c r="AT409" s="23"/>
      <c r="AU409" s="23"/>
    </row>
    <row r="410" spans="8:47" x14ac:dyDescent="0.2">
      <c r="H410" s="23"/>
      <c r="N410" s="6"/>
      <c r="Q410" s="23"/>
      <c r="R410" s="23"/>
      <c r="AR410" s="23"/>
      <c r="AS410" s="23"/>
      <c r="AT410" s="23"/>
      <c r="AU410" s="23"/>
    </row>
    <row r="411" spans="8:47" x14ac:dyDescent="0.2">
      <c r="H411" s="23"/>
      <c r="N411" s="6"/>
      <c r="Q411" s="23"/>
      <c r="R411" s="23"/>
      <c r="AR411" s="23"/>
      <c r="AS411" s="23"/>
      <c r="AT411" s="23"/>
      <c r="AU411" s="23"/>
    </row>
    <row r="412" spans="8:47" x14ac:dyDescent="0.2">
      <c r="H412" s="23"/>
      <c r="N412" s="6"/>
      <c r="Q412" s="23"/>
      <c r="R412" s="23"/>
      <c r="AR412" s="23"/>
      <c r="AS412" s="23"/>
      <c r="AT412" s="23"/>
      <c r="AU412" s="23"/>
    </row>
    <row r="413" spans="8:47" x14ac:dyDescent="0.2">
      <c r="H413" s="23"/>
      <c r="N413" s="6"/>
      <c r="Q413" s="23"/>
      <c r="R413" s="23"/>
      <c r="AR413" s="23"/>
      <c r="AS413" s="23"/>
      <c r="AT413" s="23"/>
      <c r="AU413" s="23"/>
    </row>
    <row r="414" spans="8:47" x14ac:dyDescent="0.2">
      <c r="H414" s="23"/>
      <c r="N414" s="6"/>
      <c r="Q414" s="23"/>
      <c r="R414" s="23"/>
      <c r="AR414" s="23"/>
      <c r="AS414" s="23"/>
      <c r="AT414" s="23"/>
      <c r="AU414" s="23"/>
    </row>
    <row r="415" spans="8:47" x14ac:dyDescent="0.2">
      <c r="H415" s="23"/>
      <c r="N415" s="6"/>
      <c r="Q415" s="23"/>
      <c r="R415" s="23"/>
      <c r="AR415" s="23"/>
      <c r="AS415" s="23"/>
      <c r="AT415" s="23"/>
      <c r="AU415" s="23"/>
    </row>
    <row r="416" spans="8:47" x14ac:dyDescent="0.2">
      <c r="H416" s="23"/>
      <c r="N416" s="6"/>
      <c r="Q416" s="23"/>
      <c r="R416" s="23"/>
      <c r="AT416" s="23"/>
      <c r="AU416" s="23"/>
    </row>
    <row r="417" spans="8:47" x14ac:dyDescent="0.2">
      <c r="H417" s="23"/>
      <c r="N417" s="6"/>
      <c r="Q417" s="23"/>
      <c r="R417" s="23"/>
      <c r="AR417" s="23"/>
      <c r="AT417" s="23"/>
      <c r="AU417" s="23"/>
    </row>
    <row r="418" spans="8:47" x14ac:dyDescent="0.2">
      <c r="H418" s="23"/>
      <c r="N418" s="6"/>
      <c r="Q418" s="23"/>
      <c r="R418" s="23"/>
      <c r="AR418" s="23"/>
      <c r="AS418" s="23"/>
      <c r="AT418" s="23"/>
      <c r="AU418" s="23"/>
    </row>
    <row r="419" spans="8:47" x14ac:dyDescent="0.2">
      <c r="H419" s="23"/>
      <c r="N419" s="6"/>
      <c r="Q419" s="23"/>
      <c r="R419" s="23"/>
      <c r="AR419" s="23"/>
      <c r="AS419" s="23"/>
      <c r="AT419" s="23"/>
      <c r="AU419" s="23"/>
    </row>
    <row r="420" spans="8:47" x14ac:dyDescent="0.2">
      <c r="H420" s="23"/>
      <c r="N420" s="6"/>
      <c r="Q420" s="23"/>
      <c r="R420" s="23"/>
      <c r="AR420" s="23"/>
      <c r="AS420" s="23"/>
      <c r="AT420" s="23"/>
      <c r="AU420" s="23"/>
    </row>
    <row r="421" spans="8:47" x14ac:dyDescent="0.2">
      <c r="H421" s="23"/>
      <c r="N421" s="6"/>
      <c r="Q421" s="23"/>
      <c r="R421" s="23"/>
      <c r="AR421" s="23"/>
      <c r="AS421" s="23"/>
      <c r="AT421" s="23"/>
      <c r="AU421" s="23"/>
    </row>
    <row r="422" spans="8:47" x14ac:dyDescent="0.2">
      <c r="H422" s="23"/>
      <c r="N422" s="6"/>
      <c r="Q422" s="23"/>
      <c r="R422" s="23"/>
      <c r="AR422" s="23"/>
      <c r="AS422" s="23"/>
      <c r="AT422" s="23"/>
      <c r="AU422" s="23"/>
    </row>
    <row r="423" spans="8:47" x14ac:dyDescent="0.2">
      <c r="H423" s="23"/>
      <c r="N423" s="6"/>
      <c r="Q423" s="23"/>
      <c r="R423" s="23"/>
      <c r="AR423" s="23"/>
      <c r="AS423" s="23"/>
      <c r="AT423" s="23"/>
      <c r="AU423" s="23"/>
    </row>
    <row r="424" spans="8:47" x14ac:dyDescent="0.2">
      <c r="H424" s="23"/>
      <c r="N424" s="6"/>
      <c r="Q424" s="23"/>
      <c r="R424" s="23"/>
      <c r="AR424" s="23"/>
      <c r="AS424" s="23"/>
      <c r="AT424" s="23"/>
      <c r="AU424" s="23"/>
    </row>
    <row r="425" spans="8:47" x14ac:dyDescent="0.2">
      <c r="H425" s="23"/>
      <c r="N425" s="6"/>
      <c r="Q425" s="23"/>
      <c r="R425" s="23"/>
      <c r="AT425" s="23"/>
      <c r="AU425" s="23"/>
    </row>
    <row r="426" spans="8:47" x14ac:dyDescent="0.2">
      <c r="H426" s="23"/>
      <c r="N426" s="6"/>
      <c r="Q426" s="23"/>
      <c r="R426" s="23"/>
      <c r="AR426" s="23"/>
      <c r="AT426" s="23"/>
      <c r="AU426" s="23"/>
    </row>
    <row r="427" spans="8:47" x14ac:dyDescent="0.2">
      <c r="H427" s="23"/>
      <c r="N427" s="6"/>
      <c r="Q427" s="23"/>
      <c r="R427" s="23"/>
      <c r="AR427" s="23"/>
      <c r="AS427" s="23"/>
      <c r="AT427" s="23"/>
      <c r="AU427" s="23"/>
    </row>
    <row r="428" spans="8:47" x14ac:dyDescent="0.2">
      <c r="H428" s="23"/>
      <c r="N428" s="6"/>
      <c r="Q428" s="23"/>
      <c r="R428" s="23"/>
      <c r="AR428" s="23"/>
      <c r="AS428" s="23"/>
      <c r="AT428" s="23"/>
      <c r="AU428" s="23"/>
    </row>
    <row r="429" spans="8:47" x14ac:dyDescent="0.2">
      <c r="H429" s="23"/>
      <c r="N429" s="6"/>
      <c r="Q429" s="23"/>
      <c r="R429" s="23"/>
      <c r="AR429" s="23"/>
      <c r="AS429" s="23"/>
      <c r="AT429" s="23"/>
      <c r="AU429" s="23"/>
    </row>
    <row r="430" spans="8:47" x14ac:dyDescent="0.2">
      <c r="H430" s="23"/>
      <c r="N430" s="6"/>
      <c r="Q430" s="23"/>
      <c r="R430" s="23"/>
      <c r="AR430" s="23"/>
      <c r="AS430" s="23"/>
      <c r="AT430" s="23"/>
      <c r="AU430" s="23"/>
    </row>
    <row r="431" spans="8:47" x14ac:dyDescent="0.2">
      <c r="H431" s="23"/>
      <c r="N431" s="6"/>
      <c r="Q431" s="23"/>
      <c r="R431" s="23"/>
      <c r="AR431" s="23"/>
      <c r="AS431" s="23"/>
      <c r="AT431" s="23"/>
      <c r="AU431" s="23"/>
    </row>
    <row r="432" spans="8:47" x14ac:dyDescent="0.2">
      <c r="H432" s="23"/>
      <c r="N432" s="6"/>
      <c r="Q432" s="23"/>
      <c r="R432" s="23"/>
      <c r="AR432" s="23"/>
      <c r="AS432" s="23"/>
      <c r="AT432" s="23"/>
      <c r="AU432" s="23"/>
    </row>
    <row r="433" spans="8:47" x14ac:dyDescent="0.2">
      <c r="H433" s="23"/>
      <c r="N433" s="6"/>
      <c r="Q433" s="23"/>
      <c r="R433" s="23"/>
      <c r="AR433" s="23"/>
      <c r="AS433" s="23"/>
      <c r="AT433" s="23"/>
      <c r="AU433" s="23"/>
    </row>
    <row r="434" spans="8:47" x14ac:dyDescent="0.2">
      <c r="H434" s="23"/>
      <c r="N434" s="6"/>
      <c r="Q434" s="23"/>
      <c r="R434" s="23"/>
      <c r="AR434" s="23"/>
      <c r="AS434" s="23"/>
      <c r="AT434" s="23"/>
      <c r="AU434" s="23"/>
    </row>
    <row r="435" spans="8:47" x14ac:dyDescent="0.2">
      <c r="H435" s="23"/>
      <c r="N435" s="6"/>
      <c r="Q435" s="23"/>
      <c r="R435" s="23"/>
      <c r="AR435" s="23"/>
      <c r="AS435" s="23"/>
      <c r="AT435" s="23"/>
      <c r="AU435" s="23"/>
    </row>
    <row r="436" spans="8:47" x14ac:dyDescent="0.2">
      <c r="H436" s="23"/>
      <c r="N436" s="6"/>
      <c r="Q436" s="23"/>
      <c r="R436" s="23"/>
      <c r="AR436" s="23"/>
      <c r="AS436" s="23"/>
      <c r="AT436" s="23"/>
      <c r="AU436" s="23"/>
    </row>
    <row r="437" spans="8:47" x14ac:dyDescent="0.2">
      <c r="H437" s="23"/>
      <c r="N437" s="6"/>
      <c r="Q437" s="23"/>
      <c r="R437" s="23"/>
      <c r="AR437" s="23"/>
      <c r="AS437" s="23"/>
      <c r="AT437" s="23"/>
      <c r="AU437" s="23"/>
    </row>
    <row r="438" spans="8:47" x14ac:dyDescent="0.2">
      <c r="H438" s="23"/>
      <c r="N438" s="6"/>
      <c r="Q438" s="23"/>
      <c r="R438" s="23"/>
      <c r="AR438" s="23"/>
      <c r="AS438" s="23"/>
      <c r="AT438" s="23"/>
      <c r="AU438" s="23"/>
    </row>
    <row r="439" spans="8:47" x14ac:dyDescent="0.2">
      <c r="H439" s="23"/>
      <c r="N439" s="6"/>
      <c r="Q439" s="23"/>
      <c r="R439" s="23"/>
      <c r="AR439" s="23"/>
      <c r="AS439" s="23"/>
      <c r="AT439" s="23"/>
      <c r="AU439" s="23"/>
    </row>
    <row r="440" spans="8:47" x14ac:dyDescent="0.2">
      <c r="H440" s="23"/>
      <c r="N440" s="6"/>
      <c r="Q440" s="23"/>
      <c r="R440" s="23"/>
      <c r="AR440" s="23"/>
      <c r="AS440" s="23"/>
      <c r="AT440" s="23"/>
      <c r="AU440" s="23"/>
    </row>
    <row r="441" spans="8:47" x14ac:dyDescent="0.2">
      <c r="H441" s="23"/>
      <c r="N441" s="6"/>
      <c r="Q441" s="23"/>
      <c r="R441" s="23"/>
      <c r="AR441" s="23"/>
      <c r="AS441" s="23"/>
      <c r="AT441" s="23"/>
      <c r="AU441" s="23"/>
    </row>
    <row r="442" spans="8:47" x14ac:dyDescent="0.2">
      <c r="H442" s="23"/>
      <c r="N442" s="6"/>
      <c r="Q442" s="23"/>
      <c r="R442" s="23"/>
      <c r="AR442" s="23"/>
      <c r="AS442" s="23"/>
      <c r="AT442" s="23"/>
      <c r="AU442" s="23"/>
    </row>
    <row r="443" spans="8:47" x14ac:dyDescent="0.2">
      <c r="H443" s="23"/>
      <c r="N443" s="6"/>
      <c r="Q443" s="23"/>
      <c r="R443" s="23"/>
      <c r="AR443" s="23"/>
      <c r="AS443" s="23"/>
      <c r="AT443" s="23"/>
      <c r="AU443" s="23"/>
    </row>
    <row r="444" spans="8:47" x14ac:dyDescent="0.2">
      <c r="H444" s="23"/>
      <c r="N444" s="6"/>
      <c r="Q444" s="23"/>
      <c r="R444" s="23"/>
      <c r="AR444" s="23"/>
      <c r="AS444" s="23"/>
      <c r="AT444" s="23"/>
      <c r="AU444" s="23"/>
    </row>
    <row r="445" spans="8:47" x14ac:dyDescent="0.2">
      <c r="H445" s="23"/>
      <c r="N445" s="6"/>
      <c r="Q445" s="23"/>
      <c r="R445" s="23"/>
      <c r="AR445" s="23"/>
      <c r="AS445" s="23"/>
      <c r="AT445" s="23"/>
      <c r="AU445" s="23"/>
    </row>
    <row r="446" spans="8:47" x14ac:dyDescent="0.2">
      <c r="H446" s="23"/>
      <c r="N446" s="6"/>
      <c r="Q446" s="23"/>
      <c r="R446" s="23"/>
      <c r="AR446" s="23"/>
      <c r="AS446" s="23"/>
      <c r="AT446" s="23"/>
      <c r="AU446" s="23"/>
    </row>
    <row r="447" spans="8:47" x14ac:dyDescent="0.2">
      <c r="H447" s="23"/>
      <c r="N447" s="6"/>
      <c r="Q447" s="23"/>
      <c r="R447" s="23"/>
      <c r="AR447" s="23"/>
      <c r="AS447" s="23"/>
      <c r="AT447" s="23"/>
      <c r="AU447" s="23"/>
    </row>
    <row r="448" spans="8:47" x14ac:dyDescent="0.2">
      <c r="H448" s="23"/>
      <c r="N448" s="6"/>
      <c r="Q448" s="23"/>
      <c r="R448" s="23"/>
      <c r="AR448" s="23"/>
      <c r="AS448" s="23"/>
      <c r="AT448" s="23"/>
      <c r="AU448" s="23"/>
    </row>
    <row r="449" spans="8:47" x14ac:dyDescent="0.2">
      <c r="H449" s="23"/>
      <c r="N449" s="6"/>
      <c r="Q449" s="23"/>
      <c r="R449" s="23"/>
      <c r="AR449" s="23"/>
      <c r="AS449" s="23"/>
      <c r="AT449" s="23"/>
      <c r="AU449" s="23"/>
    </row>
    <row r="450" spans="8:47" x14ac:dyDescent="0.2">
      <c r="H450" s="23"/>
      <c r="N450" s="6"/>
      <c r="Q450" s="23"/>
      <c r="R450" s="23"/>
      <c r="AR450" s="23"/>
      <c r="AS450" s="23"/>
      <c r="AT450" s="23"/>
      <c r="AU450" s="23"/>
    </row>
    <row r="451" spans="8:47" x14ac:dyDescent="0.2">
      <c r="H451" s="23"/>
      <c r="N451" s="6"/>
      <c r="Q451" s="23"/>
      <c r="R451" s="23"/>
      <c r="AT451" s="23"/>
      <c r="AU451" s="23"/>
    </row>
    <row r="452" spans="8:47" x14ac:dyDescent="0.2">
      <c r="H452" s="23"/>
      <c r="N452" s="6"/>
      <c r="Q452" s="23"/>
      <c r="R452" s="23"/>
      <c r="AR452" s="23"/>
      <c r="AS452" s="23"/>
      <c r="AT452" s="23"/>
      <c r="AU452" s="23"/>
    </row>
    <row r="453" spans="8:47" x14ac:dyDescent="0.2">
      <c r="H453" s="23"/>
      <c r="N453" s="6"/>
      <c r="Q453" s="23"/>
      <c r="R453" s="23"/>
      <c r="AR453" s="23"/>
      <c r="AS453" s="23"/>
      <c r="AT453" s="23"/>
      <c r="AU453" s="23"/>
    </row>
    <row r="454" spans="8:47" x14ac:dyDescent="0.2">
      <c r="H454" s="23"/>
      <c r="N454" s="6"/>
      <c r="Q454" s="23"/>
      <c r="R454" s="23"/>
      <c r="AR454" s="23"/>
      <c r="AS454" s="23"/>
      <c r="AT454" s="23"/>
      <c r="AU454" s="23"/>
    </row>
    <row r="455" spans="8:47" x14ac:dyDescent="0.2">
      <c r="H455" s="23"/>
      <c r="N455" s="6"/>
      <c r="Q455" s="23"/>
      <c r="R455" s="23"/>
      <c r="AR455" s="23"/>
      <c r="AS455" s="23"/>
      <c r="AT455" s="23"/>
      <c r="AU455" s="23"/>
    </row>
    <row r="456" spans="8:47" x14ac:dyDescent="0.2">
      <c r="H456" s="23"/>
      <c r="N456" s="6"/>
      <c r="Q456" s="23"/>
      <c r="R456" s="23"/>
      <c r="AR456" s="23"/>
      <c r="AS456" s="23"/>
      <c r="AT456" s="23"/>
      <c r="AU456" s="23"/>
    </row>
    <row r="457" spans="8:47" x14ac:dyDescent="0.2">
      <c r="H457" s="23"/>
      <c r="N457" s="6"/>
      <c r="Q457" s="23"/>
      <c r="R457" s="23"/>
      <c r="AR457" s="23"/>
      <c r="AS457" s="23"/>
      <c r="AT457" s="23"/>
      <c r="AU457" s="23"/>
    </row>
    <row r="458" spans="8:47" x14ac:dyDescent="0.2">
      <c r="H458" s="23"/>
      <c r="N458" s="6"/>
      <c r="Q458" s="23"/>
      <c r="R458" s="23"/>
      <c r="AR458" s="23"/>
      <c r="AS458" s="23"/>
      <c r="AT458" s="23"/>
      <c r="AU458" s="23"/>
    </row>
    <row r="459" spans="8:47" x14ac:dyDescent="0.2">
      <c r="H459" s="23"/>
      <c r="N459" s="6"/>
      <c r="Q459" s="23"/>
      <c r="R459" s="23"/>
      <c r="AR459" s="23"/>
      <c r="AS459" s="23"/>
      <c r="AT459" s="23"/>
      <c r="AU459" s="23"/>
    </row>
    <row r="460" spans="8:47" x14ac:dyDescent="0.2">
      <c r="H460" s="23"/>
      <c r="N460" s="6"/>
      <c r="Q460" s="23"/>
      <c r="R460" s="23"/>
      <c r="AR460" s="23"/>
      <c r="AS460" s="23"/>
      <c r="AT460" s="23"/>
      <c r="AU460" s="23"/>
    </row>
    <row r="461" spans="8:47" x14ac:dyDescent="0.2">
      <c r="H461" s="23"/>
      <c r="N461" s="6"/>
      <c r="Q461" s="23"/>
      <c r="R461" s="23"/>
      <c r="AR461" s="23"/>
      <c r="AS461" s="23"/>
      <c r="AT461" s="23"/>
      <c r="AU461" s="23"/>
    </row>
    <row r="462" spans="8:47" x14ac:dyDescent="0.2">
      <c r="H462" s="23"/>
      <c r="N462" s="6"/>
      <c r="Q462" s="23"/>
      <c r="R462" s="23"/>
      <c r="AR462" s="23"/>
      <c r="AS462" s="23"/>
      <c r="AT462" s="23"/>
      <c r="AU462" s="23"/>
    </row>
    <row r="463" spans="8:47" x14ac:dyDescent="0.2">
      <c r="H463" s="23"/>
      <c r="N463" s="6"/>
      <c r="Q463" s="23"/>
      <c r="R463" s="23"/>
      <c r="AR463" s="23"/>
      <c r="AS463" s="23"/>
      <c r="AT463" s="23"/>
      <c r="AU463" s="23"/>
    </row>
    <row r="464" spans="8:47" x14ac:dyDescent="0.2">
      <c r="H464" s="23"/>
      <c r="N464" s="6"/>
      <c r="Q464" s="23"/>
      <c r="R464" s="23"/>
    </row>
    <row r="465" spans="8:47" x14ac:dyDescent="0.2">
      <c r="H465" s="23"/>
      <c r="N465" s="6"/>
      <c r="Q465" s="23"/>
      <c r="R465" s="23"/>
    </row>
    <row r="466" spans="8:47" x14ac:dyDescent="0.2">
      <c r="H466" s="23"/>
      <c r="N466" s="6"/>
      <c r="Q466" s="23"/>
      <c r="R466" s="23"/>
      <c r="AR466" s="23"/>
      <c r="AS466" s="23"/>
      <c r="AT466" s="23"/>
      <c r="AU466" s="23"/>
    </row>
    <row r="467" spans="8:47" x14ac:dyDescent="0.2">
      <c r="H467" s="23"/>
      <c r="N467" s="6"/>
      <c r="Q467" s="23"/>
      <c r="R467" s="23"/>
      <c r="AR467" s="23"/>
      <c r="AS467" s="23"/>
      <c r="AT467" s="23"/>
      <c r="AU467" s="23"/>
    </row>
    <row r="468" spans="8:47" x14ac:dyDescent="0.2">
      <c r="H468" s="23"/>
      <c r="N468" s="6"/>
      <c r="Q468" s="23"/>
      <c r="R468" s="23"/>
      <c r="AR468" s="23"/>
      <c r="AS468" s="23"/>
      <c r="AT468" s="23"/>
      <c r="AU468" s="23"/>
    </row>
    <row r="469" spans="8:47" x14ac:dyDescent="0.2">
      <c r="H469" s="23"/>
      <c r="N469" s="6"/>
      <c r="Q469" s="23"/>
      <c r="R469" s="23"/>
      <c r="AR469" s="23"/>
      <c r="AS469" s="23"/>
      <c r="AT469" s="23"/>
      <c r="AU469" s="23"/>
    </row>
    <row r="470" spans="8:47" x14ac:dyDescent="0.2">
      <c r="H470" s="23"/>
      <c r="N470" s="6"/>
      <c r="Q470" s="23"/>
      <c r="R470" s="23"/>
      <c r="AR470" s="23"/>
      <c r="AS470" s="23"/>
      <c r="AT470" s="23"/>
      <c r="AU470" s="23"/>
    </row>
    <row r="471" spans="8:47" x14ac:dyDescent="0.2">
      <c r="H471" s="23"/>
      <c r="N471" s="6"/>
      <c r="Q471" s="23"/>
      <c r="R471" s="23"/>
    </row>
    <row r="472" spans="8:47" x14ac:dyDescent="0.2">
      <c r="H472" s="23"/>
      <c r="N472" s="6"/>
      <c r="Q472" s="23"/>
      <c r="R472" s="23"/>
      <c r="AR472" s="23"/>
      <c r="AS472" s="23"/>
      <c r="AT472" s="23"/>
      <c r="AU472" s="23"/>
    </row>
    <row r="473" spans="8:47" x14ac:dyDescent="0.2">
      <c r="H473" s="23"/>
      <c r="N473" s="6"/>
      <c r="Q473" s="23"/>
      <c r="R473" s="23"/>
      <c r="AR473" s="23"/>
      <c r="AS473" s="23"/>
      <c r="AT473" s="23"/>
      <c r="AU473" s="23"/>
    </row>
    <row r="474" spans="8:47" x14ac:dyDescent="0.2">
      <c r="H474" s="23"/>
      <c r="N474" s="6"/>
      <c r="Q474" s="23"/>
      <c r="R474" s="23"/>
      <c r="AR474" s="23"/>
      <c r="AS474" s="23"/>
      <c r="AT474" s="23"/>
      <c r="AU474" s="23"/>
    </row>
    <row r="475" spans="8:47" x14ac:dyDescent="0.2">
      <c r="H475" s="23"/>
      <c r="N475" s="6"/>
      <c r="Q475" s="23"/>
      <c r="R475" s="23"/>
      <c r="AR475" s="23"/>
      <c r="AS475" s="23"/>
      <c r="AT475" s="23"/>
      <c r="AU475" s="23"/>
    </row>
    <row r="476" spans="8:47" x14ac:dyDescent="0.2">
      <c r="H476" s="23"/>
      <c r="N476" s="6"/>
      <c r="Q476" s="23"/>
      <c r="R476" s="23"/>
      <c r="AR476" s="23"/>
      <c r="AS476" s="23"/>
      <c r="AT476" s="23"/>
      <c r="AU476" s="23"/>
    </row>
    <row r="477" spans="8:47" x14ac:dyDescent="0.2">
      <c r="H477" s="23"/>
      <c r="N477" s="6"/>
      <c r="Q477" s="23"/>
      <c r="R477" s="23"/>
      <c r="AR477" s="23"/>
      <c r="AS477" s="23"/>
      <c r="AT477" s="23"/>
      <c r="AU477" s="23"/>
    </row>
    <row r="478" spans="8:47" x14ac:dyDescent="0.2">
      <c r="H478" s="23"/>
      <c r="N478" s="6"/>
      <c r="Q478" s="23"/>
      <c r="R478" s="23"/>
      <c r="AR478" s="23"/>
      <c r="AS478" s="23"/>
      <c r="AT478" s="23"/>
      <c r="AU478" s="23"/>
    </row>
    <row r="479" spans="8:47" x14ac:dyDescent="0.2">
      <c r="H479" s="23"/>
      <c r="N479" s="6"/>
      <c r="Q479" s="23"/>
      <c r="R479" s="23"/>
      <c r="AR479" s="23"/>
      <c r="AS479" s="23"/>
      <c r="AT479" s="23"/>
      <c r="AU479" s="23"/>
    </row>
    <row r="480" spans="8:47" x14ac:dyDescent="0.2">
      <c r="H480" s="23"/>
      <c r="N480" s="6"/>
      <c r="Q480" s="23"/>
      <c r="R480" s="23"/>
      <c r="AR480" s="23"/>
      <c r="AS480" s="23"/>
      <c r="AT480" s="23"/>
      <c r="AU480" s="23"/>
    </row>
    <row r="481" spans="8:47" x14ac:dyDescent="0.2">
      <c r="H481" s="23"/>
      <c r="N481" s="6"/>
      <c r="Q481" s="23"/>
      <c r="R481" s="23"/>
      <c r="AR481" s="23"/>
      <c r="AS481" s="23"/>
      <c r="AT481" s="23"/>
      <c r="AU481" s="23"/>
    </row>
    <row r="482" spans="8:47" x14ac:dyDescent="0.2">
      <c r="H482" s="23"/>
      <c r="N482" s="6"/>
      <c r="Q482" s="23"/>
      <c r="R482" s="23"/>
    </row>
    <row r="483" spans="8:47" x14ac:dyDescent="0.2">
      <c r="H483" s="23"/>
      <c r="N483" s="6"/>
      <c r="Q483" s="23"/>
      <c r="R483" s="23"/>
      <c r="AR483" s="23"/>
      <c r="AS483" s="23"/>
      <c r="AT483" s="23"/>
      <c r="AU483" s="23"/>
    </row>
    <row r="484" spans="8:47" x14ac:dyDescent="0.2">
      <c r="H484" s="23"/>
      <c r="N484" s="6"/>
      <c r="Q484" s="23"/>
      <c r="R484" s="23"/>
      <c r="AR484" s="23"/>
      <c r="AS484" s="23"/>
      <c r="AT484" s="23"/>
      <c r="AU484" s="23"/>
    </row>
    <row r="485" spans="8:47" x14ac:dyDescent="0.2">
      <c r="H485" s="23"/>
      <c r="N485" s="6"/>
      <c r="Q485" s="23"/>
      <c r="R485" s="23"/>
      <c r="AR485" s="23"/>
      <c r="AT485" s="23"/>
      <c r="AU485" s="23"/>
    </row>
    <row r="486" spans="8:47" x14ac:dyDescent="0.2">
      <c r="H486" s="23"/>
      <c r="N486" s="6"/>
      <c r="Q486" s="23"/>
      <c r="R486" s="23"/>
      <c r="AR486" s="23"/>
      <c r="AS486" s="23"/>
      <c r="AT486" s="23"/>
      <c r="AU486" s="23"/>
    </row>
    <row r="487" spans="8:47" x14ac:dyDescent="0.2">
      <c r="H487" s="23"/>
      <c r="N487" s="6"/>
      <c r="Q487" s="23"/>
      <c r="R487" s="23"/>
      <c r="AR487" s="23"/>
      <c r="AS487" s="23"/>
      <c r="AT487" s="23"/>
      <c r="AU487" s="23"/>
    </row>
    <row r="488" spans="8:47" x14ac:dyDescent="0.2">
      <c r="H488" s="23"/>
      <c r="N488" s="6"/>
      <c r="Q488" s="23"/>
      <c r="R488" s="23"/>
      <c r="AR488" s="23"/>
      <c r="AS488" s="23"/>
      <c r="AT488" s="23"/>
      <c r="AU488" s="23"/>
    </row>
    <row r="489" spans="8:47" x14ac:dyDescent="0.2">
      <c r="H489" s="23"/>
      <c r="N489" s="6"/>
      <c r="Q489" s="23"/>
      <c r="R489" s="23"/>
      <c r="AR489" s="23"/>
      <c r="AS489" s="23"/>
      <c r="AT489" s="23"/>
      <c r="AU489" s="23"/>
    </row>
    <row r="490" spans="8:47" x14ac:dyDescent="0.2">
      <c r="H490" s="23"/>
      <c r="N490" s="6"/>
      <c r="Q490" s="23"/>
      <c r="R490" s="23"/>
      <c r="AR490" s="23"/>
      <c r="AS490" s="23"/>
      <c r="AT490" s="23"/>
      <c r="AU490" s="23"/>
    </row>
    <row r="491" spans="8:47" x14ac:dyDescent="0.2">
      <c r="H491" s="23"/>
      <c r="N491" s="6"/>
      <c r="Q491" s="23"/>
      <c r="R491" s="23"/>
      <c r="AR491" s="23"/>
      <c r="AS491" s="23"/>
      <c r="AT491" s="23"/>
      <c r="AU491" s="23"/>
    </row>
    <row r="492" spans="8:47" x14ac:dyDescent="0.2">
      <c r="H492" s="23"/>
      <c r="N492" s="6"/>
      <c r="Q492" s="23"/>
      <c r="R492" s="23"/>
      <c r="AR492" s="23"/>
      <c r="AS492" s="23"/>
      <c r="AT492" s="23"/>
      <c r="AU492" s="23"/>
    </row>
    <row r="493" spans="8:47" x14ac:dyDescent="0.2">
      <c r="H493" s="23"/>
      <c r="N493" s="6"/>
      <c r="Q493" s="23"/>
      <c r="R493" s="23"/>
      <c r="AR493" s="23"/>
      <c r="AS493" s="23"/>
      <c r="AT493" s="23"/>
      <c r="AU493" s="23"/>
    </row>
    <row r="494" spans="8:47" x14ac:dyDescent="0.2">
      <c r="H494" s="23"/>
      <c r="N494" s="6"/>
      <c r="Q494" s="23"/>
      <c r="R494" s="23"/>
      <c r="AR494" s="23"/>
      <c r="AS494" s="23"/>
      <c r="AT494" s="23"/>
      <c r="AU494" s="23"/>
    </row>
    <row r="495" spans="8:47" x14ac:dyDescent="0.2">
      <c r="H495" s="23"/>
      <c r="N495" s="6"/>
      <c r="Q495" s="23"/>
      <c r="R495" s="23"/>
      <c r="AR495" s="23"/>
      <c r="AS495" s="23"/>
      <c r="AT495" s="23"/>
      <c r="AU495" s="23"/>
    </row>
    <row r="496" spans="8:47" x14ac:dyDescent="0.2">
      <c r="H496" s="23"/>
      <c r="N496" s="6"/>
      <c r="Q496" s="23"/>
      <c r="R496" s="23"/>
      <c r="AR496" s="23"/>
      <c r="AS496" s="23"/>
      <c r="AT496" s="23"/>
      <c r="AU496" s="23"/>
    </row>
    <row r="497" spans="8:47" x14ac:dyDescent="0.2">
      <c r="H497" s="23"/>
      <c r="N497" s="6"/>
      <c r="Q497" s="23"/>
      <c r="R497" s="23"/>
      <c r="AR497" s="23"/>
      <c r="AS497" s="23"/>
      <c r="AT497" s="23"/>
      <c r="AU497" s="23"/>
    </row>
    <row r="498" spans="8:47" x14ac:dyDescent="0.2">
      <c r="H498" s="23"/>
      <c r="N498" s="6"/>
      <c r="Q498" s="23"/>
      <c r="R498" s="23"/>
      <c r="AR498" s="23"/>
      <c r="AS498" s="23"/>
      <c r="AT498" s="23"/>
      <c r="AU498" s="23"/>
    </row>
    <row r="499" spans="8:47" x14ac:dyDescent="0.2">
      <c r="H499" s="23"/>
      <c r="N499" s="6"/>
      <c r="Q499" s="23"/>
      <c r="R499" s="23"/>
      <c r="AR499" s="23"/>
      <c r="AS499" s="23"/>
      <c r="AT499" s="23"/>
      <c r="AU499" s="23"/>
    </row>
    <row r="500" spans="8:47" x14ac:dyDescent="0.2">
      <c r="H500" s="23"/>
      <c r="N500" s="6"/>
      <c r="Q500" s="23"/>
      <c r="R500" s="23"/>
      <c r="AR500" s="23"/>
      <c r="AS500" s="23"/>
      <c r="AT500" s="23"/>
      <c r="AU500" s="23"/>
    </row>
    <row r="501" spans="8:47" x14ac:dyDescent="0.2">
      <c r="H501" s="23"/>
      <c r="N501" s="6"/>
      <c r="Q501" s="23"/>
      <c r="R501" s="23"/>
      <c r="AR501" s="23"/>
      <c r="AS501" s="23"/>
      <c r="AT501" s="23"/>
      <c r="AU501" s="23"/>
    </row>
    <row r="502" spans="8:47" x14ac:dyDescent="0.2">
      <c r="H502" s="23"/>
      <c r="N502" s="6"/>
      <c r="Q502" s="23"/>
      <c r="R502" s="23"/>
      <c r="AR502" s="23"/>
      <c r="AS502" s="23"/>
      <c r="AT502" s="23"/>
      <c r="AU502" s="23"/>
    </row>
    <row r="503" spans="8:47" x14ac:dyDescent="0.2">
      <c r="H503" s="23"/>
      <c r="N503" s="6"/>
      <c r="Q503" s="23"/>
      <c r="R503" s="23"/>
      <c r="AR503" s="23"/>
      <c r="AS503" s="23"/>
      <c r="AT503" s="23"/>
      <c r="AU503" s="23"/>
    </row>
    <row r="504" spans="8:47" x14ac:dyDescent="0.2">
      <c r="H504" s="23"/>
      <c r="N504" s="6"/>
      <c r="Q504" s="23"/>
      <c r="R504" s="23"/>
      <c r="AR504" s="23"/>
      <c r="AS504" s="23"/>
      <c r="AT504" s="23"/>
      <c r="AU504" s="23"/>
    </row>
    <row r="505" spans="8:47" x14ac:dyDescent="0.2">
      <c r="H505" s="23"/>
      <c r="N505" s="6"/>
      <c r="Q505" s="23"/>
      <c r="R505" s="23"/>
      <c r="AR505" s="23"/>
      <c r="AS505" s="23"/>
      <c r="AT505" s="23"/>
      <c r="AU505" s="23"/>
    </row>
    <row r="506" spans="8:47" x14ac:dyDescent="0.2">
      <c r="H506" s="23"/>
      <c r="N506" s="6"/>
      <c r="Q506" s="23"/>
      <c r="R506" s="23"/>
      <c r="AR506" s="23"/>
      <c r="AS506" s="23"/>
      <c r="AT506" s="23"/>
      <c r="AU506" s="23"/>
    </row>
    <row r="507" spans="8:47" x14ac:dyDescent="0.2">
      <c r="H507" s="23"/>
      <c r="N507" s="6"/>
      <c r="Q507" s="23"/>
      <c r="R507" s="23"/>
      <c r="AR507" s="23"/>
      <c r="AS507" s="23"/>
      <c r="AT507" s="23"/>
      <c r="AU507" s="23"/>
    </row>
    <row r="508" spans="8:47" x14ac:dyDescent="0.2">
      <c r="H508" s="23"/>
      <c r="N508" s="6"/>
      <c r="Q508" s="23"/>
      <c r="R508" s="23"/>
      <c r="AR508" s="23"/>
      <c r="AS508" s="23"/>
      <c r="AT508" s="23"/>
      <c r="AU508" s="23"/>
    </row>
    <row r="509" spans="8:47" x14ac:dyDescent="0.2">
      <c r="H509" s="23"/>
      <c r="N509" s="6"/>
      <c r="Q509" s="23"/>
      <c r="R509" s="23"/>
      <c r="AR509" s="23"/>
      <c r="AS509" s="23"/>
      <c r="AT509" s="23"/>
      <c r="AU509" s="23"/>
    </row>
    <row r="510" spans="8:47" x14ac:dyDescent="0.2">
      <c r="H510" s="23"/>
      <c r="N510" s="6"/>
      <c r="Q510" s="23"/>
      <c r="R510" s="23"/>
      <c r="AR510" s="23"/>
      <c r="AS510" s="23"/>
      <c r="AT510" s="23"/>
      <c r="AU510" s="23"/>
    </row>
    <row r="511" spans="8:47" x14ac:dyDescent="0.2">
      <c r="H511" s="23"/>
      <c r="N511" s="6"/>
      <c r="Q511" s="23"/>
      <c r="R511" s="23"/>
      <c r="AR511" s="23"/>
      <c r="AT511" s="23"/>
      <c r="AU511" s="23"/>
    </row>
    <row r="512" spans="8:47" x14ac:dyDescent="0.2">
      <c r="H512" s="23"/>
      <c r="N512" s="6"/>
      <c r="Q512" s="23"/>
      <c r="R512" s="23"/>
      <c r="AR512" s="23"/>
      <c r="AS512" s="23"/>
      <c r="AT512" s="23"/>
      <c r="AU512" s="23"/>
    </row>
    <row r="513" spans="8:47" x14ac:dyDescent="0.2">
      <c r="H513" s="23"/>
      <c r="N513" s="6"/>
      <c r="Q513" s="23"/>
      <c r="R513" s="23"/>
      <c r="AR513" s="23"/>
      <c r="AS513" s="23"/>
      <c r="AT513" s="23"/>
      <c r="AU513" s="23"/>
    </row>
    <row r="514" spans="8:47" x14ac:dyDescent="0.2">
      <c r="H514" s="23"/>
      <c r="N514" s="6"/>
      <c r="Q514" s="23"/>
      <c r="R514" s="23"/>
      <c r="AR514" s="23"/>
      <c r="AS514" s="23"/>
      <c r="AT514" s="23"/>
      <c r="AU514" s="23"/>
    </row>
    <row r="515" spans="8:47" x14ac:dyDescent="0.2">
      <c r="H515" s="23"/>
      <c r="N515" s="6"/>
      <c r="Q515" s="23"/>
      <c r="R515" s="23"/>
      <c r="AR515" s="23"/>
      <c r="AS515" s="23"/>
      <c r="AT515" s="23"/>
      <c r="AU515" s="23"/>
    </row>
    <row r="516" spans="8:47" x14ac:dyDescent="0.2">
      <c r="H516" s="23"/>
      <c r="N516" s="6"/>
      <c r="Q516" s="23"/>
      <c r="R516" s="23"/>
      <c r="AR516" s="23"/>
      <c r="AS516" s="23"/>
      <c r="AT516" s="23"/>
      <c r="AU516" s="23"/>
    </row>
    <row r="517" spans="8:47" x14ac:dyDescent="0.2">
      <c r="H517" s="23"/>
      <c r="N517" s="6"/>
      <c r="Q517" s="23"/>
      <c r="R517" s="23"/>
      <c r="AR517" s="23"/>
      <c r="AS517" s="23"/>
      <c r="AT517" s="23"/>
      <c r="AU517" s="23"/>
    </row>
    <row r="518" spans="8:47" x14ac:dyDescent="0.2">
      <c r="H518" s="23"/>
      <c r="N518" s="6"/>
      <c r="Q518" s="23"/>
      <c r="R518" s="23"/>
      <c r="AR518" s="23"/>
      <c r="AS518" s="23"/>
      <c r="AT518" s="23"/>
      <c r="AU518" s="23"/>
    </row>
    <row r="519" spans="8:47" x14ac:dyDescent="0.2">
      <c r="H519" s="23"/>
      <c r="N519" s="6"/>
      <c r="Q519" s="23"/>
      <c r="R519" s="23"/>
      <c r="AR519" s="23"/>
      <c r="AS519" s="23"/>
      <c r="AT519" s="23"/>
      <c r="AU519" s="23"/>
    </row>
    <row r="520" spans="8:47" x14ac:dyDescent="0.2">
      <c r="H520" s="23"/>
      <c r="N520" s="6"/>
      <c r="Q520" s="23"/>
      <c r="R520" s="23"/>
      <c r="AR520" s="23"/>
      <c r="AS520" s="23"/>
      <c r="AT520" s="23"/>
      <c r="AU520" s="23"/>
    </row>
    <row r="521" spans="8:47" x14ac:dyDescent="0.2">
      <c r="H521" s="23"/>
      <c r="N521" s="6"/>
      <c r="Q521" s="23"/>
      <c r="R521" s="23"/>
      <c r="AR521" s="23"/>
      <c r="AS521" s="23"/>
      <c r="AT521" s="23"/>
      <c r="AU521" s="23"/>
    </row>
    <row r="522" spans="8:47" x14ac:dyDescent="0.2">
      <c r="H522" s="23"/>
      <c r="N522" s="6"/>
      <c r="Q522" s="23"/>
      <c r="R522" s="23"/>
      <c r="AR522" s="23"/>
      <c r="AS522" s="23"/>
      <c r="AT522" s="23"/>
      <c r="AU522" s="23"/>
    </row>
    <row r="523" spans="8:47" x14ac:dyDescent="0.2">
      <c r="H523" s="23"/>
      <c r="N523" s="6"/>
      <c r="Q523" s="23"/>
      <c r="R523" s="23"/>
      <c r="AR523" s="23"/>
      <c r="AS523" s="23"/>
      <c r="AT523" s="23"/>
      <c r="AU523" s="23"/>
    </row>
    <row r="524" spans="8:47" x14ac:dyDescent="0.2">
      <c r="H524" s="23"/>
      <c r="N524" s="6"/>
      <c r="Q524" s="23"/>
      <c r="R524" s="23"/>
      <c r="AR524" s="23"/>
      <c r="AS524" s="23"/>
      <c r="AT524" s="23"/>
      <c r="AU524" s="23"/>
    </row>
    <row r="525" spans="8:47" x14ac:dyDescent="0.2">
      <c r="H525" s="23"/>
      <c r="N525" s="6"/>
      <c r="Q525" s="23"/>
      <c r="R525" s="23"/>
      <c r="AR525" s="23"/>
      <c r="AS525" s="23"/>
      <c r="AT525" s="23"/>
      <c r="AU525" s="23"/>
    </row>
    <row r="526" spans="8:47" x14ac:dyDescent="0.2">
      <c r="H526" s="23"/>
      <c r="N526" s="6"/>
      <c r="Q526" s="23"/>
      <c r="R526" s="23"/>
      <c r="AR526" s="23"/>
      <c r="AS526" s="23"/>
      <c r="AT526" s="23"/>
      <c r="AU526" s="23"/>
    </row>
    <row r="527" spans="8:47" x14ac:dyDescent="0.2">
      <c r="H527" s="23"/>
      <c r="N527" s="6"/>
      <c r="Q527" s="23"/>
      <c r="R527" s="23"/>
      <c r="AR527" s="23"/>
      <c r="AS527" s="23"/>
      <c r="AT527" s="23"/>
      <c r="AU527" s="23"/>
    </row>
    <row r="528" spans="8:47" x14ac:dyDescent="0.2">
      <c r="H528" s="23"/>
      <c r="N528" s="6"/>
      <c r="Q528" s="23"/>
      <c r="R528" s="23"/>
      <c r="AR528" s="23"/>
      <c r="AS528" s="23"/>
      <c r="AT528" s="23"/>
      <c r="AU528" s="23"/>
    </row>
    <row r="529" spans="8:47" x14ac:dyDescent="0.2">
      <c r="H529" s="23"/>
      <c r="N529" s="6"/>
      <c r="Q529" s="23"/>
      <c r="R529" s="23"/>
      <c r="AR529" s="23"/>
      <c r="AS529" s="23"/>
      <c r="AT529" s="23"/>
      <c r="AU529" s="23"/>
    </row>
    <row r="530" spans="8:47" x14ac:dyDescent="0.2">
      <c r="H530" s="23"/>
      <c r="N530" s="6"/>
      <c r="Q530" s="23"/>
      <c r="R530" s="23"/>
      <c r="AR530" s="23"/>
      <c r="AS530" s="23"/>
      <c r="AT530" s="23"/>
      <c r="AU530" s="23"/>
    </row>
    <row r="531" spans="8:47" x14ac:dyDescent="0.2">
      <c r="H531" s="23"/>
      <c r="N531" s="6"/>
      <c r="Q531" s="23"/>
      <c r="R531" s="23"/>
      <c r="AR531" s="23"/>
      <c r="AT531" s="23"/>
      <c r="AU531" s="23"/>
    </row>
    <row r="532" spans="8:47" x14ac:dyDescent="0.2">
      <c r="H532" s="23"/>
      <c r="N532" s="6"/>
      <c r="Q532" s="23"/>
      <c r="R532" s="23"/>
      <c r="AR532" s="23"/>
      <c r="AS532" s="23"/>
      <c r="AT532" s="23"/>
      <c r="AU532" s="23"/>
    </row>
    <row r="533" spans="8:47" x14ac:dyDescent="0.2">
      <c r="H533" s="23"/>
      <c r="N533" s="6"/>
      <c r="Q533" s="23"/>
      <c r="R533" s="23"/>
      <c r="AR533" s="23"/>
      <c r="AS533" s="23"/>
      <c r="AT533" s="23"/>
      <c r="AU533" s="23"/>
    </row>
    <row r="534" spans="8:47" x14ac:dyDescent="0.2">
      <c r="H534" s="23"/>
      <c r="N534" s="6"/>
      <c r="Q534" s="23"/>
      <c r="R534" s="23"/>
      <c r="AR534" s="23"/>
      <c r="AS534" s="23"/>
      <c r="AT534" s="23"/>
      <c r="AU534" s="23"/>
    </row>
    <row r="535" spans="8:47" x14ac:dyDescent="0.2">
      <c r="H535" s="23"/>
      <c r="N535" s="6"/>
      <c r="Q535" s="23"/>
      <c r="R535" s="23"/>
      <c r="AR535" s="23"/>
      <c r="AS535" s="23"/>
      <c r="AT535" s="23"/>
      <c r="AU535" s="23"/>
    </row>
    <row r="536" spans="8:47" x14ac:dyDescent="0.2">
      <c r="H536" s="23"/>
      <c r="N536" s="6"/>
      <c r="Q536" s="23"/>
      <c r="R536" s="23"/>
      <c r="AR536" s="23"/>
      <c r="AS536" s="23"/>
      <c r="AT536" s="23"/>
      <c r="AU536" s="23"/>
    </row>
    <row r="537" spans="8:47" x14ac:dyDescent="0.2">
      <c r="H537" s="23"/>
      <c r="N537" s="6"/>
      <c r="Q537" s="23"/>
      <c r="R537" s="23"/>
      <c r="AR537" s="23"/>
      <c r="AS537" s="23"/>
      <c r="AT537" s="23"/>
      <c r="AU537" s="23"/>
    </row>
    <row r="538" spans="8:47" x14ac:dyDescent="0.2">
      <c r="H538" s="23"/>
      <c r="N538" s="6"/>
      <c r="Q538" s="23"/>
      <c r="R538" s="23"/>
      <c r="AR538" s="23"/>
      <c r="AS538" s="23"/>
      <c r="AT538" s="23"/>
      <c r="AU538" s="23"/>
    </row>
    <row r="539" spans="8:47" x14ac:dyDescent="0.2">
      <c r="H539" s="23"/>
      <c r="N539" s="6"/>
      <c r="Q539" s="23"/>
      <c r="R539" s="23"/>
      <c r="AT539" s="23"/>
      <c r="AU539" s="23"/>
    </row>
    <row r="540" spans="8:47" x14ac:dyDescent="0.2">
      <c r="H540" s="23"/>
      <c r="N540" s="6"/>
      <c r="Q540" s="23"/>
      <c r="R540" s="23"/>
      <c r="AR540" s="23"/>
      <c r="AS540" s="23"/>
      <c r="AT540" s="23"/>
      <c r="AU540" s="23"/>
    </row>
    <row r="541" spans="8:47" x14ac:dyDescent="0.2">
      <c r="H541" s="23"/>
      <c r="N541" s="6"/>
      <c r="Q541" s="23"/>
      <c r="R541" s="23"/>
      <c r="AR541" s="23"/>
      <c r="AS541" s="23"/>
      <c r="AT541" s="23"/>
      <c r="AU541" s="23"/>
    </row>
    <row r="542" spans="8:47" x14ac:dyDescent="0.2">
      <c r="H542" s="23"/>
      <c r="N542" s="6"/>
      <c r="Q542" s="23"/>
      <c r="R542" s="23"/>
      <c r="AR542" s="23"/>
      <c r="AT542" s="23"/>
      <c r="AU542" s="23"/>
    </row>
    <row r="543" spans="8:47" x14ac:dyDescent="0.2">
      <c r="H543" s="23"/>
      <c r="N543" s="6"/>
      <c r="Q543" s="23"/>
      <c r="R543" s="23"/>
      <c r="AR543" s="23"/>
      <c r="AS543" s="23"/>
      <c r="AT543" s="23"/>
      <c r="AU543" s="23"/>
    </row>
    <row r="544" spans="8:47" x14ac:dyDescent="0.2">
      <c r="H544" s="23"/>
      <c r="N544" s="6"/>
      <c r="Q544" s="23"/>
      <c r="R544" s="23"/>
      <c r="AR544" s="23"/>
      <c r="AS544" s="23"/>
      <c r="AT544" s="23"/>
      <c r="AU544" s="23"/>
    </row>
    <row r="545" spans="8:47" x14ac:dyDescent="0.2">
      <c r="H545" s="23"/>
      <c r="N545" s="6"/>
      <c r="Q545" s="23"/>
      <c r="R545" s="23"/>
      <c r="AR545" s="23"/>
      <c r="AS545" s="23"/>
      <c r="AT545" s="23"/>
      <c r="AU545" s="23"/>
    </row>
    <row r="546" spans="8:47" x14ac:dyDescent="0.2">
      <c r="H546" s="23"/>
      <c r="N546" s="6"/>
      <c r="Q546" s="23"/>
      <c r="R546" s="23"/>
      <c r="AR546" s="23"/>
      <c r="AS546" s="23"/>
      <c r="AT546" s="23"/>
      <c r="AU546" s="23"/>
    </row>
    <row r="547" spans="8:47" x14ac:dyDescent="0.2">
      <c r="H547" s="23"/>
      <c r="N547" s="6"/>
      <c r="Q547" s="23"/>
      <c r="R547" s="23"/>
      <c r="AR547" s="23"/>
      <c r="AS547" s="23"/>
      <c r="AT547" s="23"/>
      <c r="AU547" s="23"/>
    </row>
    <row r="548" spans="8:47" x14ac:dyDescent="0.2">
      <c r="H548" s="23"/>
      <c r="N548" s="6"/>
      <c r="Q548" s="23"/>
      <c r="R548" s="23"/>
      <c r="AR548" s="23"/>
      <c r="AS548" s="23"/>
      <c r="AT548" s="23"/>
      <c r="AU548" s="23"/>
    </row>
    <row r="549" spans="8:47" x14ac:dyDescent="0.2">
      <c r="H549" s="23"/>
      <c r="N549" s="6"/>
      <c r="Q549" s="23"/>
      <c r="R549" s="23"/>
      <c r="AR549" s="23"/>
      <c r="AS549" s="23"/>
      <c r="AT549" s="23"/>
      <c r="AU549" s="23"/>
    </row>
    <row r="550" spans="8:47" x14ac:dyDescent="0.2">
      <c r="H550" s="23"/>
      <c r="N550" s="6"/>
      <c r="Q550" s="23"/>
      <c r="R550" s="23"/>
      <c r="AR550" s="23"/>
      <c r="AT550" s="23"/>
      <c r="AU550" s="23"/>
    </row>
    <row r="551" spans="8:47" x14ac:dyDescent="0.2">
      <c r="H551" s="23"/>
      <c r="N551" s="6"/>
      <c r="Q551" s="23"/>
      <c r="R551" s="23"/>
      <c r="AR551" s="23"/>
      <c r="AS551" s="23"/>
      <c r="AT551" s="23"/>
      <c r="AU551" s="23"/>
    </row>
    <row r="552" spans="8:47" x14ac:dyDescent="0.2">
      <c r="H552" s="23"/>
      <c r="N552" s="6"/>
      <c r="Q552" s="23"/>
      <c r="R552" s="23"/>
      <c r="AR552" s="23"/>
      <c r="AS552" s="23"/>
      <c r="AT552" s="23"/>
      <c r="AU552" s="23"/>
    </row>
    <row r="553" spans="8:47" x14ac:dyDescent="0.2">
      <c r="H553" s="23"/>
      <c r="N553" s="6"/>
      <c r="Q553" s="23"/>
      <c r="R553" s="23"/>
      <c r="AR553" s="23"/>
      <c r="AS553" s="23"/>
      <c r="AT553" s="23"/>
      <c r="AU553" s="23"/>
    </row>
    <row r="554" spans="8:47" x14ac:dyDescent="0.2">
      <c r="H554" s="23"/>
      <c r="N554" s="6"/>
      <c r="Q554" s="23"/>
      <c r="R554" s="23"/>
      <c r="AR554" s="23"/>
      <c r="AT554" s="23"/>
      <c r="AU554" s="23"/>
    </row>
    <row r="555" spans="8:47" x14ac:dyDescent="0.2">
      <c r="H555" s="23"/>
      <c r="N555" s="6"/>
      <c r="Q555" s="23"/>
      <c r="R555" s="23"/>
      <c r="AR555" s="23"/>
      <c r="AS555" s="23"/>
      <c r="AT555" s="23"/>
      <c r="AU555" s="23"/>
    </row>
    <row r="556" spans="8:47" x14ac:dyDescent="0.2">
      <c r="H556" s="23"/>
      <c r="N556" s="6"/>
      <c r="Q556" s="23"/>
      <c r="R556" s="23"/>
      <c r="AR556" s="23"/>
      <c r="AS556" s="23"/>
      <c r="AT556" s="23"/>
      <c r="AU556" s="23"/>
    </row>
    <row r="557" spans="8:47" x14ac:dyDescent="0.2">
      <c r="H557" s="23"/>
      <c r="N557" s="6"/>
      <c r="Q557" s="23"/>
      <c r="R557" s="23"/>
      <c r="AR557" s="23"/>
      <c r="AS557" s="23"/>
      <c r="AT557" s="23"/>
      <c r="AU557" s="23"/>
    </row>
    <row r="558" spans="8:47" x14ac:dyDescent="0.2">
      <c r="H558" s="23"/>
      <c r="N558" s="6"/>
      <c r="Q558" s="23"/>
      <c r="R558" s="23"/>
      <c r="AR558" s="23"/>
      <c r="AS558" s="23"/>
      <c r="AT558" s="23"/>
      <c r="AU558" s="23"/>
    </row>
    <row r="559" spans="8:47" x14ac:dyDescent="0.2">
      <c r="H559" s="23"/>
      <c r="N559" s="6"/>
      <c r="Q559" s="23"/>
      <c r="R559" s="23"/>
      <c r="AR559" s="23"/>
      <c r="AS559" s="23"/>
      <c r="AT559" s="23"/>
      <c r="AU559" s="23"/>
    </row>
    <row r="560" spans="8:47" x14ac:dyDescent="0.2">
      <c r="H560" s="23"/>
      <c r="N560" s="6"/>
      <c r="Q560" s="23"/>
      <c r="R560" s="23"/>
      <c r="AR560" s="23"/>
      <c r="AS560" s="23"/>
      <c r="AT560" s="23"/>
      <c r="AU560" s="23"/>
    </row>
    <row r="561" spans="8:47" x14ac:dyDescent="0.2">
      <c r="H561" s="23"/>
      <c r="N561" s="6"/>
      <c r="Q561" s="23"/>
      <c r="R561" s="23"/>
      <c r="AR561" s="23"/>
      <c r="AS561" s="23"/>
      <c r="AT561" s="23"/>
      <c r="AU561" s="23"/>
    </row>
    <row r="562" spans="8:47" x14ac:dyDescent="0.2">
      <c r="H562" s="23"/>
      <c r="N562" s="6"/>
      <c r="Q562" s="23"/>
      <c r="R562" s="23"/>
      <c r="AR562" s="23"/>
      <c r="AS562" s="23"/>
      <c r="AT562" s="23"/>
      <c r="AU562" s="23"/>
    </row>
    <row r="563" spans="8:47" x14ac:dyDescent="0.2">
      <c r="H563" s="23"/>
      <c r="N563" s="6"/>
      <c r="Q563" s="23"/>
      <c r="R563" s="23"/>
      <c r="AR563" s="23"/>
      <c r="AS563" s="23"/>
      <c r="AT563" s="23"/>
      <c r="AU563" s="23"/>
    </row>
    <row r="564" spans="8:47" x14ac:dyDescent="0.2">
      <c r="H564" s="23"/>
      <c r="N564" s="6"/>
      <c r="Q564" s="23"/>
      <c r="R564" s="23"/>
      <c r="AR564" s="23"/>
      <c r="AS564" s="23"/>
      <c r="AT564" s="23"/>
      <c r="AU564" s="23"/>
    </row>
    <row r="565" spans="8:47" x14ac:dyDescent="0.2">
      <c r="H565" s="23"/>
      <c r="N565" s="6"/>
      <c r="Q565" s="23"/>
      <c r="R565" s="23"/>
      <c r="AR565" s="23"/>
      <c r="AS565" s="23"/>
      <c r="AT565" s="23"/>
      <c r="AU565" s="23"/>
    </row>
    <row r="566" spans="8:47" x14ac:dyDescent="0.2">
      <c r="H566" s="23"/>
      <c r="N566" s="6"/>
      <c r="Q566" s="23"/>
      <c r="R566" s="23"/>
      <c r="AR566" s="23"/>
      <c r="AS566" s="23"/>
      <c r="AT566" s="23"/>
    </row>
    <row r="567" spans="8:47" x14ac:dyDescent="0.2">
      <c r="H567" s="23"/>
      <c r="N567" s="6"/>
      <c r="Q567" s="23"/>
      <c r="R567" s="23"/>
      <c r="AR567" s="23"/>
      <c r="AS567" s="23"/>
      <c r="AT567" s="23"/>
      <c r="AU567" s="23"/>
    </row>
    <row r="568" spans="8:47" x14ac:dyDescent="0.2">
      <c r="H568" s="23"/>
      <c r="N568" s="6"/>
      <c r="Q568" s="23"/>
      <c r="R568" s="23"/>
      <c r="AR568" s="23"/>
      <c r="AS568" s="23"/>
      <c r="AT568" s="23"/>
      <c r="AU568" s="23"/>
    </row>
    <row r="569" spans="8:47" x14ac:dyDescent="0.2">
      <c r="H569" s="23"/>
      <c r="N569" s="6"/>
      <c r="Q569" s="23"/>
      <c r="R569" s="23"/>
      <c r="AR569" s="23"/>
      <c r="AS569" s="23"/>
      <c r="AT569" s="23"/>
      <c r="AU569" s="23"/>
    </row>
    <row r="570" spans="8:47" x14ac:dyDescent="0.2">
      <c r="H570" s="23"/>
      <c r="N570" s="6"/>
      <c r="Q570" s="23"/>
      <c r="R570" s="23"/>
      <c r="AR570" s="23"/>
      <c r="AS570" s="23"/>
      <c r="AT570" s="23"/>
      <c r="AU570" s="23"/>
    </row>
    <row r="571" spans="8:47" x14ac:dyDescent="0.2">
      <c r="H571" s="23"/>
      <c r="N571" s="6"/>
      <c r="Q571" s="23"/>
      <c r="R571" s="23"/>
      <c r="AR571" s="23"/>
      <c r="AS571" s="23"/>
      <c r="AT571" s="23"/>
      <c r="AU571" s="23"/>
    </row>
    <row r="572" spans="8:47" x14ac:dyDescent="0.2">
      <c r="H572" s="23"/>
      <c r="N572" s="6"/>
      <c r="Q572" s="23"/>
      <c r="R572" s="23"/>
      <c r="AR572" s="23"/>
      <c r="AS572" s="23"/>
      <c r="AT572" s="23"/>
      <c r="AU572" s="23"/>
    </row>
    <row r="573" spans="8:47" x14ac:dyDescent="0.2">
      <c r="H573" s="23"/>
      <c r="N573" s="6"/>
      <c r="Q573" s="23"/>
      <c r="R573" s="23"/>
      <c r="AR573" s="23"/>
      <c r="AS573" s="23"/>
      <c r="AT573" s="23"/>
      <c r="AU573" s="23"/>
    </row>
    <row r="574" spans="8:47" x14ac:dyDescent="0.2">
      <c r="H574" s="23"/>
      <c r="N574" s="6"/>
      <c r="Q574" s="23"/>
      <c r="R574" s="23"/>
      <c r="AR574" s="23"/>
      <c r="AS574" s="23"/>
      <c r="AT574" s="23"/>
      <c r="AU574" s="23"/>
    </row>
    <row r="575" spans="8:47" x14ac:dyDescent="0.2">
      <c r="H575" s="23"/>
      <c r="N575" s="6"/>
      <c r="Q575" s="23"/>
      <c r="R575" s="23"/>
      <c r="AR575" s="23"/>
      <c r="AS575" s="23"/>
      <c r="AT575" s="23"/>
      <c r="AU575" s="23"/>
    </row>
    <row r="576" spans="8:47" x14ac:dyDescent="0.2">
      <c r="H576" s="23"/>
      <c r="N576" s="6"/>
      <c r="Q576" s="23"/>
      <c r="R576" s="23"/>
      <c r="AR576" s="23"/>
      <c r="AS576" s="23"/>
      <c r="AT576" s="23"/>
      <c r="AU576" s="23"/>
    </row>
    <row r="577" spans="8:47" x14ac:dyDescent="0.2">
      <c r="H577" s="23"/>
      <c r="N577" s="6"/>
      <c r="Q577" s="23"/>
      <c r="R577" s="23"/>
      <c r="AR577" s="23"/>
      <c r="AS577" s="23"/>
      <c r="AT577" s="23"/>
      <c r="AU577" s="23"/>
    </row>
    <row r="578" spans="8:47" x14ac:dyDescent="0.2">
      <c r="H578" s="23"/>
      <c r="N578" s="6"/>
      <c r="Q578" s="23"/>
      <c r="R578" s="23"/>
      <c r="AR578" s="23"/>
      <c r="AS578" s="23"/>
      <c r="AT578" s="23"/>
      <c r="AU578" s="23"/>
    </row>
    <row r="579" spans="8:47" x14ac:dyDescent="0.2">
      <c r="H579" s="23"/>
      <c r="N579" s="6"/>
      <c r="Q579" s="23"/>
      <c r="R579" s="23"/>
      <c r="AR579" s="23"/>
      <c r="AS579" s="23"/>
      <c r="AT579" s="23"/>
      <c r="AU579" s="23"/>
    </row>
    <row r="580" spans="8:47" x14ac:dyDescent="0.2">
      <c r="H580" s="23"/>
      <c r="N580" s="6"/>
      <c r="Q580" s="23"/>
      <c r="R580" s="23"/>
      <c r="AR580" s="23"/>
      <c r="AS580" s="23"/>
      <c r="AT580" s="23"/>
      <c r="AU580" s="23"/>
    </row>
    <row r="581" spans="8:47" x14ac:dyDescent="0.2">
      <c r="H581" s="23"/>
      <c r="N581" s="6"/>
      <c r="Q581" s="23"/>
      <c r="R581" s="23"/>
    </row>
    <row r="582" spans="8:47" x14ac:dyDescent="0.2">
      <c r="H582" s="23"/>
      <c r="N582" s="6"/>
      <c r="Q582" s="23"/>
      <c r="R582" s="23"/>
      <c r="AR582" s="23"/>
      <c r="AS582" s="23"/>
      <c r="AT582" s="23"/>
      <c r="AU582" s="23"/>
    </row>
    <row r="583" spans="8:47" x14ac:dyDescent="0.2">
      <c r="H583" s="23"/>
      <c r="N583" s="6"/>
      <c r="Q583" s="23"/>
      <c r="R583" s="23"/>
      <c r="AR583" s="23"/>
      <c r="AS583" s="23"/>
      <c r="AT583" s="23"/>
      <c r="AU583" s="23"/>
    </row>
    <row r="584" spans="8:47" x14ac:dyDescent="0.2">
      <c r="H584" s="23"/>
      <c r="N584" s="6"/>
      <c r="Q584" s="23"/>
      <c r="R584" s="23"/>
      <c r="AR584" s="23"/>
      <c r="AS584" s="23"/>
      <c r="AT584" s="23"/>
      <c r="AU584" s="23"/>
    </row>
    <row r="585" spans="8:47" x14ac:dyDescent="0.2">
      <c r="H585" s="23"/>
      <c r="N585" s="6"/>
      <c r="Q585" s="23"/>
      <c r="R585" s="23"/>
      <c r="AR585" s="23"/>
      <c r="AS585" s="23"/>
      <c r="AT585" s="23"/>
      <c r="AU585" s="23"/>
    </row>
    <row r="586" spans="8:47" x14ac:dyDescent="0.2">
      <c r="H586" s="23"/>
      <c r="N586" s="6"/>
      <c r="Q586" s="23"/>
      <c r="R586" s="23"/>
      <c r="AR586" s="23"/>
      <c r="AS586" s="23"/>
      <c r="AT586" s="23"/>
      <c r="AU586" s="23"/>
    </row>
    <row r="587" spans="8:47" x14ac:dyDescent="0.2">
      <c r="H587" s="23"/>
      <c r="N587" s="6"/>
      <c r="Q587" s="23"/>
      <c r="R587" s="23"/>
      <c r="AR587" s="23"/>
      <c r="AS587" s="23"/>
      <c r="AT587" s="23"/>
      <c r="AU587" s="23"/>
    </row>
    <row r="588" spans="8:47" x14ac:dyDescent="0.2">
      <c r="H588" s="23"/>
      <c r="N588" s="6"/>
      <c r="Q588" s="23"/>
      <c r="R588" s="23"/>
      <c r="AR588" s="23"/>
      <c r="AS588" s="23"/>
      <c r="AT588" s="23"/>
      <c r="AU588" s="23"/>
    </row>
    <row r="589" spans="8:47" x14ac:dyDescent="0.2">
      <c r="H589" s="23"/>
      <c r="N589" s="6"/>
      <c r="Q589" s="23"/>
      <c r="R589" s="23"/>
      <c r="AR589" s="23"/>
      <c r="AS589" s="23"/>
      <c r="AT589" s="23"/>
      <c r="AU589" s="23"/>
    </row>
    <row r="590" spans="8:47" x14ac:dyDescent="0.2">
      <c r="H590" s="23"/>
      <c r="N590" s="6"/>
      <c r="Q590" s="23"/>
      <c r="R590" s="23"/>
      <c r="AR590" s="23"/>
      <c r="AS590" s="23"/>
      <c r="AT590" s="23"/>
      <c r="AU590" s="23"/>
    </row>
    <row r="591" spans="8:47" x14ac:dyDescent="0.2">
      <c r="H591" s="23"/>
      <c r="N591" s="6"/>
      <c r="Q591" s="23"/>
      <c r="R591" s="23"/>
      <c r="AR591" s="23"/>
      <c r="AS591" s="23"/>
      <c r="AT591" s="23"/>
      <c r="AU591" s="23"/>
    </row>
    <row r="592" spans="8:47" x14ac:dyDescent="0.2">
      <c r="H592" s="23"/>
      <c r="N592" s="6"/>
      <c r="Q592" s="23"/>
      <c r="R592" s="23"/>
      <c r="AR592" s="23"/>
      <c r="AS592" s="23"/>
      <c r="AT592" s="23"/>
      <c r="AU592" s="23"/>
    </row>
    <row r="593" spans="8:47" x14ac:dyDescent="0.2">
      <c r="H593" s="23"/>
      <c r="N593" s="6"/>
      <c r="Q593" s="23"/>
      <c r="R593" s="23"/>
      <c r="AR593" s="23"/>
      <c r="AS593" s="23"/>
      <c r="AT593" s="23"/>
      <c r="AU593" s="23"/>
    </row>
    <row r="594" spans="8:47" x14ac:dyDescent="0.2">
      <c r="H594" s="23"/>
      <c r="N594" s="6"/>
      <c r="Q594" s="23"/>
      <c r="R594" s="23"/>
      <c r="AR594" s="23"/>
      <c r="AS594" s="23"/>
      <c r="AT594" s="23"/>
      <c r="AU594" s="23"/>
    </row>
    <row r="595" spans="8:47" x14ac:dyDescent="0.2">
      <c r="H595" s="23"/>
      <c r="N595" s="6"/>
      <c r="Q595" s="23"/>
      <c r="R595" s="23"/>
      <c r="AR595" s="23"/>
      <c r="AS595" s="23"/>
      <c r="AT595" s="23"/>
      <c r="AU595" s="23"/>
    </row>
    <row r="596" spans="8:47" x14ac:dyDescent="0.2">
      <c r="H596" s="23"/>
      <c r="N596" s="6"/>
      <c r="Q596" s="23"/>
      <c r="R596" s="23"/>
      <c r="AR596" s="23"/>
      <c r="AS596" s="23"/>
      <c r="AT596" s="23"/>
      <c r="AU596" s="23"/>
    </row>
    <row r="597" spans="8:47" x14ac:dyDescent="0.2">
      <c r="H597" s="23"/>
      <c r="N597" s="6"/>
      <c r="Q597" s="23"/>
      <c r="R597" s="23"/>
      <c r="AR597" s="23"/>
      <c r="AS597" s="23"/>
      <c r="AT597" s="23"/>
      <c r="AU597" s="23"/>
    </row>
    <row r="598" spans="8:47" x14ac:dyDescent="0.2">
      <c r="H598" s="23"/>
      <c r="N598" s="6"/>
      <c r="Q598" s="23"/>
      <c r="R598" s="23"/>
      <c r="AR598" s="23"/>
      <c r="AS598" s="23"/>
      <c r="AT598" s="23"/>
      <c r="AU598" s="23"/>
    </row>
    <row r="599" spans="8:47" x14ac:dyDescent="0.2">
      <c r="H599" s="23"/>
      <c r="N599" s="6"/>
      <c r="Q599" s="23"/>
      <c r="R599" s="23"/>
      <c r="AR599" s="23"/>
      <c r="AS599" s="23"/>
      <c r="AT599" s="23"/>
    </row>
    <row r="600" spans="8:47" x14ac:dyDescent="0.2">
      <c r="H600" s="23"/>
      <c r="N600" s="6"/>
      <c r="Q600" s="23"/>
      <c r="R600" s="23"/>
      <c r="AR600" s="23"/>
      <c r="AS600" s="23"/>
      <c r="AT600" s="23"/>
      <c r="AU600" s="23"/>
    </row>
    <row r="601" spans="8:47" x14ac:dyDescent="0.2">
      <c r="H601" s="23"/>
      <c r="N601" s="6"/>
      <c r="Q601" s="23"/>
      <c r="R601" s="23"/>
      <c r="AR601" s="23"/>
      <c r="AS601" s="23"/>
      <c r="AT601" s="23"/>
      <c r="AU601" s="23"/>
    </row>
    <row r="602" spans="8:47" x14ac:dyDescent="0.2">
      <c r="H602" s="23"/>
      <c r="N602" s="6"/>
      <c r="Q602" s="23"/>
      <c r="R602" s="23"/>
      <c r="AR602" s="23"/>
      <c r="AS602" s="23"/>
      <c r="AT602" s="23"/>
      <c r="AU602" s="23"/>
    </row>
    <row r="603" spans="8:47" x14ac:dyDescent="0.2">
      <c r="H603" s="23"/>
      <c r="N603" s="6"/>
      <c r="Q603" s="23"/>
      <c r="R603" s="23"/>
      <c r="AR603" s="23"/>
      <c r="AS603" s="23"/>
      <c r="AT603" s="23"/>
      <c r="AU603" s="23"/>
    </row>
    <row r="604" spans="8:47" x14ac:dyDescent="0.2">
      <c r="H604" s="23"/>
      <c r="N604" s="6"/>
      <c r="Q604" s="23"/>
      <c r="R604" s="23"/>
      <c r="AR604" s="23"/>
      <c r="AS604" s="23"/>
      <c r="AT604" s="23"/>
      <c r="AU604" s="23"/>
    </row>
    <row r="605" spans="8:47" x14ac:dyDescent="0.2">
      <c r="H605" s="23"/>
      <c r="N605" s="6"/>
      <c r="Q605" s="23"/>
      <c r="R605" s="23"/>
      <c r="AR605" s="23"/>
      <c r="AS605" s="23"/>
      <c r="AT605" s="23"/>
      <c r="AU605" s="23"/>
    </row>
    <row r="606" spans="8:47" x14ac:dyDescent="0.2">
      <c r="H606" s="23"/>
      <c r="N606" s="6"/>
      <c r="Q606" s="23"/>
      <c r="R606" s="23"/>
      <c r="AR606" s="23"/>
      <c r="AS606" s="23"/>
      <c r="AT606" s="23"/>
      <c r="AU606" s="23"/>
    </row>
    <row r="607" spans="8:47" x14ac:dyDescent="0.2">
      <c r="H607" s="23"/>
      <c r="N607" s="6"/>
      <c r="Q607" s="23"/>
      <c r="R607" s="23"/>
      <c r="AR607" s="23"/>
      <c r="AS607" s="23"/>
      <c r="AT607" s="23"/>
      <c r="AU607" s="23"/>
    </row>
    <row r="608" spans="8:47" x14ac:dyDescent="0.2">
      <c r="H608" s="23"/>
      <c r="N608" s="6"/>
      <c r="Q608" s="23"/>
      <c r="R608" s="23"/>
      <c r="AR608" s="23"/>
      <c r="AS608" s="23"/>
      <c r="AT608" s="23"/>
      <c r="AU608" s="23"/>
    </row>
    <row r="609" spans="8:47" x14ac:dyDescent="0.2">
      <c r="H609" s="23"/>
      <c r="N609" s="6"/>
      <c r="Q609" s="23"/>
      <c r="R609" s="23"/>
      <c r="AR609" s="23"/>
      <c r="AS609" s="23"/>
      <c r="AT609" s="23"/>
      <c r="AU609" s="23"/>
    </row>
    <row r="610" spans="8:47" x14ac:dyDescent="0.2">
      <c r="H610" s="23"/>
      <c r="N610" s="6"/>
      <c r="Q610" s="23"/>
      <c r="R610" s="23"/>
      <c r="AR610" s="23"/>
      <c r="AS610" s="23"/>
      <c r="AT610" s="23"/>
      <c r="AU610" s="23"/>
    </row>
    <row r="611" spans="8:47" x14ac:dyDescent="0.2">
      <c r="H611" s="23"/>
      <c r="N611" s="6"/>
      <c r="Q611" s="23"/>
      <c r="R611" s="23"/>
      <c r="AR611" s="23"/>
      <c r="AS611" s="23"/>
      <c r="AT611" s="23"/>
      <c r="AU611" s="23"/>
    </row>
    <row r="612" spans="8:47" x14ac:dyDescent="0.2">
      <c r="H612" s="23"/>
      <c r="N612" s="6"/>
      <c r="Q612" s="23"/>
      <c r="R612" s="23"/>
      <c r="AR612" s="23"/>
      <c r="AS612" s="23"/>
      <c r="AT612" s="23"/>
      <c r="AU612" s="23"/>
    </row>
    <row r="613" spans="8:47" x14ac:dyDescent="0.2">
      <c r="H613" s="23"/>
      <c r="N613" s="6"/>
      <c r="Q613" s="23"/>
      <c r="R613" s="23"/>
      <c r="AR613" s="23"/>
      <c r="AS613" s="23"/>
      <c r="AT613" s="23"/>
      <c r="AU613" s="23"/>
    </row>
    <row r="614" spans="8:47" x14ac:dyDescent="0.2">
      <c r="H614" s="23"/>
      <c r="N614" s="6"/>
      <c r="Q614" s="23"/>
      <c r="R614" s="23"/>
      <c r="AR614" s="23"/>
      <c r="AS614" s="23"/>
      <c r="AT614" s="23"/>
      <c r="AU614" s="23"/>
    </row>
    <row r="615" spans="8:47" x14ac:dyDescent="0.2">
      <c r="H615" s="23"/>
      <c r="N615" s="6"/>
      <c r="Q615" s="23"/>
      <c r="R615" s="23"/>
      <c r="AR615" s="23"/>
      <c r="AS615" s="23"/>
      <c r="AT615" s="23"/>
      <c r="AU615" s="23"/>
    </row>
    <row r="616" spans="8:47" x14ac:dyDescent="0.2">
      <c r="H616" s="23"/>
      <c r="N616" s="6"/>
      <c r="Q616" s="23"/>
      <c r="R616" s="23"/>
      <c r="AR616" s="23"/>
      <c r="AS616" s="23"/>
      <c r="AT616" s="23"/>
      <c r="AU616" s="23"/>
    </row>
    <row r="617" spans="8:47" x14ac:dyDescent="0.2">
      <c r="H617" s="23"/>
      <c r="N617" s="6"/>
      <c r="Q617" s="23"/>
      <c r="R617" s="23"/>
      <c r="AR617" s="23"/>
      <c r="AS617" s="23"/>
      <c r="AT617" s="23"/>
      <c r="AU617" s="23"/>
    </row>
    <row r="618" spans="8:47" x14ac:dyDescent="0.2">
      <c r="H618" s="23"/>
      <c r="N618" s="6"/>
      <c r="Q618" s="23"/>
      <c r="R618" s="23"/>
      <c r="AR618" s="23"/>
      <c r="AS618" s="23"/>
      <c r="AT618" s="23"/>
      <c r="AU618" s="23"/>
    </row>
    <row r="619" spans="8:47" x14ac:dyDescent="0.2">
      <c r="H619" s="23"/>
      <c r="N619" s="6"/>
      <c r="Q619" s="23"/>
      <c r="R619" s="23"/>
      <c r="AR619" s="23"/>
      <c r="AS619" s="23"/>
      <c r="AT619" s="23"/>
      <c r="AU619" s="23"/>
    </row>
    <row r="620" spans="8:47" x14ac:dyDescent="0.2">
      <c r="H620" s="23"/>
      <c r="N620" s="6"/>
      <c r="Q620" s="23"/>
      <c r="R620" s="23"/>
      <c r="AR620" s="23"/>
      <c r="AS620" s="23"/>
      <c r="AT620" s="23"/>
    </row>
    <row r="621" spans="8:47" x14ac:dyDescent="0.2">
      <c r="H621" s="23"/>
      <c r="N621" s="6"/>
      <c r="Q621" s="23"/>
      <c r="R621" s="23"/>
      <c r="AR621" s="23"/>
      <c r="AS621" s="23"/>
      <c r="AT621" s="23"/>
      <c r="AU621" s="23"/>
    </row>
    <row r="622" spans="8:47" x14ac:dyDescent="0.2">
      <c r="H622" s="23"/>
      <c r="N622" s="6"/>
      <c r="Q622" s="23"/>
      <c r="R622" s="23"/>
      <c r="AR622" s="23"/>
      <c r="AS622" s="23"/>
      <c r="AT622" s="23"/>
      <c r="AU622" s="23"/>
    </row>
    <row r="623" spans="8:47" x14ac:dyDescent="0.2">
      <c r="H623" s="23"/>
      <c r="N623" s="6"/>
      <c r="Q623" s="23"/>
      <c r="R623" s="23"/>
      <c r="AR623" s="23"/>
      <c r="AS623" s="23"/>
      <c r="AT623" s="23"/>
      <c r="AU623" s="23"/>
    </row>
    <row r="624" spans="8:47" x14ac:dyDescent="0.2">
      <c r="H624" s="23"/>
      <c r="N624" s="6"/>
      <c r="Q624" s="23"/>
      <c r="R624" s="23"/>
      <c r="AR624" s="23"/>
      <c r="AS624" s="23"/>
      <c r="AT624" s="23"/>
      <c r="AU624" s="23"/>
    </row>
    <row r="625" spans="8:47" x14ac:dyDescent="0.2">
      <c r="H625" s="23"/>
      <c r="N625" s="6"/>
      <c r="Q625" s="23"/>
      <c r="R625" s="23"/>
      <c r="AR625" s="23"/>
      <c r="AS625" s="23"/>
      <c r="AT625" s="23"/>
      <c r="AU625" s="23"/>
    </row>
    <row r="626" spans="8:47" x14ac:dyDescent="0.2">
      <c r="H626" s="23"/>
      <c r="N626" s="6"/>
      <c r="Q626" s="23"/>
      <c r="R626" s="23"/>
      <c r="AR626" s="23"/>
      <c r="AS626" s="23"/>
      <c r="AT626" s="23"/>
      <c r="AU626" s="23"/>
    </row>
    <row r="627" spans="8:47" x14ac:dyDescent="0.2">
      <c r="H627" s="23"/>
      <c r="N627" s="6"/>
      <c r="Q627" s="23"/>
      <c r="R627" s="23"/>
      <c r="AR627" s="23"/>
      <c r="AS627" s="23"/>
      <c r="AT627" s="23"/>
      <c r="AU627" s="23"/>
    </row>
    <row r="628" spans="8:47" x14ac:dyDescent="0.2">
      <c r="H628" s="23"/>
      <c r="N628" s="6"/>
      <c r="Q628" s="23"/>
      <c r="R628" s="23"/>
      <c r="AR628" s="23"/>
      <c r="AS628" s="23"/>
      <c r="AT628" s="23"/>
      <c r="AU628" s="23"/>
    </row>
    <row r="629" spans="8:47" x14ac:dyDescent="0.2">
      <c r="H629" s="23"/>
      <c r="N629" s="6"/>
      <c r="Q629" s="23"/>
      <c r="R629" s="23"/>
      <c r="AR629" s="23"/>
      <c r="AS629" s="23"/>
      <c r="AT629" s="23"/>
      <c r="AU629" s="23"/>
    </row>
    <row r="630" spans="8:47" x14ac:dyDescent="0.2">
      <c r="H630" s="23"/>
      <c r="N630" s="6"/>
      <c r="Q630" s="23"/>
      <c r="R630" s="23"/>
      <c r="AR630" s="23"/>
      <c r="AS630" s="23"/>
      <c r="AT630" s="23"/>
      <c r="AU630" s="23"/>
    </row>
    <row r="631" spans="8:47" x14ac:dyDescent="0.2">
      <c r="H631" s="23"/>
      <c r="N631" s="6"/>
      <c r="Q631" s="23"/>
      <c r="R631" s="23"/>
      <c r="AR631" s="23"/>
      <c r="AS631" s="23"/>
      <c r="AT631" s="23"/>
      <c r="AU631" s="23"/>
    </row>
    <row r="632" spans="8:47" x14ac:dyDescent="0.2">
      <c r="H632" s="23"/>
      <c r="N632" s="6"/>
      <c r="Q632" s="23"/>
      <c r="R632" s="23"/>
      <c r="AR632" s="23"/>
      <c r="AS632" s="23"/>
      <c r="AT632" s="23"/>
      <c r="AU632" s="23"/>
    </row>
    <row r="633" spans="8:47" x14ac:dyDescent="0.2">
      <c r="H633" s="23"/>
      <c r="N633" s="6"/>
      <c r="Q633" s="23"/>
      <c r="R633" s="23"/>
      <c r="AR633" s="23"/>
      <c r="AS633" s="23"/>
      <c r="AT633" s="23"/>
      <c r="AU633" s="23"/>
    </row>
    <row r="634" spans="8:47" x14ac:dyDescent="0.2">
      <c r="H634" s="23"/>
      <c r="N634" s="6"/>
      <c r="Q634" s="23"/>
      <c r="R634" s="23"/>
      <c r="AR634" s="23"/>
      <c r="AS634" s="23"/>
      <c r="AT634" s="23"/>
      <c r="AU634" s="23"/>
    </row>
    <row r="635" spans="8:47" x14ac:dyDescent="0.2">
      <c r="H635" s="23"/>
      <c r="N635" s="6"/>
      <c r="Q635" s="23"/>
      <c r="R635" s="23"/>
      <c r="AR635" s="23"/>
      <c r="AS635" s="23"/>
      <c r="AT635" s="23"/>
      <c r="AU635" s="23"/>
    </row>
    <row r="636" spans="8:47" x14ac:dyDescent="0.2">
      <c r="H636" s="23"/>
      <c r="N636" s="6"/>
      <c r="Q636" s="23"/>
      <c r="R636" s="23"/>
      <c r="AR636" s="23"/>
      <c r="AS636" s="23"/>
      <c r="AT636" s="23"/>
      <c r="AU636" s="23"/>
    </row>
    <row r="637" spans="8:47" x14ac:dyDescent="0.2">
      <c r="H637" s="23"/>
      <c r="N637" s="6"/>
      <c r="Q637" s="23"/>
      <c r="R637" s="23"/>
      <c r="AR637" s="23"/>
      <c r="AS637" s="23"/>
      <c r="AT637" s="23"/>
      <c r="AU637" s="23"/>
    </row>
    <row r="638" spans="8:47" x14ac:dyDescent="0.2">
      <c r="H638" s="23"/>
      <c r="N638" s="6"/>
      <c r="Q638" s="23"/>
      <c r="R638" s="23"/>
      <c r="AR638" s="23"/>
      <c r="AS638" s="23"/>
      <c r="AT638" s="23"/>
      <c r="AU638" s="23"/>
    </row>
    <row r="639" spans="8:47" x14ac:dyDescent="0.2">
      <c r="H639" s="23"/>
      <c r="N639" s="6"/>
      <c r="Q639" s="23"/>
      <c r="R639" s="23"/>
      <c r="AR639" s="23"/>
      <c r="AS639" s="23"/>
      <c r="AT639" s="23"/>
      <c r="AU639" s="23"/>
    </row>
    <row r="640" spans="8:47" x14ac:dyDescent="0.2">
      <c r="H640" s="23"/>
      <c r="N640" s="6"/>
      <c r="Q640" s="23"/>
      <c r="R640" s="23"/>
      <c r="AR640" s="23"/>
      <c r="AS640" s="23"/>
      <c r="AT640" s="23"/>
      <c r="AU640" s="23"/>
    </row>
    <row r="641" spans="8:47" x14ac:dyDescent="0.2">
      <c r="H641" s="23"/>
      <c r="N641" s="6"/>
      <c r="Q641" s="23"/>
      <c r="R641" s="23"/>
      <c r="AR641" s="23"/>
      <c r="AS641" s="23"/>
      <c r="AT641" s="23"/>
      <c r="AU641" s="23"/>
    </row>
    <row r="642" spans="8:47" x14ac:dyDescent="0.2">
      <c r="H642" s="23"/>
      <c r="N642" s="6"/>
      <c r="Q642" s="23"/>
      <c r="R642" s="23"/>
      <c r="AR642" s="23"/>
      <c r="AS642" s="23"/>
      <c r="AT642" s="23"/>
      <c r="AU642" s="23"/>
    </row>
    <row r="643" spans="8:47" x14ac:dyDescent="0.2">
      <c r="H643" s="23"/>
      <c r="N643" s="6"/>
      <c r="Q643" s="23"/>
      <c r="R643" s="23"/>
      <c r="AT643" s="23"/>
      <c r="AU643" s="23"/>
    </row>
    <row r="644" spans="8:47" x14ac:dyDescent="0.2">
      <c r="H644" s="23"/>
      <c r="N644" s="6"/>
      <c r="Q644" s="23"/>
      <c r="R644" s="23"/>
      <c r="AR644" s="23"/>
      <c r="AS644" s="23"/>
      <c r="AT644" s="23"/>
      <c r="AU644" s="23"/>
    </row>
    <row r="645" spans="8:47" x14ac:dyDescent="0.2">
      <c r="H645" s="23"/>
      <c r="N645" s="6"/>
      <c r="Q645" s="23"/>
      <c r="R645" s="23"/>
      <c r="AR645" s="23"/>
      <c r="AS645" s="23"/>
      <c r="AT645" s="23"/>
      <c r="AU645" s="23"/>
    </row>
    <row r="646" spans="8:47" x14ac:dyDescent="0.2">
      <c r="H646" s="23"/>
      <c r="N646" s="6"/>
      <c r="Q646" s="23"/>
      <c r="R646" s="23"/>
      <c r="AR646" s="23"/>
      <c r="AS646" s="23"/>
      <c r="AT646" s="23"/>
      <c r="AU646" s="23"/>
    </row>
    <row r="647" spans="8:47" x14ac:dyDescent="0.2">
      <c r="H647" s="23"/>
      <c r="N647" s="6"/>
      <c r="Q647" s="23"/>
      <c r="R647" s="23"/>
      <c r="AR647" s="23"/>
      <c r="AS647" s="23"/>
      <c r="AT647" s="23"/>
      <c r="AU647" s="23"/>
    </row>
    <row r="648" spans="8:47" x14ac:dyDescent="0.2">
      <c r="H648" s="23"/>
      <c r="N648" s="6"/>
      <c r="Q648" s="23"/>
      <c r="R648" s="23"/>
      <c r="AR648" s="23"/>
      <c r="AS648" s="23"/>
      <c r="AT648" s="23"/>
      <c r="AU648" s="23"/>
    </row>
    <row r="649" spans="8:47" x14ac:dyDescent="0.2">
      <c r="H649" s="23"/>
      <c r="N649" s="6"/>
      <c r="Q649" s="23"/>
      <c r="R649" s="23"/>
      <c r="AR649" s="23"/>
      <c r="AS649" s="23"/>
      <c r="AT649" s="23"/>
      <c r="AU649" s="23"/>
    </row>
    <row r="650" spans="8:47" x14ac:dyDescent="0.2">
      <c r="H650" s="23"/>
      <c r="N650" s="6"/>
      <c r="Q650" s="23"/>
      <c r="R650" s="23"/>
      <c r="AT650" s="23"/>
      <c r="AU650" s="23"/>
    </row>
    <row r="651" spans="8:47" x14ac:dyDescent="0.2">
      <c r="H651" s="23"/>
      <c r="N651" s="6"/>
      <c r="Q651" s="23"/>
      <c r="R651" s="23"/>
      <c r="AR651" s="23"/>
      <c r="AS651" s="23"/>
      <c r="AT651" s="23"/>
      <c r="AU651" s="23"/>
    </row>
    <row r="652" spans="8:47" x14ac:dyDescent="0.2">
      <c r="H652" s="23"/>
      <c r="N652" s="6"/>
      <c r="Q652" s="23"/>
      <c r="R652" s="23"/>
    </row>
    <row r="653" spans="8:47" x14ac:dyDescent="0.2">
      <c r="H653" s="23"/>
      <c r="N653" s="6"/>
      <c r="Q653" s="23"/>
      <c r="R653" s="23"/>
      <c r="AR653" s="23"/>
      <c r="AS653" s="23"/>
      <c r="AT653" s="23"/>
      <c r="AU653" s="23"/>
    </row>
    <row r="654" spans="8:47" x14ac:dyDescent="0.2">
      <c r="H654" s="23"/>
      <c r="N654" s="6"/>
      <c r="Q654" s="23"/>
      <c r="R654" s="23"/>
      <c r="AR654" s="23"/>
      <c r="AS654" s="23"/>
      <c r="AT654" s="23"/>
      <c r="AU654" s="23"/>
    </row>
    <row r="655" spans="8:47" x14ac:dyDescent="0.2">
      <c r="H655" s="23"/>
      <c r="N655" s="6"/>
      <c r="Q655" s="23"/>
      <c r="R655" s="23"/>
      <c r="AR655" s="23"/>
      <c r="AS655" s="23"/>
      <c r="AT655" s="23"/>
      <c r="AU655" s="23"/>
    </row>
    <row r="656" spans="8:47" x14ac:dyDescent="0.2">
      <c r="H656" s="23"/>
      <c r="N656" s="6"/>
      <c r="Q656" s="23"/>
      <c r="R656" s="23"/>
      <c r="AR656" s="23"/>
      <c r="AS656" s="23"/>
      <c r="AT656" s="23"/>
      <c r="AU656" s="23"/>
    </row>
    <row r="657" spans="8:47" x14ac:dyDescent="0.2">
      <c r="H657" s="23"/>
      <c r="N657" s="6"/>
      <c r="Q657" s="23"/>
      <c r="R657" s="23"/>
      <c r="AR657" s="23"/>
      <c r="AS657" s="23"/>
      <c r="AT657" s="23"/>
      <c r="AU657" s="23"/>
    </row>
    <row r="658" spans="8:47" x14ac:dyDescent="0.2">
      <c r="H658" s="23"/>
      <c r="N658" s="6"/>
      <c r="Q658" s="23"/>
      <c r="R658" s="23"/>
      <c r="AR658" s="23"/>
      <c r="AS658" s="23"/>
      <c r="AT658" s="23"/>
      <c r="AU658" s="23"/>
    </row>
    <row r="659" spans="8:47" x14ac:dyDescent="0.2">
      <c r="H659" s="23"/>
      <c r="N659" s="6"/>
      <c r="Q659" s="23"/>
      <c r="R659" s="23"/>
      <c r="AR659" s="23"/>
      <c r="AS659" s="23"/>
      <c r="AT659" s="23"/>
      <c r="AU659" s="23"/>
    </row>
    <row r="660" spans="8:47" x14ac:dyDescent="0.2">
      <c r="H660" s="23"/>
      <c r="N660" s="6"/>
      <c r="Q660" s="23"/>
      <c r="R660" s="23"/>
      <c r="AR660" s="23"/>
      <c r="AS660" s="23"/>
      <c r="AT660" s="23"/>
      <c r="AU660" s="23"/>
    </row>
    <row r="661" spans="8:47" x14ac:dyDescent="0.2">
      <c r="H661" s="23"/>
      <c r="N661" s="6"/>
      <c r="Q661" s="23"/>
      <c r="R661" s="23"/>
      <c r="AR661" s="23"/>
      <c r="AS661" s="23"/>
      <c r="AT661" s="23"/>
      <c r="AU661" s="23"/>
    </row>
    <row r="662" spans="8:47" x14ac:dyDescent="0.2">
      <c r="H662" s="23"/>
      <c r="N662" s="6"/>
      <c r="Q662" s="23"/>
      <c r="R662" s="23"/>
      <c r="AR662" s="23"/>
      <c r="AS662" s="23"/>
      <c r="AT662" s="23"/>
      <c r="AU662" s="23"/>
    </row>
    <row r="663" spans="8:47" x14ac:dyDescent="0.2">
      <c r="H663" s="23"/>
      <c r="N663" s="6"/>
      <c r="Q663" s="23"/>
      <c r="R663" s="23"/>
      <c r="AR663" s="23"/>
      <c r="AS663" s="23"/>
      <c r="AT663" s="23"/>
      <c r="AU663" s="23"/>
    </row>
    <row r="664" spans="8:47" x14ac:dyDescent="0.2">
      <c r="H664" s="23"/>
      <c r="N664" s="6"/>
      <c r="Q664" s="23"/>
      <c r="R664" s="23"/>
      <c r="AR664" s="23"/>
      <c r="AS664" s="23"/>
      <c r="AT664" s="23"/>
      <c r="AU664" s="23"/>
    </row>
    <row r="665" spans="8:47" x14ac:dyDescent="0.2">
      <c r="H665" s="23"/>
      <c r="N665" s="6"/>
      <c r="Q665" s="23"/>
      <c r="R665" s="23"/>
      <c r="AR665" s="23"/>
      <c r="AS665" s="23"/>
      <c r="AT665" s="23"/>
      <c r="AU665" s="23"/>
    </row>
    <row r="666" spans="8:47" x14ac:dyDescent="0.2">
      <c r="H666" s="23"/>
      <c r="N666" s="6"/>
      <c r="Q666" s="23"/>
      <c r="R666" s="23"/>
      <c r="AR666" s="23"/>
      <c r="AS666" s="23"/>
      <c r="AT666" s="23"/>
      <c r="AU666" s="23"/>
    </row>
    <row r="667" spans="8:47" x14ac:dyDescent="0.2">
      <c r="H667" s="23"/>
      <c r="N667" s="6"/>
      <c r="Q667" s="23"/>
      <c r="R667" s="23"/>
      <c r="AR667" s="23"/>
      <c r="AS667" s="23"/>
      <c r="AT667" s="23"/>
      <c r="AU667" s="23"/>
    </row>
    <row r="668" spans="8:47" x14ac:dyDescent="0.2">
      <c r="H668" s="23"/>
      <c r="N668" s="6"/>
      <c r="Q668" s="23"/>
      <c r="R668" s="23"/>
      <c r="AR668" s="23"/>
      <c r="AS668" s="23"/>
      <c r="AT668" s="23"/>
      <c r="AU668" s="23"/>
    </row>
    <row r="669" spans="8:47" x14ac:dyDescent="0.2">
      <c r="H669" s="23"/>
      <c r="N669" s="6"/>
      <c r="Q669" s="23"/>
      <c r="R669" s="23"/>
      <c r="AR669" s="23"/>
      <c r="AS669" s="23"/>
      <c r="AT669" s="23"/>
      <c r="AU669" s="23"/>
    </row>
    <row r="670" spans="8:47" x14ac:dyDescent="0.2">
      <c r="H670" s="23"/>
      <c r="N670" s="6"/>
      <c r="Q670" s="23"/>
      <c r="R670" s="23"/>
      <c r="AR670" s="23"/>
      <c r="AS670" s="23"/>
      <c r="AT670" s="23"/>
      <c r="AU670" s="23"/>
    </row>
    <row r="671" spans="8:47" x14ac:dyDescent="0.2">
      <c r="H671" s="23"/>
      <c r="N671" s="6"/>
      <c r="Q671" s="23"/>
      <c r="R671" s="23"/>
      <c r="AR671" s="23"/>
      <c r="AS671" s="23"/>
      <c r="AT671" s="23"/>
      <c r="AU671" s="23"/>
    </row>
    <row r="672" spans="8:47" x14ac:dyDescent="0.2">
      <c r="H672" s="23"/>
      <c r="N672" s="6"/>
      <c r="Q672" s="23"/>
      <c r="R672" s="23"/>
      <c r="AR672" s="23"/>
      <c r="AS672" s="23"/>
      <c r="AT672" s="23"/>
      <c r="AU672" s="23"/>
    </row>
    <row r="673" spans="8:47" x14ac:dyDescent="0.2">
      <c r="H673" s="23"/>
      <c r="N673" s="6"/>
      <c r="Q673" s="23"/>
      <c r="R673" s="23"/>
      <c r="AR673" s="23"/>
      <c r="AS673" s="23"/>
      <c r="AT673" s="23"/>
      <c r="AU673" s="23"/>
    </row>
    <row r="674" spans="8:47" x14ac:dyDescent="0.2">
      <c r="H674" s="23"/>
      <c r="N674" s="6"/>
      <c r="Q674" s="23"/>
      <c r="R674" s="23"/>
      <c r="AR674" s="23"/>
      <c r="AS674" s="23"/>
      <c r="AT674" s="23"/>
      <c r="AU674" s="23"/>
    </row>
    <row r="675" spans="8:47" x14ac:dyDescent="0.2">
      <c r="H675" s="23"/>
      <c r="N675" s="6"/>
      <c r="Q675" s="23"/>
      <c r="R675" s="23"/>
      <c r="AR675" s="23"/>
      <c r="AS675" s="23"/>
      <c r="AT675" s="23"/>
      <c r="AU675" s="23"/>
    </row>
    <row r="676" spans="8:47" x14ac:dyDescent="0.2">
      <c r="H676" s="23"/>
      <c r="N676" s="6"/>
      <c r="Q676" s="23"/>
      <c r="R676" s="23"/>
      <c r="AR676" s="23"/>
      <c r="AS676" s="23"/>
      <c r="AT676" s="23"/>
      <c r="AU676" s="23"/>
    </row>
    <row r="677" spans="8:47" x14ac:dyDescent="0.2">
      <c r="H677" s="23"/>
      <c r="N677" s="6"/>
      <c r="Q677" s="23"/>
      <c r="R677" s="23"/>
      <c r="AR677" s="23"/>
      <c r="AS677" s="23"/>
      <c r="AT677" s="23"/>
      <c r="AU677" s="23"/>
    </row>
    <row r="678" spans="8:47" x14ac:dyDescent="0.2">
      <c r="H678" s="23"/>
      <c r="N678" s="6"/>
      <c r="Q678" s="23"/>
      <c r="R678" s="23"/>
      <c r="AR678" s="23"/>
      <c r="AS678" s="23"/>
      <c r="AT678" s="23"/>
      <c r="AU678" s="23"/>
    </row>
    <row r="679" spans="8:47" x14ac:dyDescent="0.2">
      <c r="H679" s="23"/>
      <c r="N679" s="6"/>
      <c r="Q679" s="23"/>
      <c r="R679" s="23"/>
      <c r="AR679" s="23"/>
      <c r="AS679" s="23"/>
      <c r="AT679" s="23"/>
      <c r="AU679" s="23"/>
    </row>
    <row r="680" spans="8:47" x14ac:dyDescent="0.2">
      <c r="H680" s="23"/>
      <c r="N680" s="6"/>
      <c r="Q680" s="23"/>
      <c r="R680" s="23"/>
      <c r="AR680" s="23"/>
      <c r="AT680" s="23"/>
      <c r="AU680" s="23"/>
    </row>
    <row r="681" spans="8:47" x14ac:dyDescent="0.2">
      <c r="H681" s="23"/>
      <c r="N681" s="6"/>
      <c r="Q681" s="23"/>
      <c r="R681" s="23"/>
      <c r="AR681" s="23"/>
      <c r="AS681" s="23"/>
      <c r="AT681" s="23"/>
      <c r="AU681" s="23"/>
    </row>
    <row r="682" spans="8:47" x14ac:dyDescent="0.2">
      <c r="H682" s="23"/>
      <c r="N682" s="6"/>
      <c r="Q682" s="23"/>
      <c r="R682" s="23"/>
      <c r="AR682" s="23"/>
      <c r="AS682" s="23"/>
      <c r="AT682" s="23"/>
      <c r="AU682" s="23"/>
    </row>
    <row r="683" spans="8:47" x14ac:dyDescent="0.2">
      <c r="H683" s="23"/>
      <c r="N683" s="6"/>
      <c r="Q683" s="23"/>
      <c r="R683" s="23"/>
      <c r="AR683" s="23"/>
      <c r="AT683" s="23"/>
      <c r="AU683" s="23"/>
    </row>
    <row r="684" spans="8:47" x14ac:dyDescent="0.2">
      <c r="H684" s="23"/>
      <c r="N684" s="6"/>
      <c r="Q684" s="23"/>
      <c r="R684" s="23"/>
      <c r="AR684" s="23"/>
      <c r="AS684" s="23"/>
      <c r="AT684" s="23"/>
      <c r="AU684" s="23"/>
    </row>
    <row r="685" spans="8:47" x14ac:dyDescent="0.2">
      <c r="H685" s="23"/>
      <c r="N685" s="6"/>
      <c r="Q685" s="23"/>
      <c r="R685" s="23"/>
      <c r="AR685" s="23"/>
      <c r="AS685" s="23"/>
      <c r="AT685" s="23"/>
      <c r="AU685" s="23"/>
    </row>
    <row r="686" spans="8:47" x14ac:dyDescent="0.2">
      <c r="H686" s="23"/>
      <c r="N686" s="6"/>
      <c r="Q686" s="23"/>
      <c r="R686" s="23"/>
      <c r="AR686" s="23"/>
      <c r="AS686" s="23"/>
      <c r="AT686" s="23"/>
      <c r="AU686" s="23"/>
    </row>
    <row r="687" spans="8:47" x14ac:dyDescent="0.2">
      <c r="H687" s="23"/>
      <c r="N687" s="6"/>
      <c r="Q687" s="23"/>
      <c r="R687" s="23"/>
      <c r="AR687" s="23"/>
      <c r="AS687" s="23"/>
      <c r="AT687" s="23"/>
      <c r="AU687" s="23"/>
    </row>
    <row r="688" spans="8:47" x14ac:dyDescent="0.2">
      <c r="H688" s="23"/>
      <c r="N688" s="6"/>
      <c r="Q688" s="23"/>
      <c r="R688" s="23"/>
      <c r="AR688" s="23"/>
      <c r="AS688" s="23"/>
      <c r="AT688" s="23"/>
      <c r="AU688" s="23"/>
    </row>
    <row r="689" spans="8:47" x14ac:dyDescent="0.2">
      <c r="H689" s="23"/>
      <c r="N689" s="6"/>
      <c r="Q689" s="23"/>
      <c r="R689" s="23"/>
      <c r="AR689" s="23"/>
      <c r="AS689" s="23"/>
      <c r="AT689" s="23"/>
      <c r="AU689" s="23"/>
    </row>
    <row r="690" spans="8:47" x14ac:dyDescent="0.2">
      <c r="H690" s="23"/>
      <c r="N690" s="6"/>
      <c r="Q690" s="23"/>
      <c r="R690" s="23"/>
      <c r="AR690" s="23"/>
      <c r="AS690" s="23"/>
      <c r="AT690" s="23"/>
      <c r="AU690" s="23"/>
    </row>
    <row r="691" spans="8:47" x14ac:dyDescent="0.2">
      <c r="H691" s="23"/>
      <c r="N691" s="6"/>
      <c r="Q691" s="23"/>
      <c r="R691" s="23"/>
      <c r="AR691" s="23"/>
      <c r="AS691" s="23"/>
      <c r="AT691" s="23"/>
      <c r="AU691" s="23"/>
    </row>
    <row r="692" spans="8:47" x14ac:dyDescent="0.2">
      <c r="H692" s="23"/>
      <c r="N692" s="6"/>
      <c r="Q692" s="23"/>
      <c r="R692" s="23"/>
      <c r="AR692" s="23"/>
      <c r="AS692" s="23"/>
      <c r="AT692" s="23"/>
      <c r="AU692" s="23"/>
    </row>
    <row r="693" spans="8:47" x14ac:dyDescent="0.2">
      <c r="H693" s="23"/>
      <c r="N693" s="6"/>
      <c r="Q693" s="23"/>
      <c r="R693" s="23"/>
      <c r="AR693" s="23"/>
      <c r="AS693" s="23"/>
      <c r="AT693" s="23"/>
      <c r="AU693" s="23"/>
    </row>
    <row r="694" spans="8:47" x14ac:dyDescent="0.2">
      <c r="H694" s="23"/>
      <c r="N694" s="6"/>
      <c r="Q694" s="23"/>
      <c r="R694" s="23"/>
      <c r="AR694" s="23"/>
      <c r="AS694" s="23"/>
      <c r="AT694" s="23"/>
      <c r="AU694" s="23"/>
    </row>
    <row r="695" spans="8:47" x14ac:dyDescent="0.2">
      <c r="H695" s="23"/>
      <c r="N695" s="6"/>
      <c r="Q695" s="23"/>
      <c r="R695" s="23"/>
      <c r="AR695" s="23"/>
      <c r="AS695" s="23"/>
      <c r="AT695" s="23"/>
      <c r="AU695" s="23"/>
    </row>
    <row r="696" spans="8:47" x14ac:dyDescent="0.2">
      <c r="H696" s="23"/>
      <c r="N696" s="6"/>
      <c r="Q696" s="23"/>
      <c r="R696" s="23"/>
      <c r="AR696" s="23"/>
      <c r="AS696" s="23"/>
      <c r="AT696" s="23"/>
      <c r="AU696" s="23"/>
    </row>
    <row r="697" spans="8:47" x14ac:dyDescent="0.2">
      <c r="H697" s="23"/>
      <c r="N697" s="6"/>
      <c r="Q697" s="23"/>
      <c r="R697" s="23"/>
      <c r="AR697" s="23"/>
      <c r="AS697" s="23"/>
      <c r="AT697" s="23"/>
      <c r="AU697" s="23"/>
    </row>
    <row r="698" spans="8:47" x14ac:dyDescent="0.2">
      <c r="H698" s="23"/>
      <c r="N698" s="6"/>
      <c r="Q698" s="23"/>
      <c r="R698" s="23"/>
      <c r="AR698" s="23"/>
      <c r="AS698" s="23"/>
      <c r="AT698" s="23"/>
      <c r="AU698" s="23"/>
    </row>
    <row r="699" spans="8:47" x14ac:dyDescent="0.2">
      <c r="H699" s="23"/>
      <c r="N699" s="6"/>
      <c r="Q699" s="23"/>
      <c r="R699" s="23"/>
      <c r="AR699" s="23"/>
      <c r="AS699" s="23"/>
      <c r="AT699" s="23"/>
      <c r="AU699" s="23"/>
    </row>
    <row r="700" spans="8:47" x14ac:dyDescent="0.2">
      <c r="H700" s="23"/>
      <c r="N700" s="6"/>
      <c r="Q700" s="23"/>
      <c r="R700" s="23"/>
      <c r="AR700" s="23"/>
      <c r="AS700" s="23"/>
      <c r="AT700" s="23"/>
      <c r="AU700" s="23"/>
    </row>
    <row r="701" spans="8:47" x14ac:dyDescent="0.2">
      <c r="H701" s="23"/>
      <c r="N701" s="6"/>
      <c r="Q701" s="23"/>
      <c r="R701" s="23"/>
      <c r="AR701" s="23"/>
      <c r="AS701" s="23"/>
      <c r="AT701" s="23"/>
      <c r="AU701" s="23"/>
    </row>
    <row r="702" spans="8:47" x14ac:dyDescent="0.2">
      <c r="H702" s="23"/>
      <c r="N702" s="6"/>
      <c r="Q702" s="23"/>
      <c r="R702" s="23"/>
      <c r="AR702" s="23"/>
      <c r="AS702" s="23"/>
      <c r="AT702" s="23"/>
      <c r="AU702" s="23"/>
    </row>
    <row r="703" spans="8:47" x14ac:dyDescent="0.2">
      <c r="H703" s="23"/>
      <c r="N703" s="6"/>
      <c r="Q703" s="23"/>
      <c r="R703" s="23"/>
      <c r="AR703" s="23"/>
      <c r="AS703" s="23"/>
      <c r="AT703" s="23"/>
      <c r="AU703" s="23"/>
    </row>
    <row r="704" spans="8:47" x14ac:dyDescent="0.2">
      <c r="H704" s="23"/>
      <c r="N704" s="6"/>
      <c r="Q704" s="23"/>
      <c r="R704" s="23"/>
      <c r="AR704" s="23"/>
      <c r="AS704" s="23"/>
      <c r="AT704" s="23"/>
      <c r="AU704" s="23"/>
    </row>
    <row r="705" spans="8:47" x14ac:dyDescent="0.2">
      <c r="H705" s="23"/>
      <c r="N705" s="6"/>
      <c r="Q705" s="23"/>
      <c r="R705" s="23"/>
      <c r="AR705" s="23"/>
      <c r="AS705" s="23"/>
      <c r="AT705" s="23"/>
      <c r="AU705" s="23"/>
    </row>
    <row r="706" spans="8:47" x14ac:dyDescent="0.2">
      <c r="H706" s="23"/>
      <c r="N706" s="6"/>
      <c r="Q706" s="23"/>
      <c r="R706" s="23"/>
      <c r="AR706" s="23"/>
      <c r="AS706" s="23"/>
      <c r="AT706" s="23"/>
      <c r="AU706" s="23"/>
    </row>
    <row r="707" spans="8:47" x14ac:dyDescent="0.2">
      <c r="H707" s="23"/>
      <c r="N707" s="6"/>
      <c r="Q707" s="23"/>
      <c r="R707" s="23"/>
      <c r="AR707" s="23"/>
      <c r="AS707" s="23"/>
      <c r="AT707" s="23"/>
      <c r="AU707" s="23"/>
    </row>
    <row r="708" spans="8:47" x14ac:dyDescent="0.2">
      <c r="H708" s="23"/>
      <c r="N708" s="6"/>
      <c r="Q708" s="23"/>
      <c r="R708" s="23"/>
      <c r="AR708" s="23"/>
      <c r="AS708" s="23"/>
      <c r="AT708" s="23"/>
      <c r="AU708" s="23"/>
    </row>
    <row r="709" spans="8:47" x14ac:dyDescent="0.2">
      <c r="H709" s="23"/>
      <c r="N709" s="6"/>
      <c r="Q709" s="23"/>
      <c r="R709" s="23"/>
      <c r="AR709" s="23"/>
      <c r="AS709" s="23"/>
      <c r="AT709" s="23"/>
      <c r="AU709" s="23"/>
    </row>
    <row r="710" spans="8:47" x14ac:dyDescent="0.2">
      <c r="H710" s="23"/>
      <c r="N710" s="6"/>
      <c r="Q710" s="23"/>
      <c r="R710" s="23"/>
      <c r="AR710" s="23"/>
      <c r="AS710" s="23"/>
      <c r="AT710" s="23"/>
      <c r="AU710" s="23"/>
    </row>
    <row r="711" spans="8:47" x14ac:dyDescent="0.2">
      <c r="H711" s="23"/>
      <c r="N711" s="6"/>
      <c r="Q711" s="23"/>
      <c r="R711" s="23"/>
      <c r="AR711" s="23"/>
      <c r="AS711" s="23"/>
      <c r="AT711" s="23"/>
      <c r="AU711" s="23"/>
    </row>
    <row r="712" spans="8:47" x14ac:dyDescent="0.2">
      <c r="H712" s="23"/>
      <c r="N712" s="6"/>
      <c r="Q712" s="23"/>
      <c r="R712" s="23"/>
      <c r="AR712" s="23"/>
      <c r="AS712" s="23"/>
      <c r="AT712" s="23"/>
      <c r="AU712" s="23"/>
    </row>
    <row r="713" spans="8:47" x14ac:dyDescent="0.2">
      <c r="H713" s="23"/>
      <c r="N713" s="6"/>
      <c r="Q713" s="23"/>
      <c r="R713" s="23"/>
      <c r="AR713" s="23"/>
      <c r="AS713" s="23"/>
      <c r="AT713" s="23"/>
      <c r="AU713" s="23"/>
    </row>
    <row r="714" spans="8:47" x14ac:dyDescent="0.2">
      <c r="H714" s="23"/>
      <c r="N714" s="6"/>
      <c r="Q714" s="23"/>
      <c r="R714" s="23"/>
      <c r="AR714" s="23"/>
      <c r="AS714" s="23"/>
      <c r="AT714" s="23"/>
    </row>
    <row r="715" spans="8:47" x14ac:dyDescent="0.2">
      <c r="H715" s="23"/>
      <c r="N715" s="6"/>
      <c r="Q715" s="23"/>
      <c r="R715" s="23"/>
      <c r="AR715" s="23"/>
      <c r="AS715" s="23"/>
      <c r="AT715" s="23"/>
      <c r="AU715" s="23"/>
    </row>
    <row r="716" spans="8:47" x14ac:dyDescent="0.2">
      <c r="H716" s="23"/>
      <c r="N716" s="6"/>
      <c r="Q716" s="23"/>
      <c r="R716" s="23"/>
      <c r="AR716" s="23"/>
      <c r="AS716" s="23"/>
      <c r="AT716" s="23"/>
      <c r="AU716" s="23"/>
    </row>
    <row r="717" spans="8:47" x14ac:dyDescent="0.2">
      <c r="H717" s="23"/>
      <c r="N717" s="6"/>
      <c r="Q717" s="23"/>
      <c r="R717" s="23"/>
      <c r="AR717" s="23"/>
      <c r="AS717" s="23"/>
      <c r="AT717" s="23"/>
      <c r="AU717" s="23"/>
    </row>
    <row r="718" spans="8:47" x14ac:dyDescent="0.2">
      <c r="H718" s="23"/>
      <c r="N718" s="6"/>
      <c r="Q718" s="23"/>
      <c r="R718" s="23"/>
      <c r="AR718" s="23"/>
      <c r="AT718" s="23"/>
      <c r="AU718" s="23"/>
    </row>
    <row r="719" spans="8:47" x14ac:dyDescent="0.2">
      <c r="H719" s="23"/>
      <c r="N719" s="6"/>
      <c r="Q719" s="23"/>
      <c r="R719" s="23"/>
      <c r="AR719" s="23"/>
      <c r="AS719" s="23"/>
      <c r="AT719" s="23"/>
      <c r="AU719" s="23"/>
    </row>
    <row r="720" spans="8:47" x14ac:dyDescent="0.2">
      <c r="H720" s="23"/>
      <c r="N720" s="6"/>
      <c r="Q720" s="23"/>
      <c r="R720" s="23"/>
      <c r="AR720" s="23"/>
      <c r="AS720" s="23"/>
      <c r="AT720" s="23"/>
      <c r="AU720" s="23"/>
    </row>
    <row r="721" spans="8:47" x14ac:dyDescent="0.2">
      <c r="H721" s="23"/>
      <c r="N721" s="6"/>
      <c r="Q721" s="23"/>
      <c r="R721" s="23"/>
      <c r="AR721" s="23"/>
      <c r="AS721" s="23"/>
      <c r="AT721" s="23"/>
      <c r="AU721" s="23"/>
    </row>
    <row r="722" spans="8:47" x14ac:dyDescent="0.2">
      <c r="H722" s="23"/>
      <c r="N722" s="6"/>
      <c r="Q722" s="23"/>
      <c r="R722" s="23"/>
      <c r="AR722" s="23"/>
      <c r="AS722" s="23"/>
      <c r="AT722" s="23"/>
      <c r="AU722" s="23"/>
    </row>
    <row r="723" spans="8:47" x14ac:dyDescent="0.2">
      <c r="H723" s="23"/>
      <c r="N723" s="6"/>
      <c r="Q723" s="23"/>
      <c r="R723" s="23"/>
      <c r="AR723" s="23"/>
      <c r="AS723" s="23"/>
      <c r="AT723" s="23"/>
    </row>
    <row r="724" spans="8:47" x14ac:dyDescent="0.2">
      <c r="H724" s="23"/>
      <c r="N724" s="6"/>
      <c r="Q724" s="23"/>
      <c r="R724" s="23"/>
      <c r="AR724" s="23"/>
      <c r="AS724" s="23"/>
      <c r="AT724" s="23"/>
      <c r="AU724" s="23"/>
    </row>
    <row r="725" spans="8:47" x14ac:dyDescent="0.2">
      <c r="H725" s="23"/>
      <c r="N725" s="6"/>
      <c r="Q725" s="23"/>
      <c r="R725" s="23"/>
      <c r="AR725" s="23"/>
      <c r="AT725" s="23"/>
      <c r="AU725" s="23"/>
    </row>
    <row r="726" spans="8:47" x14ac:dyDescent="0.2">
      <c r="H726" s="23"/>
      <c r="N726" s="6"/>
      <c r="Q726" s="23"/>
      <c r="R726" s="23"/>
      <c r="AT726" s="23"/>
      <c r="AU726" s="23"/>
    </row>
    <row r="727" spans="8:47" x14ac:dyDescent="0.2">
      <c r="H727" s="23"/>
      <c r="N727" s="6"/>
      <c r="Q727" s="23"/>
      <c r="R727" s="23"/>
      <c r="AR727" s="23"/>
      <c r="AS727" s="23"/>
      <c r="AT727" s="23"/>
      <c r="AU727" s="23"/>
    </row>
    <row r="728" spans="8:47" x14ac:dyDescent="0.2">
      <c r="H728" s="23"/>
      <c r="N728" s="6"/>
      <c r="Q728" s="23"/>
      <c r="R728" s="23"/>
      <c r="AR728" s="23"/>
      <c r="AS728" s="23"/>
      <c r="AT728" s="23"/>
      <c r="AU728" s="23"/>
    </row>
    <row r="729" spans="8:47" x14ac:dyDescent="0.2">
      <c r="H729" s="23"/>
      <c r="N729" s="6"/>
      <c r="Q729" s="23"/>
      <c r="R729" s="23"/>
      <c r="AR729" s="23"/>
      <c r="AS729" s="23"/>
      <c r="AT729" s="23"/>
      <c r="AU729" s="23"/>
    </row>
    <row r="730" spans="8:47" x14ac:dyDescent="0.2">
      <c r="H730" s="23"/>
      <c r="N730" s="6"/>
      <c r="Q730" s="23"/>
      <c r="R730" s="23"/>
      <c r="AR730" s="23"/>
      <c r="AS730" s="23"/>
      <c r="AT730" s="23"/>
      <c r="AU730" s="23"/>
    </row>
    <row r="731" spans="8:47" x14ac:dyDescent="0.2">
      <c r="H731" s="23"/>
      <c r="N731" s="6"/>
      <c r="Q731" s="23"/>
      <c r="R731" s="23"/>
      <c r="AR731" s="23"/>
      <c r="AS731" s="23"/>
      <c r="AT731" s="23"/>
      <c r="AU731" s="23"/>
    </row>
    <row r="732" spans="8:47" x14ac:dyDescent="0.2">
      <c r="H732" s="23"/>
      <c r="N732" s="6"/>
      <c r="Q732" s="23"/>
      <c r="R732" s="23"/>
      <c r="AT732" s="23"/>
      <c r="AU732" s="23"/>
    </row>
    <row r="733" spans="8:47" x14ac:dyDescent="0.2">
      <c r="H733" s="23"/>
      <c r="N733" s="6"/>
      <c r="Q733" s="23"/>
      <c r="R733" s="23"/>
      <c r="AR733" s="23"/>
      <c r="AS733" s="23"/>
      <c r="AT733" s="23"/>
      <c r="AU733" s="23"/>
    </row>
    <row r="734" spans="8:47" x14ac:dyDescent="0.2">
      <c r="H734" s="23"/>
      <c r="N734" s="6"/>
      <c r="Q734" s="23"/>
      <c r="R734" s="23"/>
      <c r="AR734" s="23"/>
      <c r="AS734" s="23"/>
      <c r="AT734" s="23"/>
      <c r="AU734" s="23"/>
    </row>
    <row r="735" spans="8:47" x14ac:dyDescent="0.2">
      <c r="H735" s="23"/>
      <c r="N735" s="6"/>
      <c r="Q735" s="23"/>
      <c r="R735" s="23"/>
      <c r="AT735" s="23"/>
      <c r="AU735" s="23"/>
    </row>
    <row r="736" spans="8:47" x14ac:dyDescent="0.2">
      <c r="H736" s="23"/>
      <c r="N736" s="6"/>
      <c r="Q736" s="23"/>
      <c r="R736" s="23"/>
      <c r="AR736" s="23"/>
      <c r="AS736" s="23"/>
      <c r="AT736" s="23"/>
      <c r="AU736" s="23"/>
    </row>
    <row r="737" spans="8:47" x14ac:dyDescent="0.2">
      <c r="H737" s="23"/>
      <c r="N737" s="6"/>
      <c r="Q737" s="23"/>
      <c r="R737" s="23"/>
      <c r="AR737" s="23"/>
      <c r="AS737" s="23"/>
      <c r="AT737" s="23"/>
      <c r="AU737" s="23"/>
    </row>
    <row r="738" spans="8:47" x14ac:dyDescent="0.2">
      <c r="H738" s="23"/>
      <c r="N738" s="6"/>
      <c r="Q738" s="23"/>
      <c r="R738" s="23"/>
      <c r="AR738" s="23"/>
      <c r="AS738" s="23"/>
      <c r="AT738" s="23"/>
      <c r="AU738" s="23"/>
    </row>
    <row r="739" spans="8:47" x14ac:dyDescent="0.2">
      <c r="H739" s="23"/>
      <c r="N739" s="6"/>
      <c r="Q739" s="23"/>
      <c r="R739" s="23"/>
      <c r="AR739" s="23"/>
      <c r="AS739" s="23"/>
      <c r="AT739" s="23"/>
      <c r="AU739" s="23"/>
    </row>
    <row r="740" spans="8:47" x14ac:dyDescent="0.2">
      <c r="H740" s="23"/>
      <c r="N740" s="6"/>
      <c r="Q740" s="23"/>
      <c r="R740" s="23"/>
      <c r="AR740" s="23"/>
      <c r="AT740" s="23"/>
      <c r="AU740" s="23"/>
    </row>
    <row r="741" spans="8:47" x14ac:dyDescent="0.2">
      <c r="H741" s="23"/>
      <c r="N741" s="6"/>
      <c r="Q741" s="23"/>
      <c r="R741" s="23"/>
      <c r="AR741" s="23"/>
      <c r="AS741" s="23"/>
      <c r="AT741" s="23"/>
      <c r="AU741" s="23"/>
    </row>
    <row r="742" spans="8:47" x14ac:dyDescent="0.2">
      <c r="H742" s="23"/>
      <c r="N742" s="6"/>
      <c r="Q742" s="23"/>
      <c r="R742" s="23"/>
      <c r="AR742" s="23"/>
      <c r="AS742" s="23"/>
      <c r="AT742" s="23"/>
      <c r="AU742" s="23"/>
    </row>
    <row r="743" spans="8:47" x14ac:dyDescent="0.2">
      <c r="H743" s="23"/>
      <c r="N743" s="6"/>
      <c r="Q743" s="23"/>
      <c r="R743" s="23"/>
      <c r="AR743" s="23"/>
      <c r="AS743" s="23"/>
      <c r="AT743" s="23"/>
      <c r="AU743" s="23"/>
    </row>
    <row r="744" spans="8:47" x14ac:dyDescent="0.2">
      <c r="H744" s="23"/>
      <c r="N744" s="6"/>
      <c r="Q744" s="23"/>
      <c r="R744" s="23"/>
      <c r="AR744" s="23"/>
      <c r="AS744" s="23"/>
      <c r="AT744" s="23"/>
      <c r="AU744" s="23"/>
    </row>
    <row r="745" spans="8:47" x14ac:dyDescent="0.2">
      <c r="H745" s="23"/>
      <c r="N745" s="6"/>
      <c r="Q745" s="23"/>
      <c r="R745" s="23"/>
      <c r="AR745" s="23"/>
      <c r="AS745" s="23"/>
      <c r="AT745" s="23"/>
      <c r="AU745" s="23"/>
    </row>
    <row r="746" spans="8:47" x14ac:dyDescent="0.2">
      <c r="H746" s="23"/>
      <c r="N746" s="6"/>
      <c r="Q746" s="23"/>
      <c r="R746" s="23"/>
      <c r="AR746" s="23"/>
      <c r="AS746" s="23"/>
      <c r="AT746" s="23"/>
      <c r="AU746" s="23"/>
    </row>
    <row r="747" spans="8:47" x14ac:dyDescent="0.2">
      <c r="H747" s="23"/>
      <c r="N747" s="6"/>
      <c r="Q747" s="23"/>
      <c r="R747" s="23"/>
      <c r="AR747" s="23"/>
      <c r="AS747" s="23"/>
      <c r="AT747" s="23"/>
      <c r="AU747" s="23"/>
    </row>
    <row r="748" spans="8:47" x14ac:dyDescent="0.2">
      <c r="H748" s="23"/>
      <c r="N748" s="6"/>
      <c r="Q748" s="23"/>
      <c r="R748" s="23"/>
      <c r="AR748" s="23"/>
      <c r="AS748" s="23"/>
      <c r="AT748" s="23"/>
      <c r="AU748" s="23"/>
    </row>
    <row r="749" spans="8:47" x14ac:dyDescent="0.2">
      <c r="H749" s="23"/>
      <c r="N749" s="6"/>
      <c r="Q749" s="23"/>
      <c r="R749" s="23"/>
      <c r="AR749" s="23"/>
      <c r="AS749" s="23"/>
      <c r="AT749" s="23"/>
      <c r="AU749" s="23"/>
    </row>
    <row r="750" spans="8:47" x14ac:dyDescent="0.2">
      <c r="H750" s="23"/>
      <c r="N750" s="6"/>
      <c r="Q750" s="23"/>
      <c r="R750" s="23"/>
      <c r="AR750" s="23"/>
      <c r="AS750" s="23"/>
      <c r="AT750" s="23"/>
      <c r="AU750" s="23"/>
    </row>
    <row r="751" spans="8:47" x14ac:dyDescent="0.2">
      <c r="H751" s="23"/>
      <c r="N751" s="6"/>
      <c r="Q751" s="23"/>
      <c r="R751" s="23"/>
      <c r="AR751" s="23"/>
      <c r="AS751" s="23"/>
      <c r="AT751" s="23"/>
      <c r="AU751" s="23"/>
    </row>
    <row r="752" spans="8:47" x14ac:dyDescent="0.2">
      <c r="H752" s="23"/>
      <c r="N752" s="6"/>
      <c r="Q752" s="23"/>
      <c r="R752" s="23"/>
      <c r="AR752" s="23"/>
      <c r="AS752" s="23"/>
      <c r="AT752" s="23"/>
      <c r="AU752" s="23"/>
    </row>
    <row r="753" spans="8:47" x14ac:dyDescent="0.2">
      <c r="H753" s="23"/>
      <c r="N753" s="6"/>
      <c r="Q753" s="23"/>
      <c r="R753" s="23"/>
      <c r="AR753" s="23"/>
      <c r="AS753" s="23"/>
      <c r="AT753" s="23"/>
      <c r="AU753" s="23"/>
    </row>
    <row r="754" spans="8:47" x14ac:dyDescent="0.2">
      <c r="H754" s="23"/>
      <c r="N754" s="6"/>
      <c r="Q754" s="23"/>
      <c r="R754" s="23"/>
      <c r="AR754" s="23"/>
      <c r="AS754" s="23"/>
      <c r="AT754" s="23"/>
      <c r="AU754" s="23"/>
    </row>
    <row r="755" spans="8:47" x14ac:dyDescent="0.2">
      <c r="H755" s="23"/>
      <c r="N755" s="6"/>
      <c r="Q755" s="23"/>
      <c r="R755" s="23"/>
      <c r="AR755" s="23"/>
      <c r="AS755" s="23"/>
      <c r="AT755" s="23"/>
      <c r="AU755" s="23"/>
    </row>
    <row r="756" spans="8:47" x14ac:dyDescent="0.2">
      <c r="H756" s="23"/>
      <c r="N756" s="6"/>
      <c r="Q756" s="23"/>
      <c r="R756" s="23"/>
      <c r="AR756" s="23"/>
      <c r="AS756" s="23"/>
      <c r="AT756" s="23"/>
      <c r="AU756" s="23"/>
    </row>
    <row r="757" spans="8:47" x14ac:dyDescent="0.2">
      <c r="H757" s="23"/>
      <c r="N757" s="6"/>
      <c r="Q757" s="23"/>
      <c r="R757" s="23"/>
      <c r="AR757" s="23"/>
      <c r="AS757" s="23"/>
      <c r="AT757" s="23"/>
      <c r="AU757" s="23"/>
    </row>
    <row r="758" spans="8:47" x14ac:dyDescent="0.2">
      <c r="H758" s="23"/>
      <c r="N758" s="6"/>
      <c r="Q758" s="23"/>
      <c r="R758" s="23"/>
      <c r="AR758" s="23"/>
      <c r="AS758" s="23"/>
      <c r="AT758" s="23"/>
      <c r="AU758" s="23"/>
    </row>
    <row r="759" spans="8:47" x14ac:dyDescent="0.2">
      <c r="H759" s="23"/>
      <c r="N759" s="6"/>
      <c r="Q759" s="23"/>
      <c r="R759" s="23"/>
      <c r="AR759" s="23"/>
      <c r="AS759" s="23"/>
      <c r="AT759" s="23"/>
      <c r="AU759" s="23"/>
    </row>
    <row r="760" spans="8:47" x14ac:dyDescent="0.2">
      <c r="H760" s="23"/>
      <c r="N760" s="6"/>
      <c r="Q760" s="23"/>
      <c r="R760" s="23"/>
      <c r="AR760" s="23"/>
      <c r="AS760" s="23"/>
      <c r="AT760" s="23"/>
      <c r="AU760" s="23"/>
    </row>
    <row r="761" spans="8:47" x14ac:dyDescent="0.2">
      <c r="H761" s="23"/>
      <c r="N761" s="6"/>
      <c r="Q761" s="23"/>
      <c r="R761" s="23"/>
      <c r="AR761" s="23"/>
      <c r="AS761" s="23"/>
      <c r="AT761" s="23"/>
      <c r="AU761" s="23"/>
    </row>
    <row r="762" spans="8:47" x14ac:dyDescent="0.2">
      <c r="H762" s="23"/>
      <c r="N762" s="6"/>
      <c r="Q762" s="23"/>
      <c r="R762" s="23"/>
      <c r="AR762" s="23"/>
      <c r="AS762" s="23"/>
      <c r="AT762" s="23"/>
      <c r="AU762" s="23"/>
    </row>
    <row r="763" spans="8:47" x14ac:dyDescent="0.2">
      <c r="H763" s="23"/>
      <c r="N763" s="6"/>
      <c r="Q763" s="23"/>
      <c r="R763" s="23"/>
      <c r="AR763" s="23"/>
      <c r="AS763" s="23"/>
      <c r="AT763" s="23"/>
      <c r="AU763" s="23"/>
    </row>
    <row r="764" spans="8:47" x14ac:dyDescent="0.2">
      <c r="H764" s="23"/>
      <c r="N764" s="6"/>
      <c r="Q764" s="23"/>
      <c r="R764" s="23"/>
      <c r="AR764" s="23"/>
      <c r="AS764" s="23"/>
      <c r="AT764" s="23"/>
      <c r="AU764" s="23"/>
    </row>
    <row r="765" spans="8:47" x14ac:dyDescent="0.2">
      <c r="H765" s="23"/>
      <c r="N765" s="6"/>
      <c r="Q765" s="23"/>
      <c r="R765" s="23"/>
      <c r="AR765" s="23"/>
      <c r="AS765" s="23"/>
      <c r="AT765" s="23"/>
      <c r="AU765" s="23"/>
    </row>
    <row r="766" spans="8:47" x14ac:dyDescent="0.2">
      <c r="H766" s="23"/>
      <c r="N766" s="6"/>
      <c r="Q766" s="23"/>
      <c r="R766" s="23"/>
      <c r="AR766" s="23"/>
      <c r="AS766" s="23"/>
      <c r="AT766" s="23"/>
      <c r="AU766" s="23"/>
    </row>
    <row r="767" spans="8:47" x14ac:dyDescent="0.2">
      <c r="H767" s="23"/>
      <c r="N767" s="6"/>
      <c r="Q767" s="23"/>
      <c r="R767" s="23"/>
      <c r="AR767" s="23"/>
      <c r="AS767" s="23"/>
      <c r="AT767" s="23"/>
      <c r="AU767" s="23"/>
    </row>
    <row r="768" spans="8:47" x14ac:dyDescent="0.2">
      <c r="H768" s="23"/>
      <c r="N768" s="6"/>
      <c r="Q768" s="23"/>
      <c r="R768" s="23"/>
      <c r="AR768" s="23"/>
      <c r="AS768" s="23"/>
      <c r="AT768" s="23"/>
      <c r="AU768" s="23"/>
    </row>
    <row r="769" spans="8:47" x14ac:dyDescent="0.2">
      <c r="H769" s="23"/>
      <c r="N769" s="6"/>
      <c r="Q769" s="23"/>
      <c r="R769" s="23"/>
      <c r="AR769" s="23"/>
      <c r="AS769" s="23"/>
      <c r="AT769" s="23"/>
      <c r="AU769" s="23"/>
    </row>
    <row r="770" spans="8:47" x14ac:dyDescent="0.2">
      <c r="H770" s="23"/>
      <c r="N770" s="6"/>
      <c r="Q770" s="23"/>
      <c r="R770" s="23"/>
      <c r="AT770" s="23"/>
      <c r="AU770" s="23"/>
    </row>
    <row r="771" spans="8:47" x14ac:dyDescent="0.2">
      <c r="H771" s="23"/>
      <c r="N771" s="6"/>
      <c r="Q771" s="23"/>
      <c r="R771" s="23"/>
      <c r="AR771" s="23"/>
      <c r="AS771" s="23"/>
      <c r="AT771" s="23"/>
      <c r="AU771" s="23"/>
    </row>
    <row r="772" spans="8:47" x14ac:dyDescent="0.2">
      <c r="H772" s="23"/>
      <c r="N772" s="6"/>
      <c r="Q772" s="23"/>
      <c r="R772" s="23"/>
      <c r="AR772" s="23"/>
      <c r="AS772" s="23"/>
      <c r="AT772" s="23"/>
      <c r="AU772" s="23"/>
    </row>
    <row r="773" spans="8:47" x14ac:dyDescent="0.2">
      <c r="H773" s="23"/>
      <c r="N773" s="6"/>
      <c r="Q773" s="23"/>
      <c r="R773" s="23"/>
      <c r="AR773" s="23"/>
      <c r="AS773" s="23"/>
      <c r="AT773" s="23"/>
      <c r="AU773" s="23"/>
    </row>
    <row r="774" spans="8:47" x14ac:dyDescent="0.2">
      <c r="H774" s="23"/>
      <c r="N774" s="6"/>
      <c r="Q774" s="23"/>
      <c r="R774" s="23"/>
      <c r="AR774" s="23"/>
      <c r="AS774" s="23"/>
      <c r="AT774" s="23"/>
      <c r="AU774" s="23"/>
    </row>
    <row r="775" spans="8:47" x14ac:dyDescent="0.2">
      <c r="H775" s="23"/>
      <c r="N775" s="6"/>
      <c r="Q775" s="23"/>
      <c r="R775" s="23"/>
      <c r="AR775" s="23"/>
      <c r="AS775" s="23"/>
      <c r="AT775" s="23"/>
      <c r="AU775" s="23"/>
    </row>
    <row r="776" spans="8:47" x14ac:dyDescent="0.2">
      <c r="H776" s="23"/>
      <c r="N776" s="6"/>
      <c r="Q776" s="23"/>
      <c r="R776" s="23"/>
      <c r="AR776" s="23"/>
      <c r="AS776" s="23"/>
      <c r="AT776" s="23"/>
      <c r="AU776" s="23"/>
    </row>
    <row r="777" spans="8:47" x14ac:dyDescent="0.2">
      <c r="H777" s="23"/>
      <c r="N777" s="6"/>
      <c r="Q777" s="23"/>
      <c r="R777" s="23"/>
      <c r="AR777" s="23"/>
      <c r="AS777" s="23"/>
      <c r="AT777" s="23"/>
      <c r="AU777" s="23"/>
    </row>
    <row r="778" spans="8:47" x14ac:dyDescent="0.2">
      <c r="H778" s="23"/>
      <c r="N778" s="6"/>
      <c r="Q778" s="23"/>
      <c r="R778" s="23"/>
      <c r="AR778" s="23"/>
      <c r="AS778" s="23"/>
      <c r="AT778" s="23"/>
      <c r="AU778" s="23"/>
    </row>
    <row r="779" spans="8:47" x14ac:dyDescent="0.2">
      <c r="H779" s="23"/>
      <c r="N779" s="6"/>
      <c r="Q779" s="23"/>
      <c r="R779" s="23"/>
      <c r="AR779" s="23"/>
      <c r="AS779" s="23"/>
      <c r="AT779" s="23"/>
      <c r="AU779" s="23"/>
    </row>
    <row r="780" spans="8:47" x14ac:dyDescent="0.2">
      <c r="H780" s="23"/>
      <c r="N780" s="6"/>
      <c r="Q780" s="23"/>
      <c r="R780" s="23"/>
      <c r="AR780" s="23"/>
      <c r="AS780" s="23"/>
      <c r="AT780" s="23"/>
      <c r="AU780" s="23"/>
    </row>
    <row r="781" spans="8:47" x14ac:dyDescent="0.2">
      <c r="H781" s="23"/>
      <c r="N781" s="6"/>
      <c r="Q781" s="23"/>
      <c r="R781" s="23"/>
      <c r="AR781" s="23"/>
      <c r="AS781" s="23"/>
      <c r="AT781" s="23"/>
      <c r="AU781" s="23"/>
    </row>
    <row r="782" spans="8:47" x14ac:dyDescent="0.2">
      <c r="H782" s="23"/>
      <c r="N782" s="6"/>
      <c r="Q782" s="23"/>
      <c r="R782" s="23"/>
      <c r="AR782" s="23"/>
      <c r="AS782" s="23"/>
      <c r="AT782" s="23"/>
      <c r="AU782" s="23"/>
    </row>
    <row r="783" spans="8:47" x14ac:dyDescent="0.2">
      <c r="H783" s="23"/>
      <c r="N783" s="6"/>
      <c r="Q783" s="23"/>
      <c r="R783" s="23"/>
      <c r="AR783" s="23"/>
      <c r="AS783" s="23"/>
      <c r="AT783" s="23"/>
      <c r="AU783" s="23"/>
    </row>
    <row r="784" spans="8:47" x14ac:dyDescent="0.2">
      <c r="H784" s="23"/>
      <c r="N784" s="6"/>
      <c r="Q784" s="23"/>
      <c r="R784" s="23"/>
      <c r="AR784" s="23"/>
      <c r="AT784" s="23"/>
      <c r="AU784" s="23"/>
    </row>
    <row r="785" spans="8:47" x14ac:dyDescent="0.2">
      <c r="H785" s="23"/>
      <c r="N785" s="6"/>
      <c r="Q785" s="23"/>
      <c r="R785" s="23"/>
      <c r="AR785" s="23"/>
      <c r="AS785" s="23"/>
      <c r="AT785" s="23"/>
      <c r="AU785" s="23"/>
    </row>
    <row r="786" spans="8:47" x14ac:dyDescent="0.2">
      <c r="H786" s="23"/>
      <c r="N786" s="6"/>
      <c r="Q786" s="23"/>
      <c r="R786" s="23"/>
      <c r="AR786" s="23"/>
      <c r="AS786" s="23"/>
      <c r="AT786" s="23"/>
      <c r="AU786" s="23"/>
    </row>
    <row r="787" spans="8:47" x14ac:dyDescent="0.2">
      <c r="H787" s="23"/>
      <c r="N787" s="6"/>
      <c r="Q787" s="23"/>
      <c r="R787" s="23"/>
      <c r="AR787" s="23"/>
      <c r="AS787" s="23"/>
      <c r="AT787" s="23"/>
      <c r="AU787" s="23"/>
    </row>
    <row r="788" spans="8:47" x14ac:dyDescent="0.2">
      <c r="H788" s="23"/>
      <c r="N788" s="6"/>
      <c r="Q788" s="23"/>
      <c r="R788" s="23"/>
      <c r="AR788" s="23"/>
      <c r="AS788" s="23"/>
      <c r="AT788" s="23"/>
      <c r="AU788" s="23"/>
    </row>
    <row r="789" spans="8:47" x14ac:dyDescent="0.2">
      <c r="H789" s="23"/>
      <c r="N789" s="6"/>
      <c r="Q789" s="23"/>
      <c r="R789" s="23"/>
      <c r="AR789" s="23"/>
      <c r="AS789" s="23"/>
      <c r="AT789" s="23"/>
      <c r="AU789" s="23"/>
    </row>
    <row r="790" spans="8:47" x14ac:dyDescent="0.2">
      <c r="H790" s="23"/>
      <c r="N790" s="6"/>
      <c r="Q790" s="23"/>
      <c r="R790" s="23"/>
      <c r="AR790" s="23"/>
      <c r="AS790" s="23"/>
      <c r="AT790" s="23"/>
      <c r="AU790" s="23"/>
    </row>
    <row r="791" spans="8:47" x14ac:dyDescent="0.2">
      <c r="H791" s="23"/>
      <c r="N791" s="6"/>
      <c r="Q791" s="23"/>
      <c r="R791" s="23"/>
      <c r="AR791" s="23"/>
      <c r="AS791" s="23"/>
      <c r="AT791" s="23"/>
      <c r="AU791" s="23"/>
    </row>
    <row r="792" spans="8:47" x14ac:dyDescent="0.2">
      <c r="H792" s="23"/>
      <c r="N792" s="6"/>
      <c r="Q792" s="23"/>
      <c r="R792" s="23"/>
      <c r="AR792" s="23"/>
      <c r="AS792" s="23"/>
      <c r="AT792" s="23"/>
      <c r="AU792" s="23"/>
    </row>
    <row r="793" spans="8:47" x14ac:dyDescent="0.2">
      <c r="H793" s="23"/>
      <c r="N793" s="6"/>
      <c r="Q793" s="23"/>
      <c r="R793" s="23"/>
      <c r="AT793" s="23"/>
      <c r="AU793" s="23"/>
    </row>
    <row r="794" spans="8:47" x14ac:dyDescent="0.2">
      <c r="H794" s="23"/>
      <c r="N794" s="6"/>
      <c r="Q794" s="23"/>
      <c r="R794" s="23"/>
      <c r="AR794" s="23"/>
      <c r="AS794" s="23"/>
      <c r="AT794" s="23"/>
      <c r="AU794" s="23"/>
    </row>
    <row r="795" spans="8:47" x14ac:dyDescent="0.2">
      <c r="H795" s="23"/>
      <c r="N795" s="6"/>
      <c r="Q795" s="23"/>
      <c r="R795" s="23"/>
      <c r="AR795" s="23"/>
      <c r="AS795" s="23"/>
      <c r="AT795" s="23"/>
      <c r="AU795" s="23"/>
    </row>
    <row r="796" spans="8:47" x14ac:dyDescent="0.2">
      <c r="H796" s="23"/>
      <c r="N796" s="6"/>
      <c r="Q796" s="23"/>
      <c r="R796" s="23"/>
      <c r="AR796" s="23"/>
      <c r="AS796" s="23"/>
      <c r="AT796" s="23"/>
      <c r="AU796" s="23"/>
    </row>
    <row r="797" spans="8:47" x14ac:dyDescent="0.2">
      <c r="H797" s="23"/>
      <c r="N797" s="6"/>
      <c r="Q797" s="23"/>
      <c r="R797" s="23"/>
      <c r="AR797" s="23"/>
      <c r="AS797" s="23"/>
      <c r="AT797" s="23"/>
      <c r="AU797" s="23"/>
    </row>
    <row r="798" spans="8:47" x14ac:dyDescent="0.2">
      <c r="H798" s="23"/>
      <c r="N798" s="6"/>
      <c r="Q798" s="23"/>
      <c r="R798" s="23"/>
      <c r="AR798" s="23"/>
      <c r="AS798" s="23"/>
      <c r="AT798" s="23"/>
      <c r="AU798" s="23"/>
    </row>
    <row r="799" spans="8:47" x14ac:dyDescent="0.2">
      <c r="H799" s="23"/>
      <c r="N799" s="6"/>
      <c r="Q799" s="23"/>
      <c r="R799" s="23"/>
      <c r="AR799" s="23"/>
      <c r="AS799" s="23"/>
      <c r="AT799" s="23"/>
      <c r="AU799" s="23"/>
    </row>
    <row r="800" spans="8:47" x14ac:dyDescent="0.2">
      <c r="H800" s="23"/>
      <c r="N800" s="6"/>
      <c r="Q800" s="23"/>
      <c r="R800" s="23"/>
      <c r="AR800" s="23"/>
      <c r="AS800" s="23"/>
      <c r="AT800" s="23"/>
      <c r="AU800" s="23"/>
    </row>
    <row r="801" spans="8:47" x14ac:dyDescent="0.2">
      <c r="H801" s="23"/>
      <c r="N801" s="6"/>
      <c r="Q801" s="23"/>
      <c r="R801" s="23"/>
      <c r="AR801" s="23"/>
      <c r="AS801" s="23"/>
      <c r="AT801" s="23"/>
      <c r="AU801" s="23"/>
    </row>
    <row r="802" spans="8:47" x14ac:dyDescent="0.2">
      <c r="H802" s="23"/>
      <c r="N802" s="6"/>
      <c r="Q802" s="23"/>
      <c r="R802" s="23"/>
      <c r="AT802" s="23"/>
      <c r="AU802" s="23"/>
    </row>
    <row r="803" spans="8:47" x14ac:dyDescent="0.2">
      <c r="H803" s="23"/>
      <c r="N803" s="6"/>
      <c r="Q803" s="23"/>
      <c r="R803" s="23"/>
      <c r="AR803" s="23"/>
      <c r="AS803" s="23"/>
      <c r="AT803" s="23"/>
      <c r="AU803" s="23"/>
    </row>
    <row r="804" spans="8:47" x14ac:dyDescent="0.2">
      <c r="H804" s="23"/>
      <c r="N804" s="6"/>
      <c r="Q804" s="23"/>
      <c r="R804" s="23"/>
      <c r="AR804" s="23"/>
      <c r="AS804" s="23"/>
      <c r="AT804" s="23"/>
      <c r="AU804" s="23"/>
    </row>
    <row r="805" spans="8:47" x14ac:dyDescent="0.2">
      <c r="H805" s="23"/>
      <c r="N805" s="6"/>
      <c r="Q805" s="23"/>
      <c r="R805" s="23"/>
      <c r="AR805" s="23"/>
      <c r="AS805" s="23"/>
      <c r="AT805" s="23"/>
      <c r="AU805" s="23"/>
    </row>
    <row r="806" spans="8:47" x14ac:dyDescent="0.2">
      <c r="H806" s="23"/>
      <c r="N806" s="6"/>
      <c r="Q806" s="23"/>
      <c r="R806" s="23"/>
      <c r="AR806" s="23"/>
      <c r="AT806" s="23"/>
      <c r="AU806" s="23"/>
    </row>
    <row r="807" spans="8:47" x14ac:dyDescent="0.2">
      <c r="H807" s="23"/>
      <c r="N807" s="6"/>
      <c r="Q807" s="23"/>
      <c r="R807" s="23"/>
      <c r="AR807" s="23"/>
      <c r="AS807" s="23"/>
      <c r="AT807" s="23"/>
      <c r="AU807" s="23"/>
    </row>
    <row r="808" spans="8:47" x14ac:dyDescent="0.2">
      <c r="H808" s="23"/>
      <c r="N808" s="6"/>
      <c r="Q808" s="23"/>
      <c r="R808" s="23"/>
      <c r="AR808" s="23"/>
      <c r="AS808" s="23"/>
      <c r="AT808" s="23"/>
      <c r="AU808" s="23"/>
    </row>
    <row r="809" spans="8:47" x14ac:dyDescent="0.2">
      <c r="H809" s="23"/>
      <c r="N809" s="6"/>
      <c r="Q809" s="23"/>
      <c r="R809" s="23"/>
      <c r="AT809" s="23"/>
      <c r="AU809" s="23"/>
    </row>
    <row r="810" spans="8:47" x14ac:dyDescent="0.2">
      <c r="H810" s="23"/>
      <c r="N810" s="6"/>
      <c r="Q810" s="23"/>
      <c r="R810" s="23"/>
      <c r="AT810" s="23"/>
      <c r="AU810" s="23"/>
    </row>
    <row r="811" spans="8:47" x14ac:dyDescent="0.2">
      <c r="H811" s="23"/>
      <c r="N811" s="6"/>
      <c r="Q811" s="23"/>
      <c r="R811" s="23"/>
      <c r="AR811" s="23"/>
      <c r="AS811" s="23"/>
      <c r="AT811" s="23"/>
      <c r="AU811" s="23"/>
    </row>
    <row r="812" spans="8:47" x14ac:dyDescent="0.2">
      <c r="H812" s="23"/>
      <c r="N812" s="6"/>
      <c r="Q812" s="23"/>
      <c r="R812" s="23"/>
      <c r="AT812" s="23"/>
      <c r="AU812" s="23"/>
    </row>
    <row r="813" spans="8:47" x14ac:dyDescent="0.2">
      <c r="H813" s="23"/>
      <c r="N813" s="6"/>
      <c r="Q813" s="23"/>
      <c r="R813" s="23"/>
      <c r="AR813" s="23"/>
      <c r="AS813" s="23"/>
      <c r="AT813" s="23"/>
      <c r="AU813" s="23"/>
    </row>
    <row r="814" spans="8:47" x14ac:dyDescent="0.2">
      <c r="H814" s="23"/>
      <c r="N814" s="6"/>
      <c r="Q814" s="23"/>
      <c r="R814" s="23"/>
      <c r="AR814" s="23"/>
      <c r="AS814" s="23"/>
      <c r="AT814" s="23"/>
      <c r="AU814" s="23"/>
    </row>
    <row r="815" spans="8:47" x14ac:dyDescent="0.2">
      <c r="H815" s="23"/>
      <c r="N815" s="6"/>
      <c r="Q815" s="23"/>
      <c r="R815" s="23"/>
      <c r="AR815" s="23"/>
      <c r="AS815" s="23"/>
      <c r="AT815" s="23"/>
      <c r="AU815" s="23"/>
    </row>
    <row r="816" spans="8:47" x14ac:dyDescent="0.2">
      <c r="H816" s="23"/>
      <c r="N816" s="6"/>
      <c r="Q816" s="23"/>
      <c r="R816" s="23"/>
      <c r="AR816" s="23"/>
      <c r="AS816" s="23"/>
      <c r="AT816" s="23"/>
      <c r="AU816" s="23"/>
    </row>
    <row r="817" spans="8:47" x14ac:dyDescent="0.2">
      <c r="H817" s="23"/>
      <c r="N817" s="6"/>
      <c r="Q817" s="23"/>
      <c r="R817" s="23"/>
      <c r="AR817" s="23"/>
      <c r="AS817" s="23"/>
      <c r="AT817" s="23"/>
      <c r="AU817" s="23"/>
    </row>
    <row r="818" spans="8:47" x14ac:dyDescent="0.2">
      <c r="H818" s="23"/>
      <c r="N818" s="6"/>
      <c r="Q818" s="23"/>
      <c r="R818" s="23"/>
      <c r="AR818" s="23"/>
      <c r="AS818" s="23"/>
      <c r="AT818" s="23"/>
      <c r="AU818" s="23"/>
    </row>
    <row r="819" spans="8:47" x14ac:dyDescent="0.2">
      <c r="H819" s="23"/>
      <c r="N819" s="6"/>
      <c r="Q819" s="23"/>
      <c r="R819" s="23"/>
      <c r="AR819" s="23"/>
      <c r="AS819" s="23"/>
      <c r="AT819" s="23"/>
      <c r="AU819" s="23"/>
    </row>
    <row r="820" spans="8:47" x14ac:dyDescent="0.2">
      <c r="H820" s="23"/>
      <c r="N820" s="6"/>
      <c r="Q820" s="23"/>
      <c r="R820" s="23"/>
      <c r="AR820" s="23"/>
      <c r="AS820" s="23"/>
      <c r="AT820" s="23"/>
      <c r="AU820" s="23"/>
    </row>
    <row r="821" spans="8:47" x14ac:dyDescent="0.2">
      <c r="H821" s="23"/>
      <c r="N821" s="6"/>
      <c r="Q821" s="23"/>
      <c r="R821" s="23"/>
      <c r="AT821" s="23"/>
      <c r="AU821" s="23"/>
    </row>
    <row r="822" spans="8:47" x14ac:dyDescent="0.2">
      <c r="H822" s="23"/>
      <c r="N822" s="6"/>
      <c r="Q822" s="23"/>
      <c r="R822" s="23"/>
      <c r="AR822" s="23"/>
      <c r="AS822" s="23"/>
      <c r="AT822" s="23"/>
      <c r="AU822" s="23"/>
    </row>
    <row r="823" spans="8:47" x14ac:dyDescent="0.2">
      <c r="H823" s="23"/>
      <c r="N823" s="6"/>
      <c r="Q823" s="23"/>
      <c r="R823" s="23"/>
      <c r="AR823" s="23"/>
      <c r="AS823" s="23"/>
      <c r="AT823" s="23"/>
      <c r="AU823" s="23"/>
    </row>
    <row r="824" spans="8:47" x14ac:dyDescent="0.2">
      <c r="H824" s="23"/>
      <c r="N824" s="6"/>
      <c r="Q824" s="23"/>
      <c r="R824" s="23"/>
      <c r="AR824" s="23"/>
      <c r="AS824" s="23"/>
      <c r="AT824" s="23"/>
      <c r="AU824" s="23"/>
    </row>
    <row r="825" spans="8:47" x14ac:dyDescent="0.2">
      <c r="H825" s="23"/>
      <c r="N825" s="6"/>
      <c r="Q825" s="23"/>
      <c r="R825" s="23"/>
      <c r="AR825" s="23"/>
      <c r="AS825" s="23"/>
      <c r="AT825" s="23"/>
      <c r="AU825" s="23"/>
    </row>
    <row r="826" spans="8:47" x14ac:dyDescent="0.2">
      <c r="H826" s="23"/>
      <c r="N826" s="6"/>
      <c r="Q826" s="23"/>
      <c r="R826" s="23"/>
      <c r="AR826" s="23"/>
      <c r="AS826" s="23"/>
      <c r="AT826" s="23"/>
      <c r="AU826" s="23"/>
    </row>
    <row r="827" spans="8:47" x14ac:dyDescent="0.2">
      <c r="H827" s="23"/>
      <c r="N827" s="6"/>
      <c r="Q827" s="23"/>
      <c r="R827" s="23"/>
      <c r="AR827" s="23"/>
      <c r="AS827" s="23"/>
      <c r="AT827" s="23"/>
      <c r="AU827" s="23"/>
    </row>
    <row r="828" spans="8:47" x14ac:dyDescent="0.2">
      <c r="H828" s="23"/>
      <c r="N828" s="6"/>
      <c r="Q828" s="23"/>
      <c r="R828" s="23"/>
      <c r="AR828" s="23"/>
      <c r="AS828" s="23"/>
      <c r="AT828" s="23"/>
      <c r="AU828" s="23"/>
    </row>
    <row r="829" spans="8:47" x14ac:dyDescent="0.2">
      <c r="H829" s="23"/>
      <c r="N829" s="6"/>
      <c r="Q829" s="23"/>
      <c r="R829" s="23"/>
      <c r="AR829" s="23"/>
      <c r="AS829" s="23"/>
      <c r="AT829" s="23"/>
      <c r="AU829" s="23"/>
    </row>
    <row r="830" spans="8:47" x14ac:dyDescent="0.2">
      <c r="H830" s="23"/>
      <c r="N830" s="6"/>
      <c r="Q830" s="23"/>
      <c r="R830" s="23"/>
      <c r="AR830" s="23"/>
      <c r="AS830" s="23"/>
      <c r="AT830" s="23"/>
      <c r="AU830" s="23"/>
    </row>
    <row r="831" spans="8:47" x14ac:dyDescent="0.2">
      <c r="H831" s="23"/>
      <c r="N831" s="6"/>
      <c r="Q831" s="23"/>
      <c r="R831" s="23"/>
      <c r="AR831" s="23"/>
      <c r="AS831" s="23"/>
      <c r="AT831" s="23"/>
      <c r="AU831" s="23"/>
    </row>
    <row r="832" spans="8:47" x14ac:dyDescent="0.2">
      <c r="H832" s="23"/>
      <c r="N832" s="6"/>
      <c r="Q832" s="23"/>
      <c r="R832" s="23"/>
      <c r="AR832" s="23"/>
      <c r="AS832" s="23"/>
      <c r="AT832" s="23"/>
      <c r="AU832" s="23"/>
    </row>
    <row r="833" spans="8:47" x14ac:dyDescent="0.2">
      <c r="H833" s="23"/>
      <c r="N833" s="6"/>
      <c r="Q833" s="23"/>
      <c r="R833" s="23"/>
      <c r="AT833" s="23"/>
      <c r="AU833" s="23"/>
    </row>
    <row r="834" spans="8:47" x14ac:dyDescent="0.2">
      <c r="H834" s="23"/>
      <c r="N834" s="6"/>
      <c r="Q834" s="23"/>
      <c r="R834" s="23"/>
      <c r="AR834" s="23"/>
      <c r="AS834" s="23"/>
      <c r="AT834" s="23"/>
      <c r="AU834" s="23"/>
    </row>
    <row r="835" spans="8:47" x14ac:dyDescent="0.2">
      <c r="H835" s="23"/>
      <c r="N835" s="6"/>
      <c r="Q835" s="23"/>
      <c r="R835" s="23"/>
      <c r="AR835" s="23"/>
      <c r="AS835" s="23"/>
      <c r="AT835" s="23"/>
      <c r="AU835" s="23"/>
    </row>
    <row r="836" spans="8:47" x14ac:dyDescent="0.2">
      <c r="H836" s="23"/>
      <c r="N836" s="6"/>
      <c r="Q836" s="23"/>
      <c r="R836" s="23"/>
      <c r="AR836" s="23"/>
      <c r="AS836" s="23"/>
      <c r="AT836" s="23"/>
      <c r="AU836" s="23"/>
    </row>
    <row r="837" spans="8:47" x14ac:dyDescent="0.2">
      <c r="H837" s="23"/>
      <c r="N837" s="6"/>
      <c r="Q837" s="23"/>
      <c r="R837" s="23"/>
      <c r="AR837" s="23"/>
      <c r="AT837" s="23"/>
      <c r="AU837" s="23"/>
    </row>
    <row r="838" spans="8:47" x14ac:dyDescent="0.2">
      <c r="H838" s="23"/>
      <c r="N838" s="6"/>
      <c r="Q838" s="23"/>
      <c r="R838" s="23"/>
      <c r="AR838" s="23"/>
      <c r="AS838" s="23"/>
      <c r="AT838" s="23"/>
      <c r="AU838" s="23"/>
    </row>
    <row r="839" spans="8:47" x14ac:dyDescent="0.2">
      <c r="H839" s="23"/>
      <c r="N839" s="6"/>
      <c r="Q839" s="23"/>
      <c r="R839" s="23"/>
      <c r="AT839" s="23"/>
      <c r="AU839" s="23"/>
    </row>
    <row r="840" spans="8:47" x14ac:dyDescent="0.2">
      <c r="H840" s="23"/>
      <c r="N840" s="6"/>
      <c r="Q840" s="23"/>
      <c r="R840" s="23"/>
      <c r="AR840" s="23"/>
      <c r="AS840" s="23"/>
      <c r="AT840" s="23"/>
      <c r="AU840" s="23"/>
    </row>
    <row r="841" spans="8:47" x14ac:dyDescent="0.2">
      <c r="H841" s="23"/>
      <c r="N841" s="6"/>
      <c r="Q841" s="23"/>
      <c r="R841" s="23"/>
      <c r="AR841" s="23"/>
      <c r="AS841" s="23"/>
      <c r="AT841" s="23"/>
      <c r="AU841" s="23"/>
    </row>
    <row r="842" spans="8:47" x14ac:dyDescent="0.2">
      <c r="H842" s="23"/>
      <c r="N842" s="6"/>
      <c r="Q842" s="23"/>
      <c r="R842" s="23"/>
      <c r="AR842" s="23"/>
      <c r="AS842" s="23"/>
      <c r="AT842" s="23"/>
      <c r="AU842" s="23"/>
    </row>
    <row r="843" spans="8:47" x14ac:dyDescent="0.2">
      <c r="H843" s="23"/>
      <c r="N843" s="6"/>
      <c r="Q843" s="23"/>
      <c r="R843" s="23"/>
      <c r="AR843" s="23"/>
      <c r="AS843" s="23"/>
      <c r="AT843" s="23"/>
      <c r="AU843" s="23"/>
    </row>
    <row r="844" spans="8:47" x14ac:dyDescent="0.2">
      <c r="H844" s="23"/>
      <c r="N844" s="6"/>
      <c r="Q844" s="23"/>
      <c r="R844" s="23"/>
      <c r="AR844" s="23"/>
      <c r="AS844" s="23"/>
      <c r="AT844" s="23"/>
      <c r="AU844" s="23"/>
    </row>
    <row r="845" spans="8:47" x14ac:dyDescent="0.2">
      <c r="H845" s="23"/>
      <c r="N845" s="6"/>
      <c r="Q845" s="23"/>
      <c r="R845" s="23"/>
      <c r="AR845" s="23"/>
      <c r="AS845" s="23"/>
      <c r="AT845" s="23"/>
      <c r="AU845" s="23"/>
    </row>
    <row r="846" spans="8:47" x14ac:dyDescent="0.2">
      <c r="H846" s="23"/>
      <c r="N846" s="6"/>
      <c r="Q846" s="23"/>
      <c r="R846" s="23"/>
      <c r="AR846" s="23"/>
      <c r="AS846" s="23"/>
      <c r="AT846" s="23"/>
      <c r="AU846" s="23"/>
    </row>
    <row r="847" spans="8:47" x14ac:dyDescent="0.2">
      <c r="H847" s="23"/>
      <c r="N847" s="6"/>
      <c r="Q847" s="23"/>
      <c r="R847" s="23"/>
      <c r="AR847" s="23"/>
      <c r="AS847" s="23"/>
      <c r="AT847" s="23"/>
      <c r="AU847" s="23"/>
    </row>
    <row r="848" spans="8:47" x14ac:dyDescent="0.2">
      <c r="H848" s="23"/>
      <c r="N848" s="6"/>
      <c r="Q848" s="23"/>
      <c r="R848" s="23"/>
      <c r="AR848" s="23"/>
      <c r="AS848" s="23"/>
      <c r="AT848" s="23"/>
      <c r="AU848" s="23"/>
    </row>
    <row r="849" spans="8:47" x14ac:dyDescent="0.2">
      <c r="H849" s="23"/>
      <c r="N849" s="6"/>
      <c r="Q849" s="23"/>
      <c r="R849" s="23"/>
      <c r="AR849" s="23"/>
      <c r="AS849" s="23"/>
      <c r="AT849" s="23"/>
      <c r="AU849" s="23"/>
    </row>
    <row r="850" spans="8:47" x14ac:dyDescent="0.2">
      <c r="H850" s="23"/>
      <c r="N850" s="6"/>
      <c r="Q850" s="23"/>
      <c r="R850" s="23"/>
      <c r="AT850" s="23"/>
      <c r="AU850" s="23"/>
    </row>
    <row r="851" spans="8:47" x14ac:dyDescent="0.2">
      <c r="H851" s="23"/>
      <c r="N851" s="6"/>
      <c r="Q851" s="23"/>
      <c r="R851" s="23"/>
      <c r="AR851" s="23"/>
      <c r="AS851" s="23"/>
      <c r="AT851" s="23"/>
      <c r="AU851" s="23"/>
    </row>
    <row r="852" spans="8:47" x14ac:dyDescent="0.2">
      <c r="H852" s="23"/>
      <c r="N852" s="6"/>
      <c r="Q852" s="23"/>
      <c r="R852" s="23"/>
    </row>
    <row r="853" spans="8:47" x14ac:dyDescent="0.2">
      <c r="H853" s="23"/>
      <c r="N853" s="6"/>
      <c r="Q853" s="23"/>
      <c r="R853" s="23"/>
      <c r="AR853" s="23"/>
      <c r="AS853" s="23"/>
      <c r="AT853" s="23"/>
      <c r="AU853" s="23"/>
    </row>
    <row r="854" spans="8:47" x14ac:dyDescent="0.2">
      <c r="H854" s="23"/>
      <c r="N854" s="6"/>
      <c r="Q854" s="23"/>
      <c r="R854" s="23"/>
      <c r="AR854" s="23"/>
      <c r="AS854" s="23"/>
      <c r="AT854" s="23"/>
      <c r="AU854" s="23"/>
    </row>
    <row r="855" spans="8:47" x14ac:dyDescent="0.2">
      <c r="H855" s="23"/>
      <c r="N855" s="6"/>
      <c r="Q855" s="23"/>
      <c r="R855" s="23"/>
      <c r="AR855" s="23"/>
      <c r="AS855" s="23"/>
      <c r="AT855" s="23"/>
      <c r="AU855" s="23"/>
    </row>
    <row r="856" spans="8:47" x14ac:dyDescent="0.2">
      <c r="H856" s="23"/>
      <c r="N856" s="6"/>
      <c r="Q856" s="23"/>
      <c r="R856" s="23"/>
      <c r="AR856" s="23"/>
      <c r="AS856" s="23"/>
      <c r="AT856" s="23"/>
      <c r="AU856" s="23"/>
    </row>
    <row r="857" spans="8:47" x14ac:dyDescent="0.2">
      <c r="H857" s="23"/>
      <c r="N857" s="6"/>
      <c r="Q857" s="23"/>
      <c r="R857" s="23"/>
      <c r="AR857" s="23"/>
      <c r="AS857" s="23"/>
      <c r="AT857" s="23"/>
      <c r="AU857" s="23"/>
    </row>
    <row r="858" spans="8:47" x14ac:dyDescent="0.2">
      <c r="H858" s="23"/>
      <c r="N858" s="6"/>
      <c r="Q858" s="23"/>
      <c r="R858" s="23"/>
      <c r="AR858" s="23"/>
      <c r="AS858" s="23"/>
      <c r="AT858" s="23"/>
      <c r="AU858" s="23"/>
    </row>
    <row r="859" spans="8:47" x14ac:dyDescent="0.2">
      <c r="H859" s="23"/>
      <c r="N859" s="6"/>
      <c r="Q859" s="23"/>
      <c r="R859" s="23"/>
      <c r="AR859" s="23"/>
      <c r="AS859" s="23"/>
      <c r="AT859" s="23"/>
      <c r="AU859" s="23"/>
    </row>
    <row r="860" spans="8:47" x14ac:dyDescent="0.2">
      <c r="H860" s="23"/>
      <c r="N860" s="6"/>
      <c r="Q860" s="23"/>
      <c r="R860" s="23"/>
      <c r="AR860" s="23"/>
      <c r="AS860" s="23"/>
      <c r="AT860" s="23"/>
      <c r="AU860" s="23"/>
    </row>
    <row r="861" spans="8:47" x14ac:dyDescent="0.2">
      <c r="H861" s="23"/>
      <c r="N861" s="6"/>
      <c r="Q861" s="23"/>
      <c r="R861" s="23"/>
      <c r="AR861" s="23"/>
      <c r="AS861" s="23"/>
      <c r="AT861" s="23"/>
      <c r="AU861" s="23"/>
    </row>
    <row r="862" spans="8:47" x14ac:dyDescent="0.2">
      <c r="H862" s="23"/>
      <c r="N862" s="6"/>
      <c r="Q862" s="23"/>
      <c r="R862" s="23"/>
    </row>
    <row r="863" spans="8:47" x14ac:dyDescent="0.2">
      <c r="H863" s="23"/>
      <c r="N863" s="6"/>
      <c r="Q863" s="23"/>
      <c r="R863" s="23"/>
      <c r="AR863" s="23"/>
      <c r="AS863" s="23"/>
      <c r="AT863" s="23"/>
      <c r="AU863" s="23"/>
    </row>
    <row r="864" spans="8:47" x14ac:dyDescent="0.2">
      <c r="H864" s="23"/>
      <c r="N864" s="6"/>
      <c r="Q864" s="23"/>
      <c r="R864" s="23"/>
      <c r="AR864" s="23"/>
      <c r="AS864" s="23"/>
      <c r="AT864" s="23"/>
      <c r="AU864" s="23"/>
    </row>
    <row r="865" spans="8:47" x14ac:dyDescent="0.2">
      <c r="H865" s="23"/>
      <c r="N865" s="6"/>
      <c r="Q865" s="23"/>
      <c r="R865" s="23"/>
      <c r="AR865" s="23"/>
      <c r="AS865" s="23"/>
      <c r="AT865" s="23"/>
      <c r="AU865" s="23"/>
    </row>
    <row r="866" spans="8:47" x14ac:dyDescent="0.2">
      <c r="H866" s="23"/>
      <c r="N866" s="6"/>
      <c r="Q866" s="23"/>
      <c r="R866" s="23"/>
      <c r="AR866" s="23"/>
      <c r="AS866" s="23"/>
      <c r="AT866" s="23"/>
      <c r="AU866" s="23"/>
    </row>
    <row r="867" spans="8:47" x14ac:dyDescent="0.2">
      <c r="H867" s="23"/>
      <c r="N867" s="6"/>
      <c r="Q867" s="23"/>
      <c r="R867" s="23"/>
      <c r="AR867" s="23"/>
      <c r="AS867" s="23"/>
      <c r="AT867" s="23"/>
      <c r="AU867" s="23"/>
    </row>
    <row r="868" spans="8:47" x14ac:dyDescent="0.2">
      <c r="H868" s="23"/>
      <c r="N868" s="6"/>
      <c r="Q868" s="23"/>
      <c r="R868" s="23"/>
      <c r="AR868" s="23"/>
      <c r="AS868" s="23"/>
      <c r="AT868" s="23"/>
      <c r="AU868" s="23"/>
    </row>
    <row r="869" spans="8:47" x14ac:dyDescent="0.2">
      <c r="H869" s="23"/>
      <c r="N869" s="6"/>
      <c r="Q869" s="23"/>
      <c r="R869" s="23"/>
      <c r="AR869" s="23"/>
      <c r="AS869" s="23"/>
      <c r="AT869" s="23"/>
      <c r="AU869" s="23"/>
    </row>
    <row r="870" spans="8:47" x14ac:dyDescent="0.2">
      <c r="H870" s="23"/>
      <c r="N870" s="6"/>
      <c r="Q870" s="23"/>
      <c r="R870" s="23"/>
      <c r="AR870" s="23"/>
      <c r="AS870" s="23"/>
      <c r="AT870" s="23"/>
      <c r="AU870" s="23"/>
    </row>
    <row r="871" spans="8:47" x14ac:dyDescent="0.2">
      <c r="H871" s="23"/>
      <c r="N871" s="6"/>
      <c r="Q871" s="23"/>
      <c r="R871" s="23"/>
      <c r="AR871" s="23"/>
      <c r="AS871" s="23"/>
      <c r="AT871" s="23"/>
      <c r="AU871" s="23"/>
    </row>
    <row r="872" spans="8:47" x14ac:dyDescent="0.2">
      <c r="H872" s="23"/>
      <c r="N872" s="6"/>
      <c r="Q872" s="23"/>
      <c r="R872" s="23"/>
      <c r="AT872" s="23"/>
      <c r="AU872" s="23"/>
    </row>
    <row r="873" spans="8:47" x14ac:dyDescent="0.2">
      <c r="H873" s="23"/>
      <c r="N873" s="6"/>
      <c r="Q873" s="23"/>
      <c r="R873" s="23"/>
      <c r="AR873" s="23"/>
      <c r="AS873" s="23"/>
      <c r="AT873" s="23"/>
      <c r="AU873" s="23"/>
    </row>
    <row r="874" spans="8:47" x14ac:dyDescent="0.2">
      <c r="H874" s="23"/>
      <c r="N874" s="6"/>
      <c r="Q874" s="23"/>
      <c r="R874" s="23"/>
      <c r="AR874" s="23"/>
      <c r="AS874" s="23"/>
      <c r="AT874" s="23"/>
      <c r="AU874" s="23"/>
    </row>
    <row r="875" spans="8:47" x14ac:dyDescent="0.2">
      <c r="H875" s="23"/>
      <c r="N875" s="6"/>
      <c r="Q875" s="23"/>
      <c r="R875" s="23"/>
      <c r="AR875" s="23"/>
      <c r="AS875" s="23"/>
      <c r="AT875" s="23"/>
      <c r="AU875" s="23"/>
    </row>
    <row r="876" spans="8:47" x14ac:dyDescent="0.2">
      <c r="H876" s="23"/>
      <c r="N876" s="6"/>
      <c r="Q876" s="23"/>
      <c r="R876" s="23"/>
      <c r="AR876" s="23"/>
      <c r="AS876" s="23"/>
      <c r="AT876" s="23"/>
      <c r="AU876" s="23"/>
    </row>
    <row r="877" spans="8:47" x14ac:dyDescent="0.2">
      <c r="H877" s="23"/>
      <c r="N877" s="6"/>
      <c r="Q877" s="23"/>
      <c r="R877" s="23"/>
      <c r="AR877" s="23"/>
      <c r="AS877" s="23"/>
      <c r="AT877" s="23"/>
      <c r="AU877" s="23"/>
    </row>
    <row r="878" spans="8:47" x14ac:dyDescent="0.2">
      <c r="H878" s="23"/>
      <c r="N878" s="6"/>
      <c r="Q878" s="23"/>
      <c r="R878" s="23"/>
      <c r="AR878" s="23"/>
      <c r="AT878" s="23"/>
      <c r="AU878" s="23"/>
    </row>
    <row r="879" spans="8:47" x14ac:dyDescent="0.2">
      <c r="H879" s="23"/>
      <c r="N879" s="6"/>
      <c r="Q879" s="23"/>
      <c r="R879" s="23"/>
      <c r="AR879" s="23"/>
      <c r="AS879" s="23"/>
      <c r="AT879" s="23"/>
      <c r="AU879" s="23"/>
    </row>
    <row r="880" spans="8:47" x14ac:dyDescent="0.2">
      <c r="H880" s="23"/>
      <c r="N880" s="6"/>
      <c r="Q880" s="23"/>
      <c r="R880" s="23"/>
      <c r="AR880" s="23"/>
      <c r="AS880" s="23"/>
      <c r="AT880" s="23"/>
      <c r="AU880" s="23"/>
    </row>
    <row r="881" spans="8:47" x14ac:dyDescent="0.2">
      <c r="H881" s="23"/>
      <c r="N881" s="6"/>
      <c r="Q881" s="23"/>
      <c r="R881" s="23"/>
      <c r="AR881" s="23"/>
      <c r="AS881" s="23"/>
      <c r="AT881" s="23"/>
      <c r="AU881" s="23"/>
    </row>
    <row r="882" spans="8:47" x14ac:dyDescent="0.2">
      <c r="H882" s="23"/>
      <c r="N882" s="6"/>
      <c r="Q882" s="23"/>
      <c r="R882" s="23"/>
      <c r="AR882" s="23"/>
      <c r="AS882" s="23"/>
      <c r="AT882" s="23"/>
      <c r="AU882" s="23"/>
    </row>
    <row r="883" spans="8:47" x14ac:dyDescent="0.2">
      <c r="H883" s="23"/>
      <c r="N883" s="6"/>
      <c r="Q883" s="23"/>
      <c r="R883" s="23"/>
      <c r="AR883" s="23"/>
      <c r="AS883" s="23"/>
      <c r="AT883" s="23"/>
      <c r="AU883" s="23"/>
    </row>
    <row r="884" spans="8:47" x14ac:dyDescent="0.2">
      <c r="H884" s="23"/>
      <c r="N884" s="6"/>
      <c r="Q884" s="23"/>
      <c r="R884" s="23"/>
      <c r="AR884" s="23"/>
      <c r="AS884" s="23"/>
      <c r="AT884" s="23"/>
      <c r="AU884" s="23"/>
    </row>
    <row r="885" spans="8:47" x14ac:dyDescent="0.2">
      <c r="H885" s="23"/>
      <c r="N885" s="6"/>
      <c r="Q885" s="23"/>
      <c r="R885" s="23"/>
      <c r="AR885" s="23"/>
      <c r="AS885" s="23"/>
      <c r="AT885" s="23"/>
      <c r="AU885" s="23"/>
    </row>
    <row r="886" spans="8:47" x14ac:dyDescent="0.2">
      <c r="H886" s="23"/>
      <c r="N886" s="6"/>
      <c r="Q886" s="23"/>
      <c r="R886" s="23"/>
      <c r="AT886" s="23"/>
      <c r="AU886" s="23"/>
    </row>
    <row r="887" spans="8:47" x14ac:dyDescent="0.2">
      <c r="H887" s="23"/>
      <c r="N887" s="6"/>
      <c r="Q887" s="23"/>
      <c r="R887" s="23"/>
      <c r="AR887" s="23"/>
      <c r="AS887" s="23"/>
      <c r="AT887" s="23"/>
      <c r="AU887" s="23"/>
    </row>
    <row r="888" spans="8:47" x14ac:dyDescent="0.2">
      <c r="H888" s="23"/>
      <c r="N888" s="6"/>
      <c r="Q888" s="23"/>
      <c r="R888" s="23"/>
      <c r="AR888" s="23"/>
      <c r="AS888" s="23"/>
      <c r="AT888" s="23"/>
      <c r="AU888" s="23"/>
    </row>
    <row r="889" spans="8:47" x14ac:dyDescent="0.2">
      <c r="H889" s="23"/>
      <c r="N889" s="6"/>
      <c r="Q889" s="23"/>
      <c r="R889" s="23"/>
      <c r="AR889" s="23"/>
      <c r="AS889" s="23"/>
      <c r="AT889" s="23"/>
      <c r="AU889" s="23"/>
    </row>
    <row r="890" spans="8:47" x14ac:dyDescent="0.2">
      <c r="H890" s="23"/>
      <c r="N890" s="6"/>
      <c r="Q890" s="23"/>
      <c r="R890" s="23"/>
      <c r="AR890" s="23"/>
      <c r="AS890" s="23"/>
      <c r="AT890" s="23"/>
      <c r="AU890" s="23"/>
    </row>
    <row r="891" spans="8:47" x14ac:dyDescent="0.2">
      <c r="H891" s="23"/>
      <c r="N891" s="6"/>
      <c r="Q891" s="23"/>
      <c r="R891" s="23"/>
      <c r="AR891" s="23"/>
      <c r="AS891" s="23"/>
      <c r="AT891" s="23"/>
      <c r="AU891" s="23"/>
    </row>
    <row r="892" spans="8:47" x14ac:dyDescent="0.2">
      <c r="H892" s="23"/>
      <c r="N892" s="6"/>
      <c r="Q892" s="23"/>
      <c r="R892" s="23"/>
      <c r="AR892" s="23"/>
      <c r="AS892" s="23"/>
      <c r="AT892" s="23"/>
      <c r="AU892" s="23"/>
    </row>
    <row r="893" spans="8:47" x14ac:dyDescent="0.2">
      <c r="H893" s="23"/>
      <c r="N893" s="6"/>
      <c r="Q893" s="23"/>
      <c r="R893" s="23"/>
      <c r="AR893" s="23"/>
      <c r="AS893" s="23"/>
      <c r="AT893" s="23"/>
      <c r="AU893" s="23"/>
    </row>
    <row r="894" spans="8:47" x14ac:dyDescent="0.2">
      <c r="H894" s="23"/>
      <c r="N894" s="6"/>
      <c r="Q894" s="23"/>
      <c r="R894" s="23"/>
      <c r="AR894" s="23"/>
      <c r="AS894" s="23"/>
      <c r="AT894" s="23"/>
      <c r="AU894" s="23"/>
    </row>
    <row r="895" spans="8:47" x14ac:dyDescent="0.2">
      <c r="H895" s="23"/>
      <c r="N895" s="6"/>
      <c r="Q895" s="23"/>
      <c r="R895" s="23"/>
      <c r="AR895" s="23"/>
      <c r="AS895" s="23"/>
      <c r="AT895" s="23"/>
      <c r="AU895" s="23"/>
    </row>
    <row r="896" spans="8:47" x14ac:dyDescent="0.2">
      <c r="H896" s="23"/>
      <c r="N896" s="6"/>
      <c r="Q896" s="23"/>
      <c r="R896" s="23"/>
      <c r="AR896" s="23"/>
      <c r="AS896" s="23"/>
      <c r="AT896" s="23"/>
      <c r="AU896" s="23"/>
    </row>
    <row r="897" spans="8:47" x14ac:dyDescent="0.2">
      <c r="H897" s="23"/>
      <c r="N897" s="6"/>
      <c r="Q897" s="23"/>
      <c r="R897" s="23"/>
      <c r="AR897" s="23"/>
      <c r="AS897" s="23"/>
      <c r="AT897" s="23"/>
      <c r="AU897" s="23"/>
    </row>
    <row r="898" spans="8:47" x14ac:dyDescent="0.2">
      <c r="H898" s="23"/>
      <c r="N898" s="6"/>
      <c r="Q898" s="23"/>
      <c r="R898" s="23"/>
      <c r="AR898" s="23"/>
      <c r="AS898" s="23"/>
      <c r="AT898" s="23"/>
      <c r="AU898" s="23"/>
    </row>
    <row r="899" spans="8:47" x14ac:dyDescent="0.2">
      <c r="H899" s="23"/>
      <c r="N899" s="6"/>
      <c r="Q899" s="23"/>
      <c r="R899" s="23"/>
      <c r="AR899" s="23"/>
      <c r="AS899" s="23"/>
      <c r="AT899" s="23"/>
      <c r="AU899" s="23"/>
    </row>
    <row r="900" spans="8:47" x14ac:dyDescent="0.2">
      <c r="H900" s="23"/>
      <c r="N900" s="6"/>
      <c r="Q900" s="23"/>
      <c r="R900" s="23"/>
      <c r="AR900" s="23"/>
      <c r="AS900" s="23"/>
      <c r="AT900" s="23"/>
      <c r="AU900" s="23"/>
    </row>
    <row r="901" spans="8:47" x14ac:dyDescent="0.2">
      <c r="H901" s="23"/>
      <c r="N901" s="6"/>
      <c r="Q901" s="23"/>
      <c r="R901" s="23"/>
      <c r="AR901" s="23"/>
      <c r="AS901" s="23"/>
      <c r="AT901" s="23"/>
      <c r="AU901" s="23"/>
    </row>
    <row r="902" spans="8:47" x14ac:dyDescent="0.2">
      <c r="H902" s="23"/>
      <c r="N902" s="6"/>
      <c r="Q902" s="23"/>
      <c r="R902" s="23"/>
      <c r="AR902" s="23"/>
      <c r="AS902" s="23"/>
      <c r="AT902" s="23"/>
      <c r="AU902" s="23"/>
    </row>
    <row r="903" spans="8:47" x14ac:dyDescent="0.2">
      <c r="H903" s="23"/>
      <c r="N903" s="6"/>
      <c r="Q903" s="23"/>
      <c r="R903" s="23"/>
      <c r="AR903" s="23"/>
      <c r="AS903" s="23"/>
      <c r="AT903" s="23"/>
      <c r="AU903" s="23"/>
    </row>
    <row r="904" spans="8:47" x14ac:dyDescent="0.2">
      <c r="H904" s="23"/>
      <c r="N904" s="6"/>
      <c r="Q904" s="23"/>
      <c r="R904" s="23"/>
      <c r="AR904" s="23"/>
      <c r="AS904" s="23"/>
      <c r="AT904" s="23"/>
      <c r="AU904" s="23"/>
    </row>
    <row r="905" spans="8:47" x14ac:dyDescent="0.2">
      <c r="H905" s="23"/>
      <c r="N905" s="6"/>
      <c r="Q905" s="23"/>
      <c r="R905" s="23"/>
      <c r="AT905" s="23"/>
      <c r="AU905" s="23"/>
    </row>
    <row r="906" spans="8:47" x14ac:dyDescent="0.2">
      <c r="H906" s="23"/>
      <c r="N906" s="6"/>
      <c r="Q906" s="23"/>
      <c r="R906" s="23"/>
      <c r="AR906" s="23"/>
      <c r="AS906" s="23"/>
      <c r="AT906" s="23"/>
      <c r="AU906" s="23"/>
    </row>
    <row r="907" spans="8:47" x14ac:dyDescent="0.2">
      <c r="H907" s="23"/>
      <c r="N907" s="6"/>
      <c r="Q907" s="23"/>
      <c r="R907" s="23"/>
      <c r="AR907" s="23"/>
      <c r="AS907" s="23"/>
      <c r="AT907" s="23"/>
      <c r="AU907" s="23"/>
    </row>
    <row r="908" spans="8:47" x14ac:dyDescent="0.2">
      <c r="H908" s="23"/>
      <c r="N908" s="6"/>
      <c r="Q908" s="23"/>
      <c r="R908" s="23"/>
      <c r="AR908" s="23"/>
      <c r="AS908" s="23"/>
      <c r="AT908" s="23"/>
      <c r="AU908" s="23"/>
    </row>
    <row r="909" spans="8:47" x14ac:dyDescent="0.2">
      <c r="H909" s="23"/>
      <c r="N909" s="6"/>
      <c r="Q909" s="23"/>
      <c r="R909" s="23"/>
      <c r="AR909" s="23"/>
      <c r="AT909" s="23"/>
      <c r="AU909" s="23"/>
    </row>
    <row r="910" spans="8:47" x14ac:dyDescent="0.2">
      <c r="H910" s="23"/>
      <c r="N910" s="6"/>
      <c r="Q910" s="23"/>
      <c r="R910" s="23"/>
      <c r="AR910" s="23"/>
      <c r="AS910" s="23"/>
      <c r="AT910" s="23"/>
      <c r="AU910" s="23"/>
    </row>
    <row r="911" spans="8:47" x14ac:dyDescent="0.2">
      <c r="H911" s="23"/>
      <c r="N911" s="6"/>
      <c r="Q911" s="23"/>
      <c r="R911" s="23"/>
      <c r="AR911" s="23"/>
      <c r="AS911" s="23"/>
      <c r="AT911" s="23"/>
      <c r="AU911" s="23"/>
    </row>
    <row r="912" spans="8:47" x14ac:dyDescent="0.2">
      <c r="H912" s="23"/>
      <c r="N912" s="6"/>
      <c r="Q912" s="23"/>
      <c r="R912" s="23"/>
      <c r="AR912" s="23"/>
      <c r="AS912" s="23"/>
      <c r="AT912" s="23"/>
      <c r="AU912" s="23"/>
    </row>
    <row r="913" spans="8:47" x14ac:dyDescent="0.2">
      <c r="H913" s="23"/>
      <c r="N913" s="6"/>
      <c r="Q913" s="23"/>
      <c r="R913" s="23"/>
      <c r="AR913" s="23"/>
      <c r="AS913" s="23"/>
      <c r="AT913" s="23"/>
      <c r="AU913" s="23"/>
    </row>
    <row r="914" spans="8:47" x14ac:dyDescent="0.2">
      <c r="H914" s="23"/>
      <c r="N914" s="6"/>
      <c r="Q914" s="23"/>
      <c r="R914" s="23"/>
      <c r="AR914" s="23"/>
      <c r="AS914" s="23"/>
      <c r="AT914" s="23"/>
      <c r="AU914" s="23"/>
    </row>
    <row r="915" spans="8:47" x14ac:dyDescent="0.2">
      <c r="H915" s="23"/>
      <c r="N915" s="6"/>
      <c r="Q915" s="23"/>
      <c r="R915" s="23"/>
      <c r="AR915" s="23"/>
      <c r="AS915" s="23"/>
      <c r="AT915" s="23"/>
      <c r="AU915" s="23"/>
    </row>
    <row r="916" spans="8:47" x14ac:dyDescent="0.2">
      <c r="H916" s="23"/>
      <c r="N916" s="6"/>
      <c r="Q916" s="23"/>
      <c r="R916" s="23"/>
      <c r="AR916" s="23"/>
      <c r="AS916" s="23"/>
      <c r="AT916" s="23"/>
      <c r="AU916" s="23"/>
    </row>
    <row r="917" spans="8:47" x14ac:dyDescent="0.2">
      <c r="H917" s="23"/>
      <c r="N917" s="6"/>
      <c r="Q917" s="23"/>
      <c r="R917" s="23"/>
    </row>
    <row r="918" spans="8:47" x14ac:dyDescent="0.2">
      <c r="H918" s="23"/>
      <c r="N918" s="6"/>
      <c r="Q918" s="23"/>
      <c r="R918" s="23"/>
      <c r="AR918" s="23"/>
      <c r="AS918" s="23"/>
      <c r="AT918" s="23"/>
      <c r="AU918" s="23"/>
    </row>
    <row r="919" spans="8:47" x14ac:dyDescent="0.2">
      <c r="H919" s="23"/>
      <c r="N919" s="6"/>
      <c r="Q919" s="23"/>
      <c r="R919" s="23"/>
      <c r="AR919" s="23"/>
      <c r="AS919" s="23"/>
      <c r="AT919" s="23"/>
      <c r="AU919" s="23"/>
    </row>
    <row r="920" spans="8:47" x14ac:dyDescent="0.2">
      <c r="H920" s="23"/>
      <c r="N920" s="6"/>
      <c r="Q920" s="23"/>
      <c r="R920" s="23"/>
      <c r="AR920" s="23"/>
      <c r="AS920" s="23"/>
      <c r="AT920" s="23"/>
      <c r="AU920" s="23"/>
    </row>
    <row r="921" spans="8:47" x14ac:dyDescent="0.2">
      <c r="H921" s="23"/>
      <c r="N921" s="6"/>
      <c r="Q921" s="23"/>
      <c r="R921" s="23"/>
      <c r="AR921" s="23"/>
      <c r="AS921" s="23"/>
      <c r="AT921" s="23"/>
      <c r="AU921" s="23"/>
    </row>
    <row r="922" spans="8:47" x14ac:dyDescent="0.2">
      <c r="H922" s="23"/>
      <c r="N922" s="6"/>
      <c r="Q922" s="23"/>
      <c r="R922" s="23"/>
      <c r="AR922" s="23"/>
      <c r="AS922" s="23"/>
      <c r="AT922" s="23"/>
      <c r="AU922" s="23"/>
    </row>
    <row r="923" spans="8:47" x14ac:dyDescent="0.2">
      <c r="H923" s="23"/>
      <c r="N923" s="6"/>
      <c r="Q923" s="23"/>
      <c r="R923" s="23"/>
      <c r="AR923" s="23"/>
      <c r="AS923" s="23"/>
      <c r="AT923" s="23"/>
      <c r="AU923" s="23"/>
    </row>
    <row r="924" spans="8:47" x14ac:dyDescent="0.2">
      <c r="H924" s="23"/>
      <c r="N924" s="6"/>
      <c r="Q924" s="23"/>
      <c r="R924" s="23"/>
      <c r="AR924" s="23"/>
      <c r="AS924" s="23"/>
      <c r="AT924" s="23"/>
      <c r="AU924" s="23"/>
    </row>
    <row r="925" spans="8:47" x14ac:dyDescent="0.2">
      <c r="H925" s="23"/>
      <c r="N925" s="6"/>
      <c r="Q925" s="23"/>
      <c r="R925" s="23"/>
      <c r="AR925" s="23"/>
      <c r="AS925" s="23"/>
      <c r="AT925" s="23"/>
      <c r="AU925" s="23"/>
    </row>
    <row r="926" spans="8:47" x14ac:dyDescent="0.2">
      <c r="H926" s="23"/>
      <c r="N926" s="6"/>
      <c r="Q926" s="23"/>
      <c r="R926" s="23"/>
      <c r="AR926" s="23"/>
      <c r="AS926" s="23"/>
      <c r="AT926" s="23"/>
      <c r="AU926" s="23"/>
    </row>
    <row r="927" spans="8:47" x14ac:dyDescent="0.2">
      <c r="H927" s="23"/>
      <c r="N927" s="6"/>
      <c r="Q927" s="23"/>
      <c r="R927" s="23"/>
      <c r="AT927" s="23"/>
      <c r="AU927" s="23"/>
    </row>
    <row r="928" spans="8:47" x14ac:dyDescent="0.2">
      <c r="H928" s="23"/>
      <c r="N928" s="6"/>
      <c r="Q928" s="23"/>
      <c r="R928" s="23"/>
      <c r="AR928" s="23"/>
      <c r="AS928" s="23"/>
      <c r="AT928" s="23"/>
      <c r="AU928" s="23"/>
    </row>
    <row r="929" spans="8:47" x14ac:dyDescent="0.2">
      <c r="H929" s="23"/>
      <c r="N929" s="6"/>
      <c r="Q929" s="23"/>
      <c r="R929" s="23"/>
      <c r="AR929" s="23"/>
      <c r="AS929" s="23"/>
      <c r="AT929" s="23"/>
      <c r="AU929" s="23"/>
    </row>
    <row r="930" spans="8:47" x14ac:dyDescent="0.2">
      <c r="H930" s="23"/>
      <c r="N930" s="6"/>
      <c r="Q930" s="23"/>
      <c r="R930" s="23"/>
      <c r="AR930" s="23"/>
      <c r="AS930" s="23"/>
      <c r="AT930" s="23"/>
      <c r="AU930" s="23"/>
    </row>
    <row r="931" spans="8:47" x14ac:dyDescent="0.2">
      <c r="H931" s="23"/>
      <c r="N931" s="6"/>
      <c r="Q931" s="23"/>
      <c r="R931" s="23"/>
      <c r="AR931" s="23"/>
      <c r="AS931" s="23"/>
      <c r="AT931" s="23"/>
      <c r="AU931" s="23"/>
    </row>
    <row r="932" spans="8:47" x14ac:dyDescent="0.2">
      <c r="H932" s="23"/>
      <c r="N932" s="6"/>
      <c r="Q932" s="23"/>
      <c r="R932" s="23"/>
      <c r="AR932" s="23"/>
      <c r="AS932" s="23"/>
      <c r="AT932" s="23"/>
      <c r="AU932" s="23"/>
    </row>
    <row r="933" spans="8:47" x14ac:dyDescent="0.2">
      <c r="H933" s="23"/>
      <c r="N933" s="6"/>
      <c r="Q933" s="23"/>
      <c r="R933" s="23"/>
      <c r="AR933" s="23"/>
      <c r="AS933" s="23"/>
      <c r="AT933" s="23"/>
      <c r="AU933" s="23"/>
    </row>
    <row r="934" spans="8:47" x14ac:dyDescent="0.2">
      <c r="H934" s="23"/>
      <c r="N934" s="6"/>
      <c r="Q934" s="23"/>
      <c r="R934" s="23"/>
      <c r="AR934" s="23"/>
      <c r="AS934" s="23"/>
      <c r="AT934" s="23"/>
      <c r="AU934" s="23"/>
    </row>
    <row r="935" spans="8:47" x14ac:dyDescent="0.2">
      <c r="H935" s="23"/>
      <c r="N935" s="6"/>
      <c r="Q935" s="23"/>
      <c r="R935" s="23"/>
      <c r="AR935" s="23"/>
      <c r="AS935" s="23"/>
      <c r="AT935" s="23"/>
      <c r="AU935" s="23"/>
    </row>
    <row r="936" spans="8:47" x14ac:dyDescent="0.2">
      <c r="H936" s="23"/>
      <c r="N936" s="6"/>
      <c r="Q936" s="23"/>
      <c r="R936" s="23"/>
      <c r="AR936" s="23"/>
      <c r="AS936" s="23"/>
      <c r="AT936" s="23"/>
      <c r="AU936" s="23"/>
    </row>
    <row r="937" spans="8:47" x14ac:dyDescent="0.2">
      <c r="H937" s="23"/>
      <c r="N937" s="6"/>
      <c r="Q937" s="23"/>
      <c r="R937" s="23"/>
      <c r="AR937" s="23"/>
      <c r="AS937" s="23"/>
      <c r="AT937" s="23"/>
      <c r="AU937" s="23"/>
    </row>
    <row r="938" spans="8:47" x14ac:dyDescent="0.2">
      <c r="H938" s="23"/>
      <c r="N938" s="6"/>
      <c r="Q938" s="23"/>
      <c r="R938" s="23"/>
      <c r="AR938" s="23"/>
      <c r="AS938" s="23"/>
      <c r="AT938" s="23"/>
      <c r="AU938" s="23"/>
    </row>
    <row r="939" spans="8:47" x14ac:dyDescent="0.2">
      <c r="H939" s="23"/>
      <c r="N939" s="6"/>
      <c r="Q939" s="23"/>
      <c r="R939" s="23"/>
      <c r="AR939" s="23"/>
      <c r="AT939" s="23"/>
      <c r="AU939" s="23"/>
    </row>
    <row r="940" spans="8:47" x14ac:dyDescent="0.2">
      <c r="H940" s="23"/>
      <c r="N940" s="6"/>
      <c r="Q940" s="23"/>
      <c r="R940" s="23"/>
      <c r="AR940" s="23"/>
      <c r="AS940" s="23"/>
      <c r="AT940" s="23"/>
      <c r="AU940" s="23"/>
    </row>
    <row r="941" spans="8:47" x14ac:dyDescent="0.2">
      <c r="H941" s="23"/>
      <c r="N941" s="6"/>
      <c r="Q941" s="23"/>
      <c r="R941" s="23"/>
      <c r="AR941" s="23"/>
      <c r="AS941" s="23"/>
      <c r="AT941" s="23"/>
      <c r="AU941" s="23"/>
    </row>
    <row r="942" spans="8:47" x14ac:dyDescent="0.2">
      <c r="H942" s="23"/>
      <c r="N942" s="6"/>
      <c r="Q942" s="23"/>
      <c r="R942" s="23"/>
      <c r="AR942" s="23"/>
      <c r="AS942" s="23"/>
      <c r="AT942" s="23"/>
      <c r="AU942" s="23"/>
    </row>
    <row r="943" spans="8:47" x14ac:dyDescent="0.2">
      <c r="H943" s="23"/>
      <c r="N943" s="6"/>
      <c r="Q943" s="23"/>
      <c r="R943" s="23"/>
      <c r="AR943" s="23"/>
      <c r="AS943" s="23"/>
      <c r="AT943" s="23"/>
      <c r="AU943" s="23"/>
    </row>
    <row r="944" spans="8:47" x14ac:dyDescent="0.2">
      <c r="H944" s="23"/>
      <c r="N944" s="6"/>
      <c r="Q944" s="23"/>
      <c r="R944" s="23"/>
      <c r="AR944" s="23"/>
      <c r="AS944" s="23"/>
      <c r="AT944" s="23"/>
      <c r="AU944" s="23"/>
    </row>
    <row r="945" spans="8:47" x14ac:dyDescent="0.2">
      <c r="H945" s="23"/>
      <c r="N945" s="6"/>
      <c r="Q945" s="23"/>
      <c r="R945" s="23"/>
      <c r="AR945" s="23"/>
      <c r="AS945" s="23"/>
      <c r="AT945" s="23"/>
      <c r="AU945" s="23"/>
    </row>
    <row r="946" spans="8:47" x14ac:dyDescent="0.2">
      <c r="H946" s="23"/>
      <c r="N946" s="6"/>
      <c r="Q946" s="23"/>
      <c r="R946" s="23"/>
      <c r="AR946" s="23"/>
      <c r="AS946" s="23"/>
      <c r="AT946" s="23"/>
      <c r="AU946" s="23"/>
    </row>
    <row r="947" spans="8:47" x14ac:dyDescent="0.2">
      <c r="H947" s="23"/>
      <c r="N947" s="6"/>
      <c r="Q947" s="23"/>
      <c r="R947" s="23"/>
      <c r="AR947" s="23"/>
      <c r="AS947" s="23"/>
      <c r="AT947" s="23"/>
      <c r="AU947" s="23"/>
    </row>
    <row r="948" spans="8:47" x14ac:dyDescent="0.2">
      <c r="H948" s="23"/>
      <c r="N948" s="6"/>
      <c r="Q948" s="23"/>
      <c r="R948" s="23"/>
      <c r="AR948" s="23"/>
      <c r="AS948" s="23"/>
      <c r="AT948" s="23"/>
      <c r="AU948" s="23"/>
    </row>
    <row r="949" spans="8:47" x14ac:dyDescent="0.2">
      <c r="H949" s="23"/>
      <c r="N949" s="6"/>
      <c r="Q949" s="23"/>
      <c r="R949" s="23"/>
      <c r="AR949" s="23"/>
      <c r="AS949" s="23"/>
      <c r="AT949" s="23"/>
      <c r="AU949" s="23"/>
    </row>
    <row r="950" spans="8:47" x14ac:dyDescent="0.2">
      <c r="H950" s="23"/>
      <c r="N950" s="6"/>
      <c r="Q950" s="23"/>
      <c r="R950" s="23"/>
      <c r="AR950" s="23"/>
      <c r="AS950" s="23"/>
      <c r="AT950" s="23"/>
      <c r="AU950" s="23"/>
    </row>
    <row r="951" spans="8:47" x14ac:dyDescent="0.2">
      <c r="H951" s="23"/>
      <c r="N951" s="6"/>
      <c r="Q951" s="23"/>
      <c r="R951" s="23"/>
      <c r="AR951" s="23"/>
      <c r="AS951" s="23"/>
      <c r="AT951" s="23"/>
      <c r="AU951" s="23"/>
    </row>
    <row r="952" spans="8:47" x14ac:dyDescent="0.2">
      <c r="H952" s="23"/>
      <c r="N952" s="6"/>
      <c r="Q952" s="23"/>
      <c r="R952" s="23"/>
      <c r="AR952" s="23"/>
      <c r="AT952" s="23"/>
      <c r="AU952" s="23"/>
    </row>
    <row r="953" spans="8:47" x14ac:dyDescent="0.2">
      <c r="H953" s="23"/>
      <c r="N953" s="6"/>
      <c r="Q953" s="23"/>
      <c r="R953" s="23"/>
      <c r="AR953" s="23"/>
      <c r="AT953" s="23"/>
      <c r="AU953" s="23"/>
    </row>
    <row r="954" spans="8:47" x14ac:dyDescent="0.2">
      <c r="H954" s="23"/>
      <c r="N954" s="6"/>
      <c r="Q954" s="23"/>
      <c r="R954" s="23"/>
      <c r="AT954" s="23"/>
      <c r="AU954" s="23"/>
    </row>
    <row r="955" spans="8:47" x14ac:dyDescent="0.2">
      <c r="H955" s="23"/>
      <c r="N955" s="6"/>
      <c r="Q955" s="23"/>
      <c r="R955" s="23"/>
      <c r="AR955" s="23"/>
      <c r="AS955" s="23"/>
      <c r="AT955" s="23"/>
      <c r="AU955" s="23"/>
    </row>
    <row r="956" spans="8:47" x14ac:dyDescent="0.2">
      <c r="H956" s="23"/>
      <c r="N956" s="6"/>
      <c r="Q956" s="23"/>
      <c r="R956" s="23"/>
      <c r="AR956" s="23"/>
      <c r="AS956" s="23"/>
      <c r="AT956" s="23"/>
      <c r="AU956" s="23"/>
    </row>
    <row r="957" spans="8:47" x14ac:dyDescent="0.2">
      <c r="H957" s="23"/>
      <c r="N957" s="6"/>
      <c r="Q957" s="23"/>
      <c r="R957" s="23"/>
      <c r="AR957" s="23"/>
      <c r="AS957" s="23"/>
      <c r="AT957" s="23"/>
      <c r="AU957" s="23"/>
    </row>
    <row r="958" spans="8:47" x14ac:dyDescent="0.2">
      <c r="H958" s="23"/>
      <c r="N958" s="6"/>
      <c r="Q958" s="23"/>
      <c r="R958" s="23"/>
      <c r="AR958" s="23"/>
      <c r="AS958" s="23"/>
      <c r="AT958" s="23"/>
      <c r="AU958" s="23"/>
    </row>
    <row r="959" spans="8:47" x14ac:dyDescent="0.2">
      <c r="H959" s="23"/>
      <c r="N959" s="6"/>
      <c r="Q959" s="23"/>
      <c r="R959" s="23"/>
      <c r="AR959" s="23"/>
      <c r="AS959" s="23"/>
      <c r="AT959" s="23"/>
      <c r="AU959" s="23"/>
    </row>
    <row r="960" spans="8:47" x14ac:dyDescent="0.2">
      <c r="H960" s="23"/>
      <c r="N960" s="6"/>
      <c r="Q960" s="23"/>
      <c r="R960" s="23"/>
      <c r="AR960" s="23"/>
      <c r="AS960" s="23"/>
      <c r="AT960" s="23"/>
      <c r="AU960" s="23"/>
    </row>
    <row r="961" spans="8:47" x14ac:dyDescent="0.2">
      <c r="H961" s="23"/>
      <c r="N961" s="6"/>
      <c r="Q961" s="23"/>
      <c r="R961" s="23"/>
      <c r="AT961" s="23"/>
      <c r="AU961" s="23"/>
    </row>
    <row r="962" spans="8:47" x14ac:dyDescent="0.2">
      <c r="H962" s="23"/>
      <c r="N962" s="6"/>
      <c r="Q962" s="23"/>
      <c r="R962" s="23"/>
      <c r="AR962" s="23"/>
      <c r="AS962" s="23"/>
      <c r="AT962" s="23"/>
      <c r="AU962" s="23"/>
    </row>
    <row r="963" spans="8:47" x14ac:dyDescent="0.2">
      <c r="H963" s="23"/>
      <c r="N963" s="6"/>
      <c r="Q963" s="23"/>
      <c r="R963" s="23"/>
      <c r="AR963" s="23"/>
      <c r="AS963" s="23"/>
      <c r="AT963" s="23"/>
    </row>
    <row r="964" spans="8:47" x14ac:dyDescent="0.2">
      <c r="H964" s="23"/>
      <c r="N964" s="6"/>
      <c r="Q964" s="23"/>
      <c r="R964" s="23"/>
      <c r="AT964" s="23"/>
      <c r="AU964" s="23"/>
    </row>
    <row r="965" spans="8:47" x14ac:dyDescent="0.2">
      <c r="H965" s="23"/>
      <c r="N965" s="6"/>
      <c r="Q965" s="23"/>
      <c r="R965" s="23"/>
      <c r="AR965" s="23"/>
      <c r="AS965" s="23"/>
      <c r="AT965" s="23"/>
      <c r="AU965" s="23"/>
    </row>
    <row r="966" spans="8:47" x14ac:dyDescent="0.2">
      <c r="H966" s="23"/>
      <c r="N966" s="6"/>
      <c r="Q966" s="23"/>
      <c r="R966" s="23"/>
      <c r="AR966" s="23"/>
      <c r="AS966" s="23"/>
      <c r="AT966" s="23"/>
      <c r="AU966" s="23"/>
    </row>
    <row r="967" spans="8:47" x14ac:dyDescent="0.2">
      <c r="H967" s="23"/>
      <c r="N967" s="6"/>
      <c r="Q967" s="23"/>
      <c r="R967" s="23"/>
      <c r="AR967" s="23"/>
      <c r="AS967" s="23"/>
      <c r="AT967" s="23"/>
      <c r="AU967" s="23"/>
    </row>
    <row r="968" spans="8:47" x14ac:dyDescent="0.2">
      <c r="H968" s="23"/>
      <c r="N968" s="6"/>
      <c r="Q968" s="23"/>
      <c r="R968" s="23"/>
      <c r="AR968" s="23"/>
      <c r="AS968" s="23"/>
      <c r="AT968" s="23"/>
      <c r="AU968" s="23"/>
    </row>
    <row r="969" spans="8:47" x14ac:dyDescent="0.2">
      <c r="H969" s="23"/>
      <c r="N969" s="6"/>
      <c r="Q969" s="23"/>
      <c r="R969" s="23"/>
      <c r="AR969" s="23"/>
      <c r="AS969" s="23"/>
      <c r="AT969" s="23"/>
      <c r="AU969" s="23"/>
    </row>
    <row r="970" spans="8:47" x14ac:dyDescent="0.2">
      <c r="H970" s="23"/>
      <c r="N970" s="6"/>
      <c r="Q970" s="23"/>
      <c r="R970" s="23"/>
      <c r="AR970" s="23"/>
      <c r="AT970" s="23"/>
      <c r="AU970" s="23"/>
    </row>
    <row r="971" spans="8:47" x14ac:dyDescent="0.2">
      <c r="H971" s="23"/>
      <c r="N971" s="6"/>
      <c r="Q971" s="23"/>
      <c r="R971" s="23"/>
      <c r="AR971" s="23"/>
      <c r="AS971" s="23"/>
      <c r="AT971" s="23"/>
      <c r="AU971" s="24"/>
    </row>
    <row r="972" spans="8:47" x14ac:dyDescent="0.2">
      <c r="H972" s="23"/>
      <c r="N972" s="6"/>
      <c r="Q972" s="23"/>
      <c r="R972" s="23"/>
      <c r="AR972" s="23"/>
      <c r="AT972" s="23"/>
      <c r="AU972" s="23"/>
    </row>
    <row r="973" spans="8:47" x14ac:dyDescent="0.2">
      <c r="H973" s="23"/>
      <c r="N973" s="6"/>
      <c r="Q973" s="23"/>
      <c r="R973" s="23"/>
    </row>
    <row r="974" spans="8:47" x14ac:dyDescent="0.2">
      <c r="H974" s="23"/>
      <c r="N974" s="6"/>
      <c r="Q974" s="23"/>
      <c r="R974" s="23"/>
    </row>
    <row r="975" spans="8:47" x14ac:dyDescent="0.2">
      <c r="H975" s="23"/>
      <c r="N975" s="6"/>
      <c r="Q975" s="23"/>
      <c r="R975" s="23"/>
      <c r="AT975" s="23"/>
      <c r="AU975" s="23"/>
    </row>
    <row r="976" spans="8:47" x14ac:dyDescent="0.2">
      <c r="H976" s="23"/>
      <c r="N976" s="6"/>
      <c r="Q976" s="23"/>
      <c r="R976" s="23"/>
      <c r="AR976" s="23"/>
      <c r="AS976" s="23"/>
      <c r="AT976" s="23"/>
      <c r="AU976" s="23"/>
    </row>
    <row r="977" spans="8:47" x14ac:dyDescent="0.2">
      <c r="H977" s="23"/>
      <c r="N977" s="6"/>
      <c r="Q977" s="23"/>
      <c r="R977" s="23"/>
      <c r="AR977" s="23"/>
      <c r="AS977" s="23"/>
      <c r="AT977" s="23"/>
      <c r="AU977" s="23"/>
    </row>
    <row r="978" spans="8:47" x14ac:dyDescent="0.2">
      <c r="H978" s="23"/>
      <c r="N978" s="6"/>
      <c r="Q978" s="23"/>
      <c r="R978" s="23"/>
      <c r="AR978" s="23"/>
      <c r="AS978" s="23"/>
      <c r="AT978" s="23"/>
      <c r="AU978" s="23"/>
    </row>
    <row r="979" spans="8:47" x14ac:dyDescent="0.2">
      <c r="H979" s="23"/>
      <c r="N979" s="6"/>
      <c r="Q979" s="23"/>
      <c r="R979" s="23"/>
      <c r="AR979" s="23"/>
      <c r="AS979" s="23"/>
      <c r="AT979" s="23"/>
      <c r="AU979" s="23"/>
    </row>
    <row r="980" spans="8:47" x14ac:dyDescent="0.2">
      <c r="H980" s="23"/>
      <c r="N980" s="6"/>
      <c r="Q980" s="23"/>
      <c r="R980" s="23"/>
      <c r="AR980" s="23"/>
      <c r="AS980" s="23"/>
      <c r="AT980" s="23"/>
      <c r="AU980" s="23"/>
    </row>
    <row r="981" spans="8:47" x14ac:dyDescent="0.2">
      <c r="H981" s="23"/>
      <c r="N981" s="6"/>
      <c r="Q981" s="23"/>
      <c r="R981" s="23"/>
      <c r="AR981" s="23"/>
      <c r="AS981" s="23"/>
      <c r="AT981" s="23"/>
      <c r="AU981" s="23"/>
    </row>
    <row r="982" spans="8:47" x14ac:dyDescent="0.2">
      <c r="H982" s="23"/>
      <c r="N982" s="6"/>
      <c r="Q982" s="23"/>
      <c r="R982" s="23"/>
      <c r="AR982" s="23"/>
      <c r="AS982" s="23"/>
      <c r="AT982" s="23"/>
      <c r="AU982" s="23"/>
    </row>
    <row r="983" spans="8:47" x14ac:dyDescent="0.2">
      <c r="H983" s="23"/>
      <c r="N983" s="6"/>
      <c r="Q983" s="23"/>
      <c r="R983" s="23"/>
      <c r="AR983" s="23"/>
      <c r="AS983" s="23"/>
      <c r="AT983" s="23"/>
      <c r="AU983" s="23"/>
    </row>
    <row r="984" spans="8:47" x14ac:dyDescent="0.2">
      <c r="H984" s="23"/>
      <c r="N984" s="6"/>
      <c r="Q984" s="23"/>
      <c r="R984" s="23"/>
      <c r="AR984" s="23"/>
      <c r="AS984" s="23"/>
      <c r="AT984" s="23"/>
      <c r="AU984" s="23"/>
    </row>
    <row r="985" spans="8:47" x14ac:dyDescent="0.2">
      <c r="H985" s="23"/>
      <c r="N985" s="6"/>
      <c r="Q985" s="23"/>
      <c r="R985" s="23"/>
      <c r="AR985" s="23"/>
      <c r="AS985" s="23"/>
      <c r="AT985" s="23"/>
      <c r="AU985" s="23"/>
    </row>
    <row r="986" spans="8:47" x14ac:dyDescent="0.2">
      <c r="H986" s="23"/>
      <c r="N986" s="6"/>
      <c r="Q986" s="23"/>
      <c r="R986" s="23"/>
      <c r="AR986" s="23"/>
      <c r="AS986" s="23"/>
      <c r="AT986" s="23"/>
      <c r="AU986" s="23"/>
    </row>
    <row r="987" spans="8:47" x14ac:dyDescent="0.2">
      <c r="H987" s="23"/>
      <c r="N987" s="6"/>
      <c r="Q987" s="23"/>
      <c r="R987" s="23"/>
      <c r="AR987" s="23"/>
      <c r="AT987" s="23"/>
      <c r="AU987" s="23"/>
    </row>
    <row r="988" spans="8:47" x14ac:dyDescent="0.2">
      <c r="H988" s="23"/>
      <c r="N988" s="6"/>
      <c r="Q988" s="23"/>
      <c r="R988" s="23"/>
      <c r="AR988" s="23"/>
      <c r="AS988" s="23"/>
      <c r="AT988" s="23"/>
      <c r="AU988" s="23"/>
    </row>
    <row r="989" spans="8:47" x14ac:dyDescent="0.2">
      <c r="H989" s="23"/>
      <c r="N989" s="6"/>
      <c r="Q989" s="23"/>
      <c r="R989" s="23"/>
      <c r="AT989" s="23"/>
      <c r="AU989" s="23"/>
    </row>
    <row r="990" spans="8:47" x14ac:dyDescent="0.2">
      <c r="H990" s="23"/>
      <c r="N990" s="6"/>
      <c r="Q990" s="23"/>
      <c r="R990" s="23"/>
      <c r="AR990" s="23"/>
      <c r="AS990" s="23"/>
      <c r="AT990" s="23"/>
      <c r="AU990" s="23"/>
    </row>
    <row r="991" spans="8:47" x14ac:dyDescent="0.2">
      <c r="H991" s="23"/>
      <c r="N991" s="6"/>
      <c r="Q991" s="23"/>
      <c r="R991" s="23"/>
      <c r="AT991" s="23"/>
      <c r="AU991" s="23"/>
    </row>
    <row r="992" spans="8:47" x14ac:dyDescent="0.2">
      <c r="H992" s="23"/>
      <c r="N992" s="6"/>
      <c r="Q992" s="23"/>
      <c r="R992" s="23"/>
      <c r="AR992" s="23"/>
      <c r="AS992" s="23"/>
      <c r="AT992" s="23"/>
      <c r="AU992" s="23"/>
    </row>
    <row r="993" spans="8:47" x14ac:dyDescent="0.2">
      <c r="H993" s="23"/>
      <c r="N993" s="6"/>
      <c r="Q993" s="23"/>
      <c r="R993" s="23"/>
      <c r="AT993" s="23"/>
      <c r="AU993" s="23"/>
    </row>
    <row r="994" spans="8:47" x14ac:dyDescent="0.2">
      <c r="H994" s="23"/>
      <c r="N994" s="6"/>
      <c r="Q994" s="23"/>
      <c r="R994" s="23"/>
    </row>
    <row r="995" spans="8:47" x14ac:dyDescent="0.2">
      <c r="H995" s="23"/>
      <c r="N995" s="6"/>
      <c r="Q995" s="23"/>
      <c r="R995" s="23"/>
      <c r="AR995" s="23"/>
      <c r="AS995" s="23"/>
      <c r="AT995" s="23"/>
      <c r="AU995" s="23"/>
    </row>
    <row r="996" spans="8:47" x14ac:dyDescent="0.2">
      <c r="H996" s="23"/>
      <c r="N996" s="6"/>
      <c r="Q996" s="23"/>
      <c r="R996" s="23"/>
      <c r="AR996" s="23"/>
      <c r="AS996" s="23"/>
      <c r="AT996" s="23"/>
      <c r="AU996" s="23"/>
    </row>
    <row r="997" spans="8:47" x14ac:dyDescent="0.2">
      <c r="H997" s="23"/>
      <c r="N997" s="6"/>
      <c r="Q997" s="23"/>
      <c r="R997" s="23"/>
      <c r="AR997" s="23"/>
      <c r="AS997" s="23"/>
      <c r="AT997" s="23"/>
      <c r="AU997" s="23"/>
    </row>
    <row r="998" spans="8:47" x14ac:dyDescent="0.2">
      <c r="H998" s="23"/>
      <c r="N998" s="6"/>
      <c r="Q998" s="23"/>
      <c r="R998" s="23"/>
      <c r="AR998" s="23"/>
      <c r="AS998" s="23"/>
      <c r="AT998" s="23"/>
      <c r="AU998" s="23"/>
    </row>
    <row r="999" spans="8:47" x14ac:dyDescent="0.2">
      <c r="H999" s="23"/>
      <c r="N999" s="6"/>
      <c r="Q999" s="23"/>
      <c r="R999" s="23"/>
      <c r="AR999" s="23"/>
      <c r="AS999" s="23"/>
      <c r="AT999" s="23"/>
      <c r="AU999" s="23"/>
    </row>
    <row r="1000" spans="8:47" x14ac:dyDescent="0.2">
      <c r="H1000" s="23"/>
      <c r="N1000" s="6"/>
      <c r="Q1000" s="23"/>
      <c r="R1000" s="23"/>
      <c r="AR1000" s="23"/>
      <c r="AS1000" s="23"/>
      <c r="AT1000" s="23"/>
      <c r="AU1000" s="23"/>
    </row>
    <row r="1001" spans="8:47" x14ac:dyDescent="0.2">
      <c r="H1001" s="23"/>
      <c r="N1001" s="6"/>
      <c r="Q1001" s="23"/>
      <c r="R1001" s="23"/>
      <c r="AR1001" s="23"/>
      <c r="AS1001" s="23"/>
      <c r="AT1001" s="23"/>
      <c r="AU1001" s="23"/>
    </row>
    <row r="1002" spans="8:47" x14ac:dyDescent="0.2">
      <c r="H1002" s="23"/>
      <c r="N1002" s="6"/>
      <c r="Q1002" s="23"/>
      <c r="R1002" s="23"/>
      <c r="AR1002" s="23"/>
      <c r="AS1002" s="23"/>
      <c r="AT1002" s="23"/>
      <c r="AU1002" s="23"/>
    </row>
    <row r="1003" spans="8:47" x14ac:dyDescent="0.2">
      <c r="H1003" s="23"/>
      <c r="N1003" s="6"/>
      <c r="Q1003" s="23"/>
      <c r="R1003" s="23"/>
      <c r="AR1003" s="23"/>
      <c r="AS1003" s="23"/>
      <c r="AT1003" s="23"/>
      <c r="AU1003" s="23"/>
    </row>
    <row r="1004" spans="8:47" x14ac:dyDescent="0.2">
      <c r="H1004" s="23"/>
      <c r="N1004" s="6"/>
      <c r="Q1004" s="23"/>
      <c r="R1004" s="23"/>
      <c r="AR1004" s="23"/>
      <c r="AS1004" s="23"/>
      <c r="AT1004" s="23"/>
      <c r="AU1004" s="23"/>
    </row>
    <row r="1005" spans="8:47" x14ac:dyDescent="0.2">
      <c r="H1005" s="23"/>
      <c r="N1005" s="6"/>
      <c r="Q1005" s="23"/>
      <c r="R1005" s="23"/>
      <c r="AR1005" s="23"/>
      <c r="AS1005" s="23"/>
      <c r="AT1005" s="23"/>
      <c r="AU1005" s="23"/>
    </row>
    <row r="1006" spans="8:47" x14ac:dyDescent="0.2">
      <c r="H1006" s="23"/>
      <c r="N1006" s="6"/>
      <c r="Q1006" s="23"/>
      <c r="R1006" s="23"/>
      <c r="AR1006" s="23"/>
      <c r="AS1006" s="23"/>
      <c r="AT1006" s="23"/>
      <c r="AU1006" s="23"/>
    </row>
    <row r="1007" spans="8:47" x14ac:dyDescent="0.2">
      <c r="H1007" s="23"/>
      <c r="N1007" s="6"/>
      <c r="Q1007" s="23"/>
      <c r="R1007" s="23"/>
      <c r="AR1007" s="23"/>
      <c r="AS1007" s="23"/>
      <c r="AT1007" s="23"/>
      <c r="AU1007" s="23"/>
    </row>
    <row r="1008" spans="8:47" x14ac:dyDescent="0.2">
      <c r="H1008" s="23"/>
      <c r="N1008" s="6"/>
      <c r="Q1008" s="23"/>
      <c r="R1008" s="23"/>
      <c r="AR1008" s="23"/>
      <c r="AS1008" s="23"/>
      <c r="AT1008" s="23"/>
      <c r="AU1008" s="23"/>
    </row>
    <row r="1009" spans="8:47" x14ac:dyDescent="0.2">
      <c r="H1009" s="23"/>
      <c r="N1009" s="6"/>
      <c r="Q1009" s="23"/>
      <c r="R1009" s="23"/>
      <c r="AR1009" s="23"/>
      <c r="AS1009" s="23"/>
      <c r="AT1009" s="23"/>
      <c r="AU1009" s="23"/>
    </row>
    <row r="1010" spans="8:47" x14ac:dyDescent="0.2">
      <c r="H1010" s="23"/>
      <c r="N1010" s="6"/>
      <c r="Q1010" s="23"/>
      <c r="R1010" s="23"/>
      <c r="AR1010" s="23"/>
      <c r="AS1010" s="23"/>
      <c r="AT1010" s="23"/>
      <c r="AU1010" s="23"/>
    </row>
    <row r="1011" spans="8:47" x14ac:dyDescent="0.2">
      <c r="H1011" s="23"/>
      <c r="N1011" s="6"/>
      <c r="Q1011" s="23"/>
      <c r="R1011" s="23"/>
      <c r="AR1011" s="23"/>
      <c r="AS1011" s="23"/>
      <c r="AT1011" s="23"/>
      <c r="AU1011" s="23"/>
    </row>
    <row r="1012" spans="8:47" x14ac:dyDescent="0.2">
      <c r="H1012" s="23"/>
      <c r="N1012" s="6"/>
      <c r="Q1012" s="23"/>
      <c r="R1012" s="23"/>
      <c r="AR1012" s="23"/>
      <c r="AS1012" s="23"/>
      <c r="AT1012" s="23"/>
      <c r="AU1012" s="23"/>
    </row>
    <row r="1013" spans="8:47" x14ac:dyDescent="0.2">
      <c r="H1013" s="23"/>
      <c r="N1013" s="6"/>
      <c r="Q1013" s="23"/>
      <c r="R1013" s="23"/>
      <c r="AR1013" s="23"/>
      <c r="AS1013" s="23"/>
      <c r="AT1013" s="23"/>
      <c r="AU1013" s="23"/>
    </row>
    <row r="1014" spans="8:47" x14ac:dyDescent="0.2">
      <c r="H1014" s="23"/>
      <c r="N1014" s="6"/>
      <c r="Q1014" s="23"/>
      <c r="R1014" s="23"/>
      <c r="AR1014" s="23"/>
      <c r="AS1014" s="23"/>
      <c r="AT1014" s="23"/>
      <c r="AU1014" s="23"/>
    </row>
    <row r="1015" spans="8:47" x14ac:dyDescent="0.2">
      <c r="H1015" s="23"/>
      <c r="N1015" s="6"/>
      <c r="Q1015" s="23"/>
      <c r="R1015" s="23"/>
      <c r="AR1015" s="23"/>
      <c r="AS1015" s="23"/>
      <c r="AT1015" s="23"/>
      <c r="AU1015" s="23"/>
    </row>
    <row r="1016" spans="8:47" x14ac:dyDescent="0.2">
      <c r="H1016" s="23"/>
      <c r="N1016" s="6"/>
      <c r="Q1016" s="23"/>
      <c r="R1016" s="23"/>
      <c r="AR1016" s="23"/>
      <c r="AS1016" s="23"/>
      <c r="AT1016" s="23"/>
      <c r="AU1016" s="23"/>
    </row>
    <row r="1017" spans="8:47" x14ac:dyDescent="0.2">
      <c r="H1017" s="23"/>
      <c r="N1017" s="6"/>
      <c r="Q1017" s="23"/>
      <c r="R1017" s="23"/>
      <c r="AR1017" s="23"/>
      <c r="AS1017" s="23"/>
      <c r="AT1017" s="23"/>
      <c r="AU1017" s="23"/>
    </row>
    <row r="1018" spans="8:47" x14ac:dyDescent="0.2">
      <c r="H1018" s="23"/>
      <c r="N1018" s="6"/>
      <c r="Q1018" s="23"/>
      <c r="R1018" s="23"/>
      <c r="AR1018" s="23"/>
      <c r="AS1018" s="23"/>
      <c r="AT1018" s="23"/>
      <c r="AU1018" s="23"/>
    </row>
    <row r="1019" spans="8:47" x14ac:dyDescent="0.2">
      <c r="H1019" s="23"/>
      <c r="N1019" s="6"/>
      <c r="Q1019" s="23"/>
      <c r="R1019" s="23"/>
    </row>
    <row r="1020" spans="8:47" x14ac:dyDescent="0.2">
      <c r="H1020" s="23"/>
      <c r="N1020" s="6"/>
      <c r="Q1020" s="23"/>
      <c r="R1020" s="23"/>
      <c r="AR1020" s="23"/>
      <c r="AS1020" s="23"/>
      <c r="AT1020" s="23"/>
      <c r="AU1020" s="23"/>
    </row>
    <row r="1021" spans="8:47" x14ac:dyDescent="0.2">
      <c r="H1021" s="23"/>
      <c r="N1021" s="6"/>
      <c r="Q1021" s="23"/>
      <c r="R1021" s="23"/>
      <c r="AR1021" s="23"/>
      <c r="AS1021" s="23"/>
      <c r="AT1021" s="23"/>
      <c r="AU1021" s="23"/>
    </row>
    <row r="1022" spans="8:47" x14ac:dyDescent="0.2">
      <c r="H1022" s="23"/>
      <c r="N1022" s="6"/>
      <c r="Q1022" s="23"/>
      <c r="R1022" s="23"/>
      <c r="AR1022" s="23"/>
      <c r="AS1022" s="23"/>
      <c r="AT1022" s="23"/>
      <c r="AU1022" s="23"/>
    </row>
    <row r="1023" spans="8:47" x14ac:dyDescent="0.2">
      <c r="H1023" s="23"/>
      <c r="N1023" s="6"/>
      <c r="Q1023" s="23"/>
      <c r="R1023" s="23"/>
      <c r="AR1023" s="23"/>
      <c r="AS1023" s="23"/>
      <c r="AT1023" s="23"/>
      <c r="AU1023" s="23"/>
    </row>
    <row r="1024" spans="8:47" x14ac:dyDescent="0.2">
      <c r="H1024" s="23"/>
      <c r="N1024" s="6"/>
      <c r="Q1024" s="23"/>
      <c r="R1024" s="23"/>
      <c r="AR1024" s="23"/>
      <c r="AS1024" s="23"/>
      <c r="AT1024" s="23"/>
      <c r="AU1024" s="23"/>
    </row>
    <row r="1025" spans="8:47" x14ac:dyDescent="0.2">
      <c r="H1025" s="23"/>
      <c r="N1025" s="6"/>
      <c r="Q1025" s="23"/>
      <c r="R1025" s="23"/>
      <c r="AR1025" s="23"/>
      <c r="AS1025" s="23"/>
      <c r="AT1025" s="23"/>
      <c r="AU1025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4"/>
  <sheetViews>
    <sheetView workbookViewId="0">
      <selection activeCell="F23" sqref="F23"/>
    </sheetView>
  </sheetViews>
  <sheetFormatPr defaultColWidth="9.28515625" defaultRowHeight="12.75" customHeight="1" x14ac:dyDescent="0.2"/>
  <cols>
    <col min="1" max="1" width="29" style="2" bestFit="1" customWidth="1"/>
    <col min="2" max="2" width="30.28515625" style="2" bestFit="1" customWidth="1"/>
    <col min="3" max="4" width="16.28515625" style="2" bestFit="1" customWidth="1"/>
    <col min="5" max="5" width="11.28515625" style="17" bestFit="1" customWidth="1"/>
    <col min="6" max="6" width="34" style="2" bestFit="1" customWidth="1"/>
    <col min="7" max="8" width="10" style="2" bestFit="1" customWidth="1"/>
    <col min="9" max="9" width="21.28515625" style="2" bestFit="1" customWidth="1"/>
    <col min="10" max="10" width="11.28515625" style="2" bestFit="1" customWidth="1"/>
    <col min="11" max="11" width="23.7109375" style="2" bestFit="1" customWidth="1"/>
    <col min="12" max="16384" width="9.28515625" style="2"/>
  </cols>
  <sheetData>
    <row r="1" spans="1:11" ht="13.5" thickBot="1" x14ac:dyDescent="0.25">
      <c r="A1" s="1" t="s">
        <v>4</v>
      </c>
      <c r="B1" s="1" t="s">
        <v>6</v>
      </c>
      <c r="C1" s="1" t="s">
        <v>5</v>
      </c>
      <c r="D1" s="1" t="s">
        <v>8</v>
      </c>
      <c r="E1" s="15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customFormat="1" ht="13.5" thickBot="1" x14ac:dyDescent="0.25">
      <c r="A2" s="8"/>
      <c r="B2" s="8"/>
      <c r="C2" s="8"/>
      <c r="D2" s="8"/>
      <c r="E2" s="9"/>
      <c r="F2" s="8"/>
      <c r="G2" s="9"/>
      <c r="H2" s="9"/>
      <c r="I2" s="8"/>
      <c r="J2" s="8"/>
      <c r="K2" s="8"/>
    </row>
    <row r="3" spans="1:11" customFormat="1" ht="13.5" thickBot="1" x14ac:dyDescent="0.25">
      <c r="A3" s="8"/>
      <c r="B3" s="8"/>
      <c r="C3" s="8"/>
      <c r="D3" s="8"/>
      <c r="E3" s="9"/>
      <c r="F3" s="8"/>
      <c r="G3" s="9"/>
      <c r="H3" s="9"/>
      <c r="I3" s="8"/>
      <c r="J3" s="8"/>
      <c r="K3" s="8"/>
    </row>
    <row r="4" spans="1:11" customFormat="1" ht="13.5" thickBot="1" x14ac:dyDescent="0.25">
      <c r="A4" s="8"/>
      <c r="B4" s="8"/>
      <c r="C4" s="8"/>
      <c r="D4" s="8"/>
      <c r="E4" s="9"/>
      <c r="F4" s="8"/>
      <c r="G4" s="9"/>
      <c r="H4" s="9"/>
      <c r="I4" s="8"/>
      <c r="J4" s="8"/>
      <c r="K4" s="8"/>
    </row>
    <row r="5" spans="1:11" customFormat="1" ht="13.5" thickBot="1" x14ac:dyDescent="0.25">
      <c r="A5" s="8"/>
      <c r="B5" s="8"/>
      <c r="C5" s="8"/>
      <c r="D5" s="8"/>
      <c r="E5" s="9"/>
      <c r="F5" s="8"/>
      <c r="G5" s="9"/>
      <c r="H5" s="9"/>
      <c r="I5" s="8"/>
      <c r="J5" s="8"/>
      <c r="K5" s="8"/>
    </row>
    <row r="6" spans="1:11" customFormat="1" ht="13.5" thickBot="1" x14ac:dyDescent="0.25">
      <c r="A6" s="8"/>
      <c r="B6" s="8"/>
      <c r="C6" s="8"/>
      <c r="D6" s="8"/>
      <c r="E6" s="9"/>
      <c r="F6" s="8"/>
      <c r="G6" s="9"/>
      <c r="H6" s="9"/>
      <c r="I6" s="8"/>
      <c r="J6" s="8"/>
      <c r="K6" s="8"/>
    </row>
    <row r="7" spans="1:11" customFormat="1" ht="13.5" thickBot="1" x14ac:dyDescent="0.25">
      <c r="A7" s="8"/>
      <c r="B7" s="8"/>
      <c r="C7" s="8"/>
      <c r="D7" s="8"/>
      <c r="E7" s="9"/>
      <c r="F7" s="8"/>
      <c r="G7" s="9"/>
      <c r="H7" s="9"/>
      <c r="I7" s="8"/>
      <c r="J7" s="8"/>
      <c r="K7" s="8"/>
    </row>
    <row r="8" spans="1:11" customFormat="1" ht="13.5" thickBot="1" x14ac:dyDescent="0.25">
      <c r="A8" s="8"/>
      <c r="B8" s="8"/>
      <c r="C8" s="8"/>
      <c r="D8" s="8"/>
      <c r="E8" s="9"/>
      <c r="F8" s="8"/>
      <c r="G8" s="9"/>
      <c r="H8" s="9"/>
      <c r="I8" s="8"/>
      <c r="J8" s="8"/>
      <c r="K8" s="8"/>
    </row>
    <row r="9" spans="1:11" customFormat="1" ht="13.5" thickBot="1" x14ac:dyDescent="0.25">
      <c r="A9" s="8"/>
      <c r="B9" s="8"/>
      <c r="C9" s="8"/>
      <c r="D9" s="8"/>
      <c r="E9" s="9"/>
      <c r="F9" s="8"/>
      <c r="G9" s="9"/>
      <c r="H9" s="9"/>
      <c r="I9" s="8"/>
      <c r="J9" s="8"/>
      <c r="K9" s="8"/>
    </row>
    <row r="10" spans="1:11" customFormat="1" ht="13.5" thickBot="1" x14ac:dyDescent="0.25">
      <c r="A10" s="8"/>
      <c r="B10" s="8"/>
      <c r="C10" s="8"/>
      <c r="D10" s="8"/>
      <c r="E10" s="9"/>
      <c r="F10" s="8"/>
      <c r="G10" s="9"/>
      <c r="H10" s="9"/>
      <c r="I10" s="8"/>
      <c r="J10" s="8"/>
      <c r="K10" s="8"/>
    </row>
    <row r="11" spans="1:11" customFormat="1" ht="13.5" thickBot="1" x14ac:dyDescent="0.25">
      <c r="A11" s="8"/>
      <c r="B11" s="8"/>
      <c r="C11" s="8"/>
      <c r="D11" s="8"/>
      <c r="E11" s="9"/>
      <c r="F11" s="8"/>
      <c r="G11" s="9"/>
      <c r="H11" s="9"/>
      <c r="I11" s="8"/>
      <c r="J11" s="8"/>
      <c r="K11" s="8"/>
    </row>
    <row r="12" spans="1:11" customFormat="1" ht="13.5" thickBot="1" x14ac:dyDescent="0.25">
      <c r="A12" s="8"/>
      <c r="B12" s="8"/>
      <c r="C12" s="8"/>
      <c r="D12" s="8"/>
      <c r="E12" s="9"/>
      <c r="F12" s="8"/>
      <c r="G12" s="9"/>
      <c r="H12" s="9"/>
      <c r="I12" s="8"/>
      <c r="J12" s="8"/>
      <c r="K12" s="8"/>
    </row>
    <row r="13" spans="1:11" customFormat="1" ht="13.5" thickBot="1" x14ac:dyDescent="0.25">
      <c r="A13" s="8"/>
      <c r="B13" s="8"/>
      <c r="C13" s="8"/>
      <c r="D13" s="8"/>
      <c r="E13" s="9"/>
      <c r="F13" s="8"/>
      <c r="G13" s="9"/>
      <c r="H13" s="9"/>
      <c r="I13" s="8"/>
      <c r="J13" s="8"/>
      <c r="K13" s="8"/>
    </row>
    <row r="14" spans="1:11" customFormat="1" ht="13.5" thickBot="1" x14ac:dyDescent="0.25">
      <c r="A14" s="8"/>
      <c r="B14" s="8"/>
      <c r="C14" s="8"/>
      <c r="D14" s="8"/>
      <c r="E14" s="9"/>
      <c r="F14" s="8"/>
      <c r="G14" s="9"/>
      <c r="H14" s="9"/>
      <c r="I14" s="8"/>
      <c r="J14" s="8"/>
      <c r="K14" s="8"/>
    </row>
    <row r="15" spans="1:11" customFormat="1" ht="13.5" thickBot="1" x14ac:dyDescent="0.25">
      <c r="A15" s="8"/>
      <c r="B15" s="8"/>
      <c r="C15" s="8"/>
      <c r="D15" s="8"/>
      <c r="E15" s="9"/>
      <c r="F15" s="8"/>
      <c r="G15" s="9"/>
      <c r="H15" s="9"/>
      <c r="I15" s="8"/>
      <c r="J15" s="8"/>
      <c r="K15" s="8"/>
    </row>
    <row r="16" spans="1:11" customFormat="1" ht="13.5" thickBot="1" x14ac:dyDescent="0.25">
      <c r="A16" s="8"/>
      <c r="B16" s="8"/>
      <c r="C16" s="8"/>
      <c r="D16" s="8"/>
      <c r="E16" s="9"/>
      <c r="F16" s="8"/>
      <c r="G16" s="9"/>
      <c r="H16" s="9"/>
      <c r="I16" s="8"/>
      <c r="J16" s="8"/>
      <c r="K16" s="8"/>
    </row>
    <row r="17" spans="1:11" customFormat="1" ht="13.5" thickBot="1" x14ac:dyDescent="0.25">
      <c r="A17" s="8"/>
      <c r="B17" s="8"/>
      <c r="C17" s="8"/>
      <c r="D17" s="8"/>
      <c r="E17" s="9"/>
      <c r="F17" s="8"/>
      <c r="G17" s="9"/>
      <c r="H17" s="9"/>
      <c r="I17" s="8"/>
      <c r="J17" s="8"/>
      <c r="K17" s="8"/>
    </row>
    <row r="18" spans="1:11" customFormat="1" ht="13.5" thickBot="1" x14ac:dyDescent="0.25">
      <c r="A18" s="8"/>
      <c r="B18" s="8"/>
      <c r="C18" s="8"/>
      <c r="D18" s="8"/>
      <c r="E18" s="9"/>
      <c r="F18" s="8"/>
      <c r="G18" s="9"/>
      <c r="H18" s="9"/>
      <c r="I18" s="8"/>
      <c r="J18" s="8"/>
      <c r="K18" s="8"/>
    </row>
    <row r="19" spans="1:11" customFormat="1" ht="13.5" thickBot="1" x14ac:dyDescent="0.25">
      <c r="A19" s="8"/>
      <c r="B19" s="8"/>
      <c r="C19" s="8"/>
      <c r="D19" s="8"/>
      <c r="E19" s="9"/>
      <c r="F19" s="8"/>
      <c r="G19" s="9"/>
      <c r="H19" s="9"/>
      <c r="I19" s="8"/>
      <c r="J19" s="8"/>
      <c r="K19" s="8"/>
    </row>
    <row r="20" spans="1:11" customFormat="1" ht="13.5" thickBot="1" x14ac:dyDescent="0.25">
      <c r="A20" s="8"/>
      <c r="B20" s="8"/>
      <c r="C20" s="8"/>
      <c r="D20" s="8"/>
      <c r="E20" s="9"/>
      <c r="F20" s="8"/>
      <c r="G20" s="9"/>
      <c r="H20" s="9"/>
      <c r="I20" s="8"/>
      <c r="J20" s="8"/>
      <c r="K20" s="8"/>
    </row>
    <row r="21" spans="1:11" customFormat="1" ht="13.5" thickBot="1" x14ac:dyDescent="0.25">
      <c r="A21" s="8"/>
      <c r="B21" s="8"/>
      <c r="C21" s="8"/>
      <c r="D21" s="8"/>
      <c r="E21" s="9"/>
      <c r="F21" s="8"/>
      <c r="G21" s="9"/>
      <c r="H21" s="9"/>
      <c r="I21" s="8"/>
      <c r="J21" s="8"/>
      <c r="K21" s="8"/>
    </row>
    <row r="22" spans="1:11" customFormat="1" ht="13.5" thickBot="1" x14ac:dyDescent="0.25">
      <c r="A22" s="8"/>
      <c r="B22" s="8"/>
      <c r="C22" s="8"/>
      <c r="D22" s="8"/>
      <c r="E22" s="9"/>
      <c r="F22" s="8"/>
      <c r="G22" s="9"/>
      <c r="H22" s="9"/>
      <c r="I22" s="8"/>
      <c r="J22" s="8"/>
      <c r="K22" s="8"/>
    </row>
    <row r="23" spans="1:11" customFormat="1" ht="13.5" thickBot="1" x14ac:dyDescent="0.25">
      <c r="A23" s="8"/>
      <c r="B23" s="8"/>
      <c r="C23" s="8"/>
      <c r="D23" s="8"/>
      <c r="E23" s="9"/>
      <c r="F23" s="10"/>
      <c r="G23" s="9"/>
      <c r="H23" s="9"/>
      <c r="I23" s="8"/>
      <c r="J23" s="8"/>
      <c r="K23" s="8"/>
    </row>
    <row r="24" spans="1:11" customFormat="1" ht="13.5" thickBot="1" x14ac:dyDescent="0.25">
      <c r="A24" s="8"/>
      <c r="B24" s="8"/>
      <c r="C24" s="8"/>
      <c r="D24" s="8"/>
      <c r="E24" s="9"/>
      <c r="F24" s="8"/>
      <c r="G24" s="9"/>
      <c r="H24" s="9"/>
      <c r="I24" s="8"/>
      <c r="J24" s="8"/>
      <c r="K24" s="8"/>
    </row>
    <row r="25" spans="1:11" customFormat="1" ht="13.5" thickBot="1" x14ac:dyDescent="0.25">
      <c r="A25" s="8"/>
      <c r="B25" s="8"/>
      <c r="C25" s="8"/>
      <c r="D25" s="8"/>
      <c r="E25" s="9"/>
      <c r="F25" s="8"/>
      <c r="G25" s="9"/>
      <c r="H25" s="9"/>
      <c r="I25" s="8"/>
      <c r="J25" s="8"/>
      <c r="K25" s="8"/>
    </row>
    <row r="26" spans="1:11" customFormat="1" ht="13.5" thickBot="1" x14ac:dyDescent="0.25">
      <c r="A26" s="8"/>
      <c r="B26" s="8"/>
      <c r="C26" s="8"/>
      <c r="D26" s="8"/>
      <c r="E26" s="9"/>
      <c r="F26" s="8"/>
      <c r="G26" s="9"/>
      <c r="H26" s="9"/>
      <c r="I26" s="8"/>
      <c r="J26" s="8"/>
      <c r="K26" s="8"/>
    </row>
    <row r="27" spans="1:11" customFormat="1" ht="13.5" thickBot="1" x14ac:dyDescent="0.25">
      <c r="A27" s="8"/>
      <c r="B27" s="8"/>
      <c r="C27" s="8"/>
      <c r="D27" s="8"/>
      <c r="E27" s="9"/>
      <c r="F27" s="8"/>
      <c r="G27" s="9"/>
      <c r="H27" s="9"/>
      <c r="I27" s="8"/>
      <c r="J27" s="8"/>
      <c r="K27" s="8"/>
    </row>
    <row r="28" spans="1:11" customFormat="1" ht="13.5" thickBot="1" x14ac:dyDescent="0.25">
      <c r="A28" s="8"/>
      <c r="B28" s="8"/>
      <c r="C28" s="8"/>
      <c r="D28" s="8"/>
      <c r="E28" s="9"/>
      <c r="F28" s="8"/>
      <c r="G28" s="9"/>
      <c r="H28" s="9"/>
      <c r="I28" s="8"/>
      <c r="J28" s="8"/>
      <c r="K28" s="8"/>
    </row>
    <row r="29" spans="1:11" customFormat="1" ht="13.5" thickBot="1" x14ac:dyDescent="0.25">
      <c r="A29" s="8"/>
      <c r="B29" s="8"/>
      <c r="C29" s="8"/>
      <c r="D29" s="8"/>
      <c r="E29" s="9"/>
      <c r="F29" s="8"/>
      <c r="G29" s="9"/>
      <c r="H29" s="9"/>
      <c r="I29" s="8"/>
      <c r="J29" s="8"/>
      <c r="K29" s="8"/>
    </row>
    <row r="30" spans="1:11" customFormat="1" ht="13.5" thickBot="1" x14ac:dyDescent="0.25">
      <c r="A30" s="8"/>
      <c r="B30" s="8"/>
      <c r="C30" s="8"/>
      <c r="D30" s="8"/>
      <c r="E30" s="9"/>
      <c r="F30" s="8"/>
      <c r="G30" s="9"/>
      <c r="H30" s="9"/>
      <c r="I30" s="8"/>
      <c r="J30" s="8"/>
      <c r="K30" s="8"/>
    </row>
    <row r="31" spans="1:11" customFormat="1" ht="13.5" thickBot="1" x14ac:dyDescent="0.25">
      <c r="A31" s="8"/>
      <c r="B31" s="8"/>
      <c r="C31" s="8"/>
      <c r="D31" s="8"/>
      <c r="E31" s="9"/>
      <c r="F31" s="8"/>
      <c r="G31" s="9"/>
      <c r="H31" s="9"/>
      <c r="I31" s="8"/>
      <c r="J31" s="8"/>
      <c r="K31" s="8"/>
    </row>
    <row r="32" spans="1:11" customFormat="1" ht="13.5" thickBot="1" x14ac:dyDescent="0.25">
      <c r="A32" s="8"/>
      <c r="B32" s="8"/>
      <c r="C32" s="8"/>
      <c r="D32" s="8"/>
      <c r="E32" s="9"/>
      <c r="F32" s="8"/>
      <c r="G32" s="9"/>
      <c r="H32" s="9"/>
      <c r="I32" s="8"/>
      <c r="J32" s="8"/>
      <c r="K32" s="8"/>
    </row>
    <row r="33" spans="1:11" customFormat="1" ht="13.5" thickBot="1" x14ac:dyDescent="0.25">
      <c r="A33" s="8"/>
      <c r="B33" s="8"/>
      <c r="C33" s="8"/>
      <c r="D33" s="8"/>
      <c r="E33" s="9"/>
      <c r="F33" s="8"/>
      <c r="G33" s="9"/>
      <c r="H33" s="9"/>
      <c r="I33" s="8"/>
      <c r="J33" s="8"/>
      <c r="K33" s="8"/>
    </row>
    <row r="34" spans="1:11" customFormat="1" ht="13.5" thickBot="1" x14ac:dyDescent="0.25">
      <c r="A34" s="8"/>
      <c r="B34" s="8"/>
      <c r="C34" s="8"/>
      <c r="D34" s="8"/>
      <c r="E34" s="9"/>
      <c r="F34" s="8"/>
      <c r="G34" s="9"/>
      <c r="H34" s="9"/>
      <c r="I34" s="8"/>
      <c r="J34" s="8"/>
      <c r="K34" s="8"/>
    </row>
    <row r="35" spans="1:11" customFormat="1" ht="13.5" thickBot="1" x14ac:dyDescent="0.25">
      <c r="A35" s="8"/>
      <c r="B35" s="8"/>
      <c r="C35" s="8"/>
      <c r="D35" s="8"/>
      <c r="E35" s="9"/>
      <c r="F35" s="8"/>
      <c r="G35" s="9"/>
      <c r="H35" s="9"/>
      <c r="I35" s="8"/>
      <c r="J35" s="8"/>
      <c r="K35" s="8"/>
    </row>
    <row r="36" spans="1:11" customFormat="1" ht="13.5" thickBot="1" x14ac:dyDescent="0.25">
      <c r="A36" s="8"/>
      <c r="B36" s="8"/>
      <c r="C36" s="8"/>
      <c r="D36" s="8"/>
      <c r="E36" s="9"/>
      <c r="F36" s="8"/>
      <c r="G36" s="9"/>
      <c r="H36" s="9"/>
      <c r="I36" s="8"/>
      <c r="J36" s="8"/>
      <c r="K36" s="8"/>
    </row>
    <row r="37" spans="1:11" customFormat="1" ht="13.5" thickBot="1" x14ac:dyDescent="0.25">
      <c r="A37" s="8"/>
      <c r="B37" s="8"/>
      <c r="C37" s="8"/>
      <c r="D37" s="8"/>
      <c r="E37" s="9"/>
      <c r="F37" s="8"/>
      <c r="G37" s="9"/>
      <c r="H37" s="9"/>
      <c r="I37" s="8"/>
      <c r="J37" s="8"/>
      <c r="K37" s="8"/>
    </row>
    <row r="38" spans="1:11" customFormat="1" ht="13.5" thickBot="1" x14ac:dyDescent="0.25">
      <c r="A38" s="8"/>
      <c r="B38" s="8"/>
      <c r="C38" s="8"/>
      <c r="D38" s="8"/>
      <c r="E38" s="9"/>
      <c r="F38" s="8"/>
      <c r="G38" s="9"/>
      <c r="H38" s="9"/>
      <c r="I38" s="8"/>
      <c r="J38" s="8"/>
      <c r="K38" s="8"/>
    </row>
    <row r="39" spans="1:11" customFormat="1" ht="13.5" thickBot="1" x14ac:dyDescent="0.25">
      <c r="A39" s="8"/>
      <c r="B39" s="8"/>
      <c r="C39" s="8"/>
      <c r="D39" s="8"/>
      <c r="E39" s="9"/>
      <c r="F39" s="8"/>
      <c r="G39" s="9"/>
      <c r="H39" s="9"/>
      <c r="I39" s="8"/>
      <c r="J39" s="8"/>
      <c r="K39" s="8"/>
    </row>
    <row r="40" spans="1:11" customFormat="1" ht="13.5" thickBot="1" x14ac:dyDescent="0.25">
      <c r="A40" s="8"/>
      <c r="B40" s="8"/>
      <c r="C40" s="8"/>
      <c r="D40" s="8"/>
      <c r="E40" s="9"/>
      <c r="F40" s="8"/>
      <c r="G40" s="9"/>
      <c r="H40" s="9"/>
      <c r="I40" s="8"/>
      <c r="J40" s="8"/>
      <c r="K40" s="8"/>
    </row>
    <row r="41" spans="1:11" customFormat="1" ht="13.5" thickBot="1" x14ac:dyDescent="0.25">
      <c r="A41" s="8"/>
      <c r="B41" s="8"/>
      <c r="C41" s="8"/>
      <c r="D41" s="8"/>
      <c r="E41" s="9"/>
      <c r="F41" s="8"/>
      <c r="G41" s="9"/>
      <c r="H41" s="9"/>
      <c r="I41" s="8"/>
      <c r="J41" s="8"/>
      <c r="K41" s="8"/>
    </row>
    <row r="42" spans="1:11" customFormat="1" ht="13.5" thickBot="1" x14ac:dyDescent="0.25">
      <c r="A42" s="8"/>
      <c r="B42" s="8"/>
      <c r="C42" s="8"/>
      <c r="D42" s="8"/>
      <c r="E42" s="9"/>
      <c r="F42" s="8"/>
      <c r="G42" s="9"/>
      <c r="H42" s="9"/>
      <c r="I42" s="8"/>
      <c r="J42" s="8"/>
      <c r="K42" s="8"/>
    </row>
    <row r="43" spans="1:11" customFormat="1" ht="13.5" thickBot="1" x14ac:dyDescent="0.25">
      <c r="A43" s="8"/>
      <c r="B43" s="8"/>
      <c r="C43" s="8"/>
      <c r="D43" s="8"/>
      <c r="E43" s="9"/>
      <c r="F43" s="8"/>
      <c r="G43" s="9"/>
      <c r="H43" s="9"/>
      <c r="I43" s="8"/>
      <c r="J43" s="8"/>
      <c r="K43" s="8"/>
    </row>
    <row r="44" spans="1:11" customFormat="1" ht="13.5" thickBot="1" x14ac:dyDescent="0.25">
      <c r="A44" s="8"/>
      <c r="B44" s="8"/>
      <c r="C44" s="8"/>
      <c r="D44" s="8"/>
      <c r="E44" s="9"/>
      <c r="F44" s="8"/>
      <c r="G44" s="9"/>
      <c r="H44" s="9"/>
      <c r="I44" s="8"/>
      <c r="J44" s="8"/>
      <c r="K44" s="8"/>
    </row>
    <row r="45" spans="1:11" customFormat="1" ht="13.5" thickBot="1" x14ac:dyDescent="0.25">
      <c r="A45" s="8"/>
      <c r="B45" s="8"/>
      <c r="C45" s="8"/>
      <c r="D45" s="8"/>
      <c r="E45" s="9"/>
      <c r="F45" s="10"/>
      <c r="G45" s="9"/>
      <c r="H45" s="9"/>
      <c r="I45" s="8"/>
      <c r="J45" s="8"/>
      <c r="K45" s="8"/>
    </row>
    <row r="46" spans="1:11" customFormat="1" ht="13.5" thickBot="1" x14ac:dyDescent="0.25">
      <c r="A46" s="8"/>
      <c r="B46" s="8"/>
      <c r="C46" s="8"/>
      <c r="D46" s="8"/>
      <c r="E46" s="9"/>
      <c r="F46" s="8"/>
      <c r="G46" s="9"/>
      <c r="H46" s="9"/>
      <c r="I46" s="8"/>
      <c r="J46" s="8"/>
      <c r="K46" s="8"/>
    </row>
    <row r="47" spans="1:11" customFormat="1" ht="13.5" thickBot="1" x14ac:dyDescent="0.25">
      <c r="A47" s="8"/>
      <c r="B47" s="8"/>
      <c r="C47" s="8"/>
      <c r="D47" s="8"/>
      <c r="E47" s="9"/>
      <c r="F47" s="8"/>
      <c r="G47" s="9"/>
      <c r="H47" s="9"/>
      <c r="I47" s="8"/>
      <c r="J47" s="8"/>
      <c r="K47" s="8"/>
    </row>
    <row r="48" spans="1:11" customFormat="1" ht="13.5" thickBot="1" x14ac:dyDescent="0.25">
      <c r="A48" s="8"/>
      <c r="B48" s="8"/>
      <c r="C48" s="8"/>
      <c r="D48" s="8"/>
      <c r="E48" s="9"/>
      <c r="F48" s="8"/>
      <c r="G48" s="9"/>
      <c r="H48" s="9"/>
      <c r="I48" s="8"/>
      <c r="J48" s="8"/>
      <c r="K48" s="8"/>
    </row>
    <row r="49" spans="1:11" customFormat="1" ht="13.5" thickBot="1" x14ac:dyDescent="0.25">
      <c r="A49" s="8"/>
      <c r="B49" s="8"/>
      <c r="C49" s="8"/>
      <c r="D49" s="8"/>
      <c r="E49" s="9"/>
      <c r="F49" s="8"/>
      <c r="G49" s="9"/>
      <c r="H49" s="9"/>
      <c r="I49" s="8"/>
      <c r="J49" s="8"/>
      <c r="K49" s="8"/>
    </row>
    <row r="50" spans="1:11" customFormat="1" ht="13.5" thickBot="1" x14ac:dyDescent="0.25">
      <c r="A50" s="8"/>
      <c r="B50" s="8"/>
      <c r="C50" s="8"/>
      <c r="D50" s="8"/>
      <c r="E50" s="9"/>
      <c r="F50" s="8"/>
      <c r="G50" s="9"/>
      <c r="H50" s="9"/>
      <c r="I50" s="8"/>
      <c r="J50" s="8"/>
      <c r="K50" s="8"/>
    </row>
    <row r="51" spans="1:11" customFormat="1" ht="13.5" thickBot="1" x14ac:dyDescent="0.25">
      <c r="A51" s="8"/>
      <c r="B51" s="8"/>
      <c r="C51" s="8"/>
      <c r="D51" s="8"/>
      <c r="E51" s="9"/>
      <c r="F51" s="8"/>
      <c r="G51" s="9"/>
      <c r="H51" s="9"/>
      <c r="I51" s="8"/>
      <c r="J51" s="8"/>
      <c r="K51" s="8"/>
    </row>
    <row r="52" spans="1:11" customFormat="1" ht="13.5" thickBot="1" x14ac:dyDescent="0.25">
      <c r="A52" s="8"/>
      <c r="B52" s="8"/>
      <c r="C52" s="8"/>
      <c r="D52" s="8"/>
      <c r="E52" s="9"/>
      <c r="F52" s="8"/>
      <c r="G52" s="9"/>
      <c r="H52" s="9"/>
      <c r="I52" s="8"/>
      <c r="J52" s="8"/>
      <c r="K52" s="8"/>
    </row>
    <row r="53" spans="1:11" customFormat="1" ht="13.5" thickBot="1" x14ac:dyDescent="0.25">
      <c r="A53" s="8"/>
      <c r="B53" s="8"/>
      <c r="C53" s="8"/>
      <c r="D53" s="8"/>
      <c r="E53" s="9"/>
      <c r="F53" s="8"/>
      <c r="G53" s="9"/>
      <c r="H53" s="9"/>
      <c r="I53" s="8"/>
      <c r="J53" s="8"/>
      <c r="K53" s="8"/>
    </row>
    <row r="54" spans="1:11" customFormat="1" ht="13.5" thickBot="1" x14ac:dyDescent="0.25">
      <c r="A54" s="8"/>
      <c r="B54" s="8"/>
      <c r="C54" s="8"/>
      <c r="D54" s="8"/>
      <c r="E54" s="9"/>
      <c r="F54" s="8"/>
      <c r="G54" s="9"/>
      <c r="H54" s="9"/>
      <c r="I54" s="8"/>
      <c r="J54" s="8"/>
      <c r="K54" s="8"/>
    </row>
    <row r="55" spans="1:11" customFormat="1" ht="13.5" thickBot="1" x14ac:dyDescent="0.25">
      <c r="A55" s="8"/>
      <c r="B55" s="8"/>
      <c r="C55" s="8"/>
      <c r="D55" s="8"/>
      <c r="E55" s="9"/>
      <c r="F55" s="8"/>
      <c r="G55" s="9"/>
      <c r="H55" s="9"/>
      <c r="I55" s="8"/>
      <c r="J55" s="8"/>
      <c r="K55" s="8"/>
    </row>
    <row r="56" spans="1:11" customFormat="1" ht="13.5" thickBot="1" x14ac:dyDescent="0.25">
      <c r="A56" s="8"/>
      <c r="B56" s="8"/>
      <c r="C56" s="8"/>
      <c r="D56" s="8"/>
      <c r="E56" s="9"/>
      <c r="F56" s="8"/>
      <c r="G56" s="9"/>
      <c r="H56" s="9"/>
      <c r="I56" s="8"/>
      <c r="J56" s="8"/>
      <c r="K56" s="8"/>
    </row>
    <row r="57" spans="1:11" customFormat="1" ht="13.5" thickBot="1" x14ac:dyDescent="0.25">
      <c r="A57" s="8"/>
      <c r="B57" s="8"/>
      <c r="C57" s="8"/>
      <c r="D57" s="8"/>
      <c r="E57" s="9"/>
      <c r="F57" s="8"/>
      <c r="G57" s="9"/>
      <c r="H57" s="9"/>
      <c r="I57" s="8"/>
      <c r="J57" s="8"/>
      <c r="K57" s="8"/>
    </row>
    <row r="58" spans="1:11" customFormat="1" ht="13.5" thickBot="1" x14ac:dyDescent="0.25">
      <c r="A58" s="8"/>
      <c r="B58" s="8"/>
      <c r="C58" s="8"/>
      <c r="D58" s="8"/>
      <c r="E58" s="9"/>
      <c r="F58" s="8"/>
      <c r="G58" s="9"/>
      <c r="H58" s="9"/>
      <c r="I58" s="8"/>
      <c r="J58" s="8"/>
      <c r="K58" s="8"/>
    </row>
    <row r="59" spans="1:11" customFormat="1" ht="13.5" thickBot="1" x14ac:dyDescent="0.25">
      <c r="A59" s="8"/>
      <c r="B59" s="8"/>
      <c r="C59" s="8"/>
      <c r="D59" s="8"/>
      <c r="E59" s="9"/>
      <c r="F59" s="8"/>
      <c r="G59" s="9"/>
      <c r="H59" s="9"/>
      <c r="I59" s="8"/>
      <c r="J59" s="8"/>
      <c r="K59" s="8"/>
    </row>
    <row r="60" spans="1:11" customFormat="1" ht="13.5" thickBot="1" x14ac:dyDescent="0.25">
      <c r="A60" s="8"/>
      <c r="B60" s="8"/>
      <c r="C60" s="8"/>
      <c r="D60" s="8"/>
      <c r="E60" s="9"/>
      <c r="F60" s="10"/>
      <c r="G60" s="9"/>
      <c r="H60" s="9"/>
      <c r="I60" s="8"/>
      <c r="J60" s="8"/>
      <c r="K60" s="8"/>
    </row>
    <row r="61" spans="1:11" customFormat="1" ht="13.5" thickBot="1" x14ac:dyDescent="0.25">
      <c r="A61" s="8"/>
      <c r="B61" s="8"/>
      <c r="C61" s="8"/>
      <c r="D61" s="8"/>
      <c r="E61" s="9"/>
      <c r="F61" s="8"/>
      <c r="G61" s="9"/>
      <c r="H61" s="9"/>
      <c r="I61" s="8"/>
      <c r="J61" s="8"/>
      <c r="K61" s="8"/>
    </row>
    <row r="62" spans="1:11" customFormat="1" ht="13.5" thickBot="1" x14ac:dyDescent="0.25">
      <c r="A62" s="8"/>
      <c r="B62" s="8"/>
      <c r="C62" s="8"/>
      <c r="D62" s="8"/>
      <c r="E62" s="9"/>
      <c r="F62" s="8"/>
      <c r="G62" s="9"/>
      <c r="H62" s="9"/>
      <c r="I62" s="8"/>
      <c r="J62" s="8"/>
      <c r="K62" s="8"/>
    </row>
    <row r="63" spans="1:11" customFormat="1" ht="13.5" thickBot="1" x14ac:dyDescent="0.25">
      <c r="A63" s="8"/>
      <c r="B63" s="8"/>
      <c r="C63" s="8"/>
      <c r="D63" s="8"/>
      <c r="E63" s="9"/>
      <c r="F63" s="8"/>
      <c r="G63" s="9"/>
      <c r="H63" s="9"/>
      <c r="I63" s="8"/>
      <c r="J63" s="8"/>
      <c r="K63" s="8"/>
    </row>
    <row r="64" spans="1:11" customFormat="1" ht="13.5" thickBot="1" x14ac:dyDescent="0.25">
      <c r="A64" s="8"/>
      <c r="B64" s="8"/>
      <c r="C64" s="8"/>
      <c r="D64" s="8"/>
      <c r="E64" s="9"/>
      <c r="F64" s="8"/>
      <c r="G64" s="9"/>
      <c r="H64" s="9"/>
      <c r="I64" s="8"/>
      <c r="J64" s="8"/>
      <c r="K64" s="8"/>
    </row>
    <row r="65" spans="1:11" customFormat="1" ht="13.5" thickBot="1" x14ac:dyDescent="0.25">
      <c r="A65" s="8"/>
      <c r="B65" s="8"/>
      <c r="C65" s="8"/>
      <c r="D65" s="8"/>
      <c r="E65" s="9"/>
      <c r="F65" s="8"/>
      <c r="G65" s="9"/>
      <c r="H65" s="9"/>
      <c r="I65" s="8"/>
      <c r="J65" s="8"/>
      <c r="K65" s="8"/>
    </row>
    <row r="66" spans="1:11" customFormat="1" ht="13.5" thickBot="1" x14ac:dyDescent="0.25">
      <c r="A66" s="8"/>
      <c r="B66" s="8"/>
      <c r="C66" s="8"/>
      <c r="D66" s="8"/>
      <c r="E66" s="9"/>
      <c r="F66" s="8"/>
      <c r="G66" s="9"/>
      <c r="H66" s="9"/>
      <c r="I66" s="8"/>
      <c r="J66" s="8"/>
      <c r="K66" s="8"/>
    </row>
    <row r="67" spans="1:11" customFormat="1" ht="13.5" thickBot="1" x14ac:dyDescent="0.25">
      <c r="A67" s="8"/>
      <c r="B67" s="8"/>
      <c r="C67" s="8"/>
      <c r="D67" s="8"/>
      <c r="E67" s="9"/>
      <c r="F67" s="8"/>
      <c r="G67" s="9"/>
      <c r="H67" s="9"/>
      <c r="I67" s="8"/>
      <c r="J67" s="8"/>
      <c r="K67" s="8"/>
    </row>
    <row r="68" spans="1:11" customFormat="1" ht="13.5" thickBot="1" x14ac:dyDescent="0.25">
      <c r="A68" s="8"/>
      <c r="B68" s="8"/>
      <c r="C68" s="8"/>
      <c r="D68" s="8"/>
      <c r="E68" s="9"/>
      <c r="F68" s="10"/>
      <c r="G68" s="9"/>
      <c r="H68" s="9"/>
      <c r="I68" s="8"/>
      <c r="J68" s="8"/>
      <c r="K68" s="8"/>
    </row>
    <row r="69" spans="1:11" customFormat="1" ht="13.5" thickBot="1" x14ac:dyDescent="0.25">
      <c r="A69" s="8"/>
      <c r="B69" s="8"/>
      <c r="C69" s="8"/>
      <c r="D69" s="8"/>
      <c r="E69" s="9"/>
      <c r="F69" s="8"/>
      <c r="G69" s="9"/>
      <c r="H69" s="9"/>
      <c r="I69" s="8"/>
      <c r="J69" s="8"/>
      <c r="K69" s="8"/>
    </row>
    <row r="70" spans="1:11" customFormat="1" ht="13.5" thickBot="1" x14ac:dyDescent="0.25">
      <c r="A70" s="8"/>
      <c r="B70" s="8"/>
      <c r="C70" s="8"/>
      <c r="D70" s="8"/>
      <c r="E70" s="9"/>
      <c r="F70" s="8"/>
      <c r="G70" s="9"/>
      <c r="H70" s="9"/>
      <c r="I70" s="8"/>
      <c r="J70" s="8"/>
      <c r="K70" s="8"/>
    </row>
    <row r="71" spans="1:11" customFormat="1" ht="13.5" thickBot="1" x14ac:dyDescent="0.25">
      <c r="A71" s="8"/>
      <c r="B71" s="8"/>
      <c r="C71" s="8"/>
      <c r="D71" s="8"/>
      <c r="E71" s="9"/>
      <c r="F71" s="8"/>
      <c r="G71" s="9"/>
      <c r="H71" s="9"/>
      <c r="I71" s="8"/>
      <c r="J71" s="8"/>
      <c r="K71" s="8"/>
    </row>
    <row r="72" spans="1:11" customFormat="1" ht="13.5" thickBot="1" x14ac:dyDescent="0.25">
      <c r="A72" s="8"/>
      <c r="B72" s="8"/>
      <c r="C72" s="8"/>
      <c r="D72" s="8"/>
      <c r="E72" s="9"/>
      <c r="F72" s="8"/>
      <c r="G72" s="9"/>
      <c r="H72" s="9"/>
      <c r="I72" s="8"/>
      <c r="J72" s="8"/>
      <c r="K72" s="8"/>
    </row>
    <row r="73" spans="1:11" customFormat="1" ht="13.5" thickBot="1" x14ac:dyDescent="0.25">
      <c r="A73" s="8"/>
      <c r="B73" s="8"/>
      <c r="C73" s="8"/>
      <c r="D73" s="8"/>
      <c r="E73" s="9"/>
      <c r="F73" s="8"/>
      <c r="G73" s="9"/>
      <c r="H73" s="9"/>
      <c r="I73" s="8"/>
      <c r="J73" s="8"/>
      <c r="K73" s="8"/>
    </row>
    <row r="74" spans="1:11" customFormat="1" ht="13.5" thickBot="1" x14ac:dyDescent="0.25">
      <c r="A74" s="8"/>
      <c r="B74" s="8"/>
      <c r="C74" s="8"/>
      <c r="D74" s="8"/>
      <c r="E74" s="9"/>
      <c r="F74" s="8"/>
      <c r="G74" s="9"/>
      <c r="H74" s="9"/>
      <c r="I74" s="8"/>
      <c r="J74" s="8"/>
      <c r="K74" s="8"/>
    </row>
    <row r="75" spans="1:11" customFormat="1" ht="13.5" thickBot="1" x14ac:dyDescent="0.25">
      <c r="A75" s="8"/>
      <c r="B75" s="8"/>
      <c r="C75" s="8"/>
      <c r="D75" s="8"/>
      <c r="E75" s="9"/>
      <c r="F75" s="8"/>
      <c r="G75" s="9"/>
      <c r="H75" s="9"/>
      <c r="I75" s="8"/>
      <c r="J75" s="8"/>
      <c r="K75" s="8"/>
    </row>
    <row r="76" spans="1:11" customFormat="1" ht="13.5" thickBot="1" x14ac:dyDescent="0.25">
      <c r="A76" s="8"/>
      <c r="B76" s="8"/>
      <c r="C76" s="8"/>
      <c r="D76" s="8"/>
      <c r="E76" s="9"/>
      <c r="F76" s="8"/>
      <c r="G76" s="9"/>
      <c r="H76" s="9"/>
      <c r="I76" s="8"/>
      <c r="J76" s="8"/>
      <c r="K76" s="8"/>
    </row>
    <row r="77" spans="1:11" customFormat="1" ht="13.5" thickBot="1" x14ac:dyDescent="0.25">
      <c r="A77" s="8"/>
      <c r="B77" s="8"/>
      <c r="C77" s="8"/>
      <c r="D77" s="8"/>
      <c r="E77" s="9"/>
      <c r="F77" s="8"/>
      <c r="G77" s="9"/>
      <c r="H77" s="9"/>
      <c r="I77" s="8"/>
      <c r="J77" s="8"/>
      <c r="K77" s="8"/>
    </row>
    <row r="78" spans="1:11" customFormat="1" ht="13.5" thickBot="1" x14ac:dyDescent="0.25">
      <c r="A78" s="8"/>
      <c r="B78" s="8"/>
      <c r="C78" s="8"/>
      <c r="D78" s="8"/>
      <c r="E78" s="9"/>
      <c r="F78" s="8"/>
      <c r="G78" s="9"/>
      <c r="H78" s="9"/>
      <c r="I78" s="8"/>
      <c r="J78" s="8"/>
      <c r="K78" s="8"/>
    </row>
    <row r="79" spans="1:11" customFormat="1" ht="13.5" thickBot="1" x14ac:dyDescent="0.25">
      <c r="A79" s="8"/>
      <c r="B79" s="8"/>
      <c r="C79" s="8"/>
      <c r="D79" s="8"/>
      <c r="E79" s="9"/>
      <c r="F79" s="8"/>
      <c r="G79" s="9"/>
      <c r="H79" s="9"/>
      <c r="I79" s="8"/>
      <c r="J79" s="8"/>
      <c r="K79" s="8"/>
    </row>
    <row r="80" spans="1:11" customFormat="1" ht="13.5" thickBot="1" x14ac:dyDescent="0.25">
      <c r="A80" s="8"/>
      <c r="B80" s="8"/>
      <c r="C80" s="8"/>
      <c r="D80" s="8"/>
      <c r="E80" s="9"/>
      <c r="F80" s="8"/>
      <c r="G80" s="9"/>
      <c r="H80" s="9"/>
      <c r="I80" s="8"/>
      <c r="J80" s="8"/>
      <c r="K80" s="8"/>
    </row>
    <row r="81" spans="1:11" customFormat="1" ht="13.5" thickBot="1" x14ac:dyDescent="0.25">
      <c r="A81" s="8"/>
      <c r="B81" s="8"/>
      <c r="C81" s="8"/>
      <c r="D81" s="8"/>
      <c r="E81" s="9"/>
      <c r="F81" s="8"/>
      <c r="G81" s="9"/>
      <c r="H81" s="9"/>
      <c r="I81" s="8"/>
      <c r="J81" s="8"/>
      <c r="K81" s="8"/>
    </row>
    <row r="82" spans="1:11" customFormat="1" ht="13.5" thickBot="1" x14ac:dyDescent="0.25">
      <c r="A82" s="8"/>
      <c r="B82" s="8"/>
      <c r="C82" s="8"/>
      <c r="D82" s="8"/>
      <c r="E82" s="9"/>
      <c r="F82" s="8"/>
      <c r="G82" s="9"/>
      <c r="H82" s="9"/>
      <c r="I82" s="8"/>
      <c r="J82" s="8"/>
      <c r="K82" s="8"/>
    </row>
    <row r="83" spans="1:11" customFormat="1" ht="13.5" thickBot="1" x14ac:dyDescent="0.25">
      <c r="A83" s="8"/>
      <c r="B83" s="8"/>
      <c r="C83" s="8"/>
      <c r="D83" s="8"/>
      <c r="E83" s="9"/>
      <c r="F83" s="8"/>
      <c r="G83" s="9"/>
      <c r="H83" s="9"/>
      <c r="I83" s="8"/>
      <c r="J83" s="8"/>
      <c r="K83" s="8"/>
    </row>
    <row r="84" spans="1:11" customFormat="1" ht="13.5" thickBot="1" x14ac:dyDescent="0.25">
      <c r="A84" s="8"/>
      <c r="B84" s="8"/>
      <c r="C84" s="8"/>
      <c r="D84" s="8"/>
      <c r="E84" s="9"/>
      <c r="F84" s="8"/>
      <c r="G84" s="9"/>
      <c r="H84" s="9"/>
      <c r="I84" s="8"/>
      <c r="J84" s="8"/>
      <c r="K84" s="8"/>
    </row>
    <row r="85" spans="1:11" customFormat="1" ht="13.5" thickBot="1" x14ac:dyDescent="0.25">
      <c r="A85" s="8"/>
      <c r="B85" s="8"/>
      <c r="C85" s="8"/>
      <c r="D85" s="8"/>
      <c r="E85" s="9"/>
      <c r="F85" s="8"/>
      <c r="G85" s="9"/>
      <c r="H85" s="9"/>
      <c r="I85" s="8"/>
      <c r="J85" s="8"/>
      <c r="K85" s="8"/>
    </row>
    <row r="86" spans="1:11" customFormat="1" ht="13.5" thickBot="1" x14ac:dyDescent="0.25">
      <c r="A86" s="8"/>
      <c r="B86" s="8"/>
      <c r="C86" s="8"/>
      <c r="D86" s="8"/>
      <c r="E86" s="9"/>
      <c r="F86" s="8"/>
      <c r="G86" s="9"/>
      <c r="H86" s="9"/>
      <c r="I86" s="8"/>
      <c r="J86" s="8"/>
      <c r="K86" s="8"/>
    </row>
    <row r="87" spans="1:11" customFormat="1" ht="13.5" thickBot="1" x14ac:dyDescent="0.25">
      <c r="A87" s="8"/>
      <c r="B87" s="8"/>
      <c r="C87" s="8"/>
      <c r="D87" s="8"/>
      <c r="E87" s="9"/>
      <c r="F87" s="8"/>
      <c r="G87" s="9"/>
      <c r="H87" s="9"/>
      <c r="I87" s="8"/>
      <c r="J87" s="8"/>
      <c r="K87" s="8"/>
    </row>
    <row r="88" spans="1:11" customFormat="1" ht="13.5" thickBot="1" x14ac:dyDescent="0.25">
      <c r="A88" s="8"/>
      <c r="B88" s="8"/>
      <c r="C88" s="8"/>
      <c r="D88" s="8"/>
      <c r="E88" s="9"/>
      <c r="F88" s="10"/>
      <c r="G88" s="9"/>
      <c r="H88" s="9"/>
      <c r="I88" s="8"/>
      <c r="J88" s="8"/>
      <c r="K88" s="8"/>
    </row>
    <row r="89" spans="1:11" customFormat="1" ht="13.5" thickBot="1" x14ac:dyDescent="0.25">
      <c r="A89" s="8"/>
      <c r="B89" s="8"/>
      <c r="C89" s="8"/>
      <c r="D89" s="8"/>
      <c r="E89" s="9"/>
      <c r="F89" s="8"/>
      <c r="G89" s="9"/>
      <c r="H89" s="9"/>
      <c r="I89" s="8"/>
      <c r="J89" s="8"/>
      <c r="K89" s="8"/>
    </row>
    <row r="90" spans="1:11" customFormat="1" ht="13.5" thickBot="1" x14ac:dyDescent="0.25">
      <c r="A90" s="8"/>
      <c r="B90" s="8"/>
      <c r="C90" s="8"/>
      <c r="D90" s="8"/>
      <c r="E90" s="9"/>
      <c r="F90" s="8"/>
      <c r="G90" s="9"/>
      <c r="H90" s="9"/>
      <c r="I90" s="8"/>
      <c r="J90" s="8"/>
      <c r="K90" s="8"/>
    </row>
    <row r="91" spans="1:11" customFormat="1" ht="13.5" thickBot="1" x14ac:dyDescent="0.25">
      <c r="A91" s="8"/>
      <c r="B91" s="8"/>
      <c r="C91" s="8"/>
      <c r="D91" s="8"/>
      <c r="E91" s="9"/>
      <c r="F91" s="8"/>
      <c r="G91" s="9"/>
      <c r="H91" s="9"/>
      <c r="I91" s="8"/>
      <c r="J91" s="8"/>
      <c r="K91" s="8"/>
    </row>
    <row r="92" spans="1:11" customFormat="1" ht="13.5" thickBot="1" x14ac:dyDescent="0.25">
      <c r="A92" s="8"/>
      <c r="B92" s="8"/>
      <c r="C92" s="8"/>
      <c r="D92" s="8"/>
      <c r="E92" s="9"/>
      <c r="F92" s="8"/>
      <c r="G92" s="9"/>
      <c r="H92" s="9"/>
      <c r="I92" s="8"/>
      <c r="J92" s="8"/>
      <c r="K92" s="8"/>
    </row>
    <row r="93" spans="1:11" customFormat="1" ht="13.5" thickBot="1" x14ac:dyDescent="0.25">
      <c r="A93" s="8"/>
      <c r="B93" s="8"/>
      <c r="C93" s="8"/>
      <c r="D93" s="8"/>
      <c r="E93" s="9"/>
      <c r="F93" s="8"/>
      <c r="G93" s="9"/>
      <c r="H93" s="9"/>
      <c r="I93" s="8"/>
      <c r="J93" s="8"/>
      <c r="K93" s="8"/>
    </row>
    <row r="94" spans="1:11" customFormat="1" ht="13.5" thickBot="1" x14ac:dyDescent="0.25">
      <c r="A94" s="8"/>
      <c r="B94" s="8"/>
      <c r="C94" s="8"/>
      <c r="D94" s="8"/>
      <c r="E94" s="9"/>
      <c r="F94" s="8"/>
      <c r="G94" s="9"/>
      <c r="H94" s="9"/>
      <c r="I94" s="8"/>
      <c r="J94" s="8"/>
      <c r="K94" s="8"/>
    </row>
    <row r="95" spans="1:11" customFormat="1" ht="13.5" thickBot="1" x14ac:dyDescent="0.25">
      <c r="A95" s="8"/>
      <c r="B95" s="8"/>
      <c r="C95" s="8"/>
      <c r="D95" s="8"/>
      <c r="E95" s="9"/>
      <c r="F95" s="10"/>
      <c r="G95" s="9"/>
      <c r="H95" s="9"/>
      <c r="I95" s="8"/>
      <c r="J95" s="8"/>
      <c r="K95" s="8"/>
    </row>
    <row r="96" spans="1:11" customFormat="1" ht="13.5" thickBot="1" x14ac:dyDescent="0.25">
      <c r="A96" s="8"/>
      <c r="B96" s="8"/>
      <c r="C96" s="8"/>
      <c r="D96" s="8"/>
      <c r="E96" s="9"/>
      <c r="F96" s="8"/>
      <c r="G96" s="9"/>
      <c r="H96" s="9"/>
      <c r="I96" s="8"/>
      <c r="J96" s="8"/>
      <c r="K96" s="8"/>
    </row>
    <row r="97" spans="1:11" customFormat="1" ht="13.5" thickBot="1" x14ac:dyDescent="0.25">
      <c r="A97" s="8"/>
      <c r="B97" s="8"/>
      <c r="C97" s="8"/>
      <c r="D97" s="8"/>
      <c r="E97" s="9"/>
      <c r="F97" s="8"/>
      <c r="G97" s="9"/>
      <c r="H97" s="9"/>
      <c r="I97" s="8"/>
      <c r="J97" s="8"/>
      <c r="K97" s="8"/>
    </row>
    <row r="98" spans="1:11" customFormat="1" ht="13.5" thickBot="1" x14ac:dyDescent="0.25">
      <c r="A98" s="8"/>
      <c r="B98" s="8"/>
      <c r="C98" s="8"/>
      <c r="D98" s="8"/>
      <c r="E98" s="9"/>
      <c r="F98" s="8"/>
      <c r="G98" s="9"/>
      <c r="H98" s="9"/>
      <c r="I98" s="8"/>
      <c r="J98" s="8"/>
      <c r="K98" s="8"/>
    </row>
    <row r="99" spans="1:11" customFormat="1" ht="13.5" thickBot="1" x14ac:dyDescent="0.25">
      <c r="A99" s="8"/>
      <c r="B99" s="8"/>
      <c r="C99" s="8"/>
      <c r="D99" s="8"/>
      <c r="E99" s="9"/>
      <c r="F99" s="8"/>
      <c r="G99" s="9"/>
      <c r="H99" s="9"/>
      <c r="I99" s="8"/>
      <c r="J99" s="8"/>
      <c r="K99" s="8"/>
    </row>
    <row r="100" spans="1:11" customFormat="1" ht="13.5" thickBot="1" x14ac:dyDescent="0.25">
      <c r="A100" s="8"/>
      <c r="B100" s="8"/>
      <c r="C100" s="8"/>
      <c r="D100" s="8"/>
      <c r="E100" s="9"/>
      <c r="F100" s="8"/>
      <c r="G100" s="9"/>
      <c r="H100" s="9"/>
      <c r="I100" s="8"/>
      <c r="J100" s="8"/>
      <c r="K100" s="8"/>
    </row>
    <row r="101" spans="1:11" customFormat="1" ht="13.5" thickBot="1" x14ac:dyDescent="0.25">
      <c r="A101" s="8"/>
      <c r="B101" s="8"/>
      <c r="C101" s="8"/>
      <c r="D101" s="8"/>
      <c r="E101" s="9"/>
      <c r="F101" s="8"/>
      <c r="G101" s="9"/>
      <c r="H101" s="9"/>
      <c r="I101" s="8"/>
      <c r="J101" s="8"/>
      <c r="K101" s="8"/>
    </row>
    <row r="102" spans="1:11" customFormat="1" ht="13.5" thickBot="1" x14ac:dyDescent="0.25">
      <c r="A102" s="8"/>
      <c r="B102" s="8"/>
      <c r="C102" s="8"/>
      <c r="D102" s="8"/>
      <c r="E102" s="9"/>
      <c r="F102" s="8"/>
      <c r="G102" s="9"/>
      <c r="H102" s="9"/>
      <c r="I102" s="8"/>
      <c r="J102" s="8"/>
      <c r="K102" s="8"/>
    </row>
    <row r="103" spans="1:11" customFormat="1" ht="13.5" thickBot="1" x14ac:dyDescent="0.25">
      <c r="A103" s="8"/>
      <c r="B103" s="8"/>
      <c r="C103" s="8"/>
      <c r="D103" s="8"/>
      <c r="E103" s="9"/>
      <c r="F103" s="8"/>
      <c r="G103" s="9"/>
      <c r="H103" s="9"/>
      <c r="I103" s="8"/>
      <c r="J103" s="8"/>
      <c r="K103" s="8"/>
    </row>
    <row r="104" spans="1:11" customFormat="1" ht="13.5" thickBot="1" x14ac:dyDescent="0.25">
      <c r="A104" s="8"/>
      <c r="B104" s="8"/>
      <c r="C104" s="8"/>
      <c r="D104" s="8"/>
      <c r="E104" s="9"/>
      <c r="F104" s="8"/>
      <c r="G104" s="9"/>
      <c r="H104" s="9"/>
      <c r="I104" s="8"/>
      <c r="J104" s="8"/>
      <c r="K104" s="8"/>
    </row>
    <row r="105" spans="1:11" customFormat="1" ht="13.5" thickBot="1" x14ac:dyDescent="0.25">
      <c r="A105" s="8"/>
      <c r="B105" s="8"/>
      <c r="C105" s="8"/>
      <c r="D105" s="8"/>
      <c r="E105" s="9"/>
      <c r="F105" s="10"/>
      <c r="G105" s="9"/>
      <c r="H105" s="9"/>
      <c r="I105" s="8"/>
      <c r="J105" s="8"/>
      <c r="K105" s="8"/>
    </row>
    <row r="106" spans="1:11" customFormat="1" ht="13.5" thickBot="1" x14ac:dyDescent="0.25">
      <c r="A106" s="8"/>
      <c r="B106" s="8"/>
      <c r="C106" s="8"/>
      <c r="D106" s="8"/>
      <c r="E106" s="9"/>
      <c r="F106" s="8"/>
      <c r="G106" s="9"/>
      <c r="H106" s="9"/>
      <c r="I106" s="8"/>
      <c r="J106" s="8"/>
      <c r="K106" s="8"/>
    </row>
    <row r="107" spans="1:11" customFormat="1" ht="13.5" thickBot="1" x14ac:dyDescent="0.25">
      <c r="A107" s="8"/>
      <c r="B107" s="8"/>
      <c r="C107" s="8"/>
      <c r="D107" s="8"/>
      <c r="E107" s="9"/>
      <c r="F107" s="8"/>
      <c r="G107" s="9"/>
      <c r="H107" s="9"/>
      <c r="I107" s="8"/>
      <c r="J107" s="8"/>
      <c r="K107" s="8"/>
    </row>
    <row r="108" spans="1:11" customFormat="1" ht="13.5" thickBot="1" x14ac:dyDescent="0.25">
      <c r="A108" s="8"/>
      <c r="B108" s="8"/>
      <c r="C108" s="8"/>
      <c r="D108" s="8"/>
      <c r="E108" s="9"/>
      <c r="F108" s="8"/>
      <c r="G108" s="9"/>
      <c r="H108" s="9"/>
      <c r="I108" s="8"/>
      <c r="J108" s="8"/>
      <c r="K108" s="8"/>
    </row>
    <row r="109" spans="1:11" customFormat="1" ht="13.5" thickBot="1" x14ac:dyDescent="0.25">
      <c r="A109" s="8"/>
      <c r="B109" s="8"/>
      <c r="C109" s="8"/>
      <c r="D109" s="8"/>
      <c r="E109" s="9"/>
      <c r="F109" s="8"/>
      <c r="G109" s="9"/>
      <c r="H109" s="9"/>
      <c r="I109" s="8"/>
      <c r="J109" s="8"/>
      <c r="K109" s="8"/>
    </row>
    <row r="110" spans="1:11" customFormat="1" ht="13.5" thickBot="1" x14ac:dyDescent="0.25">
      <c r="A110" s="8"/>
      <c r="B110" s="8"/>
      <c r="C110" s="8"/>
      <c r="D110" s="8"/>
      <c r="E110" s="9"/>
      <c r="F110" s="8"/>
      <c r="G110" s="9"/>
      <c r="H110" s="9"/>
      <c r="I110" s="8"/>
      <c r="J110" s="8"/>
      <c r="K110" s="8"/>
    </row>
    <row r="111" spans="1:11" customFormat="1" ht="13.5" thickBot="1" x14ac:dyDescent="0.25">
      <c r="A111" s="8"/>
      <c r="B111" s="8"/>
      <c r="C111" s="8"/>
      <c r="D111" s="8"/>
      <c r="E111" s="9"/>
      <c r="F111" s="8"/>
      <c r="G111" s="9"/>
      <c r="H111" s="9"/>
      <c r="I111" s="8"/>
      <c r="J111" s="8"/>
      <c r="K111" s="8"/>
    </row>
    <row r="112" spans="1:11" customFormat="1" ht="13.5" thickBot="1" x14ac:dyDescent="0.25">
      <c r="A112" s="8"/>
      <c r="B112" s="8"/>
      <c r="C112" s="8"/>
      <c r="D112" s="8"/>
      <c r="E112" s="9"/>
      <c r="F112" s="8"/>
      <c r="G112" s="9"/>
      <c r="H112" s="9"/>
      <c r="I112" s="8"/>
      <c r="J112" s="8"/>
      <c r="K112" s="8"/>
    </row>
    <row r="113" spans="1:11" customFormat="1" ht="13.5" thickBot="1" x14ac:dyDescent="0.25">
      <c r="A113" s="8"/>
      <c r="B113" s="8"/>
      <c r="C113" s="8"/>
      <c r="D113" s="8"/>
      <c r="E113" s="9"/>
      <c r="F113" s="10"/>
      <c r="G113" s="9"/>
      <c r="H113" s="9"/>
      <c r="I113" s="8"/>
      <c r="J113" s="8"/>
      <c r="K113" s="8"/>
    </row>
    <row r="114" spans="1:11" customFormat="1" ht="13.5" thickBot="1" x14ac:dyDescent="0.25">
      <c r="A114" s="8"/>
      <c r="B114" s="8"/>
      <c r="C114" s="8"/>
      <c r="D114" s="8"/>
      <c r="E114" s="9"/>
      <c r="F114" s="8"/>
      <c r="G114" s="9"/>
      <c r="H114" s="9"/>
      <c r="I114" s="8"/>
      <c r="J114" s="8"/>
      <c r="K114" s="8"/>
    </row>
    <row r="115" spans="1:11" ht="13.5" thickBot="1" x14ac:dyDescent="0.25">
      <c r="A115" s="8"/>
      <c r="B115" s="8"/>
      <c r="C115" s="8"/>
      <c r="D115" s="8"/>
      <c r="E115" s="9"/>
      <c r="F115" s="8"/>
      <c r="G115" s="9"/>
      <c r="H115" s="9"/>
      <c r="I115" s="8"/>
      <c r="J115" s="8"/>
      <c r="K115" s="3"/>
    </row>
    <row r="116" spans="1:11" ht="13.5" thickBot="1" x14ac:dyDescent="0.25">
      <c r="A116" s="8"/>
      <c r="B116" s="8"/>
      <c r="C116" s="8"/>
      <c r="D116" s="8"/>
      <c r="E116" s="9"/>
      <c r="F116" s="8"/>
      <c r="G116" s="9"/>
      <c r="H116" s="9"/>
      <c r="I116" s="8"/>
      <c r="J116" s="8"/>
      <c r="K116" s="3"/>
    </row>
    <row r="117" spans="1:11" ht="13.5" thickBot="1" x14ac:dyDescent="0.25">
      <c r="A117" s="8"/>
      <c r="B117" s="8"/>
      <c r="C117" s="8"/>
      <c r="D117" s="8"/>
      <c r="E117" s="9"/>
      <c r="F117" s="8"/>
      <c r="G117" s="9"/>
      <c r="H117" s="9"/>
      <c r="I117" s="8"/>
      <c r="J117" s="8"/>
      <c r="K117" s="3"/>
    </row>
    <row r="118" spans="1:11" ht="13.5" thickBot="1" x14ac:dyDescent="0.25">
      <c r="A118" s="8"/>
      <c r="B118" s="8"/>
      <c r="C118" s="8"/>
      <c r="D118" s="8"/>
      <c r="E118" s="9"/>
      <c r="F118" s="8"/>
      <c r="G118" s="9"/>
      <c r="H118" s="9"/>
      <c r="I118" s="8"/>
      <c r="J118" s="8"/>
      <c r="K118" s="3"/>
    </row>
    <row r="119" spans="1:11" ht="13.5" thickBot="1" x14ac:dyDescent="0.25">
      <c r="A119" s="8"/>
      <c r="B119" s="8"/>
      <c r="C119" s="8"/>
      <c r="D119" s="8"/>
      <c r="E119" s="9"/>
      <c r="F119" s="8"/>
      <c r="G119" s="9"/>
      <c r="H119" s="9"/>
      <c r="I119" s="8"/>
      <c r="J119" s="8"/>
      <c r="K119" s="3"/>
    </row>
    <row r="120" spans="1:11" ht="13.5" thickBot="1" x14ac:dyDescent="0.25">
      <c r="A120" s="8"/>
      <c r="B120" s="8"/>
      <c r="C120" s="8"/>
      <c r="D120" s="8"/>
      <c r="E120" s="9"/>
      <c r="F120" s="8"/>
      <c r="G120" s="9"/>
      <c r="H120" s="9"/>
      <c r="I120" s="8"/>
      <c r="J120" s="8"/>
      <c r="K120" s="3"/>
    </row>
    <row r="121" spans="1:11" ht="13.5" thickBot="1" x14ac:dyDescent="0.25">
      <c r="A121" s="8"/>
      <c r="B121" s="8"/>
      <c r="C121" s="8"/>
      <c r="D121" s="8"/>
      <c r="E121" s="9"/>
      <c r="F121" s="8"/>
      <c r="G121" s="9"/>
      <c r="H121" s="9"/>
      <c r="I121" s="8"/>
      <c r="J121" s="8"/>
      <c r="K121" s="3"/>
    </row>
    <row r="122" spans="1:11" ht="13.5" thickBot="1" x14ac:dyDescent="0.25">
      <c r="A122" s="8"/>
      <c r="B122" s="8"/>
      <c r="C122" s="8"/>
      <c r="D122" s="8"/>
      <c r="E122" s="9"/>
      <c r="F122" s="8"/>
      <c r="G122" s="9"/>
      <c r="H122" s="9"/>
      <c r="I122" s="8"/>
      <c r="J122" s="8"/>
      <c r="K122" s="3"/>
    </row>
    <row r="123" spans="1:11" ht="13.5" thickBot="1" x14ac:dyDescent="0.25">
      <c r="A123" s="8"/>
      <c r="B123" s="8"/>
      <c r="C123" s="8"/>
      <c r="D123" s="8"/>
      <c r="E123" s="9"/>
      <c r="F123" s="8"/>
      <c r="G123" s="9"/>
      <c r="H123" s="9"/>
      <c r="I123" s="8"/>
      <c r="J123" s="8"/>
      <c r="K123" s="3"/>
    </row>
    <row r="124" spans="1:11" ht="13.5" thickBot="1" x14ac:dyDescent="0.25">
      <c r="A124" s="8"/>
      <c r="B124" s="8"/>
      <c r="C124" s="8"/>
      <c r="D124" s="8"/>
      <c r="E124" s="9"/>
      <c r="F124" s="8"/>
      <c r="G124" s="9"/>
      <c r="H124" s="9"/>
      <c r="I124" s="8"/>
      <c r="J124" s="8"/>
      <c r="K124" s="3"/>
    </row>
    <row r="125" spans="1:11" ht="13.5" thickBot="1" x14ac:dyDescent="0.25">
      <c r="A125" s="8"/>
      <c r="B125" s="8"/>
      <c r="C125" s="8"/>
      <c r="D125" s="8"/>
      <c r="E125" s="9"/>
      <c r="F125" s="8"/>
      <c r="G125" s="9"/>
      <c r="H125" s="9"/>
      <c r="I125" s="8"/>
      <c r="J125" s="8"/>
      <c r="K125" s="3"/>
    </row>
    <row r="126" spans="1:11" ht="13.5" thickBot="1" x14ac:dyDescent="0.25">
      <c r="A126" s="8"/>
      <c r="B126" s="8"/>
      <c r="C126" s="8"/>
      <c r="D126" s="8"/>
      <c r="E126" s="9"/>
      <c r="F126" s="8"/>
      <c r="G126" s="9"/>
      <c r="H126" s="9"/>
      <c r="I126" s="8"/>
      <c r="J126" s="8"/>
      <c r="K126" s="3"/>
    </row>
    <row r="127" spans="1:11" ht="13.5" thickBot="1" x14ac:dyDescent="0.25">
      <c r="A127" s="8"/>
      <c r="B127" s="8"/>
      <c r="C127" s="8"/>
      <c r="D127" s="8"/>
      <c r="E127" s="9"/>
      <c r="F127" s="8"/>
      <c r="G127" s="9"/>
      <c r="H127" s="9"/>
      <c r="I127" s="8"/>
      <c r="J127" s="8"/>
      <c r="K127" s="3"/>
    </row>
    <row r="128" spans="1:11" ht="13.5" thickBot="1" x14ac:dyDescent="0.25">
      <c r="A128" s="8"/>
      <c r="B128" s="8"/>
      <c r="C128" s="8"/>
      <c r="D128" s="8"/>
      <c r="E128" s="9"/>
      <c r="F128" s="8"/>
      <c r="G128" s="9"/>
      <c r="H128" s="9"/>
      <c r="I128" s="8"/>
      <c r="J128" s="8"/>
      <c r="K128" s="3"/>
    </row>
    <row r="129" spans="1:11" ht="13.5" thickBot="1" x14ac:dyDescent="0.25">
      <c r="A129" s="8"/>
      <c r="B129" s="8"/>
      <c r="C129" s="8"/>
      <c r="D129" s="8"/>
      <c r="E129" s="9"/>
      <c r="F129" s="8"/>
      <c r="G129" s="9"/>
      <c r="H129" s="9"/>
      <c r="I129" s="8"/>
      <c r="J129" s="8"/>
      <c r="K129" s="3"/>
    </row>
    <row r="130" spans="1:11" ht="13.5" thickBot="1" x14ac:dyDescent="0.25">
      <c r="A130" s="8"/>
      <c r="B130" s="8"/>
      <c r="C130" s="8"/>
      <c r="D130" s="8"/>
      <c r="E130" s="9"/>
      <c r="F130" s="10"/>
      <c r="G130" s="9"/>
      <c r="H130" s="9"/>
      <c r="I130" s="8"/>
      <c r="J130" s="8"/>
      <c r="K130" s="3"/>
    </row>
    <row r="131" spans="1:11" ht="13.5" thickBot="1" x14ac:dyDescent="0.25">
      <c r="A131" s="8"/>
      <c r="B131" s="8"/>
      <c r="C131" s="8"/>
      <c r="D131" s="8"/>
      <c r="E131" s="9"/>
      <c r="F131" s="8"/>
      <c r="G131" s="9"/>
      <c r="H131" s="9"/>
      <c r="I131" s="8"/>
      <c r="J131" s="8"/>
      <c r="K131" s="3"/>
    </row>
    <row r="132" spans="1:11" ht="13.5" thickBot="1" x14ac:dyDescent="0.25">
      <c r="A132" s="8"/>
      <c r="B132" s="8"/>
      <c r="C132" s="8"/>
      <c r="D132" s="8"/>
      <c r="E132" s="9"/>
      <c r="F132" s="10"/>
      <c r="G132" s="9"/>
      <c r="H132" s="9"/>
      <c r="I132" s="8"/>
      <c r="J132" s="8"/>
      <c r="K132" s="3"/>
    </row>
    <row r="133" spans="1:11" ht="13.5" thickBot="1" x14ac:dyDescent="0.25">
      <c r="A133" s="8"/>
      <c r="B133" s="8"/>
      <c r="C133" s="8"/>
      <c r="D133" s="8"/>
      <c r="E133" s="9"/>
      <c r="F133" s="8"/>
      <c r="G133" s="9"/>
      <c r="H133" s="9"/>
      <c r="I133" s="8"/>
      <c r="J133" s="8"/>
      <c r="K133" s="3"/>
    </row>
    <row r="134" spans="1:11" ht="13.5" thickBot="1" x14ac:dyDescent="0.25">
      <c r="A134" s="8"/>
      <c r="B134" s="8"/>
      <c r="C134" s="8"/>
      <c r="D134" s="8"/>
      <c r="E134" s="9"/>
      <c r="F134" s="8"/>
      <c r="G134" s="9"/>
      <c r="H134" s="9"/>
      <c r="I134" s="8"/>
      <c r="J134" s="8"/>
      <c r="K134" s="3"/>
    </row>
    <row r="135" spans="1:11" ht="13.5" thickBot="1" x14ac:dyDescent="0.25">
      <c r="A135" s="8"/>
      <c r="B135" s="8"/>
      <c r="C135" s="8"/>
      <c r="D135" s="8"/>
      <c r="E135" s="9"/>
      <c r="F135" s="8"/>
      <c r="G135" s="9"/>
      <c r="H135" s="9"/>
      <c r="I135" s="8"/>
      <c r="J135" s="8"/>
      <c r="K135" s="3"/>
    </row>
    <row r="136" spans="1:11" ht="13.5" thickBot="1" x14ac:dyDescent="0.25">
      <c r="A136" s="8"/>
      <c r="B136" s="8"/>
      <c r="C136" s="8"/>
      <c r="D136" s="8"/>
      <c r="E136" s="9"/>
      <c r="F136" s="8"/>
      <c r="G136" s="9"/>
      <c r="H136" s="9"/>
      <c r="I136" s="8"/>
      <c r="J136" s="8"/>
      <c r="K136" s="3"/>
    </row>
    <row r="137" spans="1:11" ht="13.5" thickBot="1" x14ac:dyDescent="0.25">
      <c r="A137" s="8"/>
      <c r="B137" s="8"/>
      <c r="C137" s="8"/>
      <c r="D137" s="8"/>
      <c r="E137" s="9"/>
      <c r="F137" s="8"/>
      <c r="G137" s="9"/>
      <c r="H137" s="9"/>
      <c r="I137" s="8"/>
      <c r="J137" s="8"/>
      <c r="K137" s="3"/>
    </row>
    <row r="138" spans="1:11" ht="13.5" thickBot="1" x14ac:dyDescent="0.25">
      <c r="A138" s="8"/>
      <c r="B138" s="8"/>
      <c r="C138" s="8"/>
      <c r="D138" s="8"/>
      <c r="E138" s="9"/>
      <c r="F138" s="8"/>
      <c r="G138" s="9"/>
      <c r="H138" s="9"/>
      <c r="I138" s="8"/>
      <c r="J138" s="8"/>
      <c r="K138" s="3"/>
    </row>
    <row r="139" spans="1:11" ht="13.5" thickBot="1" x14ac:dyDescent="0.25">
      <c r="A139" s="8"/>
      <c r="B139" s="8"/>
      <c r="C139" s="8"/>
      <c r="D139" s="8"/>
      <c r="E139" s="9"/>
      <c r="F139" s="8"/>
      <c r="G139" s="9"/>
      <c r="H139" s="9"/>
      <c r="I139" s="8"/>
      <c r="J139" s="8"/>
      <c r="K139" s="3"/>
    </row>
    <row r="140" spans="1:11" ht="13.5" thickBot="1" x14ac:dyDescent="0.25">
      <c r="A140" s="8"/>
      <c r="B140" s="8"/>
      <c r="C140" s="8"/>
      <c r="D140" s="8"/>
      <c r="E140" s="9"/>
      <c r="F140" s="8"/>
      <c r="G140" s="9"/>
      <c r="H140" s="9"/>
      <c r="I140" s="8"/>
      <c r="J140" s="8"/>
      <c r="K140" s="3"/>
    </row>
    <row r="141" spans="1:11" ht="13.5" thickBot="1" x14ac:dyDescent="0.25">
      <c r="A141" s="8"/>
      <c r="B141" s="8"/>
      <c r="C141" s="8"/>
      <c r="D141" s="8"/>
      <c r="E141" s="9"/>
      <c r="F141" s="8"/>
      <c r="G141" s="9"/>
      <c r="H141" s="9"/>
      <c r="I141" s="8"/>
      <c r="J141" s="8"/>
      <c r="K141" s="3"/>
    </row>
    <row r="142" spans="1:11" ht="13.5" thickBot="1" x14ac:dyDescent="0.25">
      <c r="A142" s="8"/>
      <c r="B142" s="8"/>
      <c r="C142" s="8"/>
      <c r="D142" s="8"/>
      <c r="E142" s="9"/>
      <c r="F142" s="8"/>
      <c r="G142" s="9"/>
      <c r="H142" s="9"/>
      <c r="I142" s="8"/>
      <c r="J142" s="8"/>
      <c r="K142" s="3"/>
    </row>
    <row r="143" spans="1:11" ht="13.5" thickBot="1" x14ac:dyDescent="0.25">
      <c r="A143" s="8"/>
      <c r="B143" s="8"/>
      <c r="C143" s="8"/>
      <c r="D143" s="8"/>
      <c r="E143" s="9"/>
      <c r="F143" s="8"/>
      <c r="G143" s="9"/>
      <c r="H143" s="9"/>
      <c r="I143" s="8"/>
      <c r="J143" s="8"/>
      <c r="K143" s="3"/>
    </row>
    <row r="144" spans="1:11" ht="13.5" thickBot="1" x14ac:dyDescent="0.25">
      <c r="A144" s="8"/>
      <c r="B144" s="8"/>
      <c r="C144" s="8"/>
      <c r="D144" s="8"/>
      <c r="E144" s="9"/>
      <c r="F144" s="8"/>
      <c r="G144" s="9"/>
      <c r="H144" s="9"/>
      <c r="I144" s="8"/>
      <c r="J144" s="8"/>
      <c r="K144" s="3"/>
    </row>
    <row r="145" spans="1:11" ht="13.5" thickBot="1" x14ac:dyDescent="0.25">
      <c r="A145" s="8"/>
      <c r="B145" s="8"/>
      <c r="C145" s="8"/>
      <c r="D145" s="8"/>
      <c r="E145" s="9"/>
      <c r="F145" s="8"/>
      <c r="G145" s="9"/>
      <c r="H145" s="9"/>
      <c r="I145" s="8"/>
      <c r="J145" s="8"/>
      <c r="K145" s="3"/>
    </row>
    <row r="146" spans="1:11" ht="13.5" thickBot="1" x14ac:dyDescent="0.25">
      <c r="A146" s="8"/>
      <c r="B146" s="8"/>
      <c r="C146" s="8"/>
      <c r="D146" s="8"/>
      <c r="E146" s="9"/>
      <c r="F146" s="8"/>
      <c r="G146" s="9"/>
      <c r="H146" s="9"/>
      <c r="I146" s="8"/>
      <c r="J146" s="8"/>
      <c r="K146" s="3"/>
    </row>
    <row r="147" spans="1:11" ht="13.5" thickBot="1" x14ac:dyDescent="0.25">
      <c r="A147" s="8"/>
      <c r="B147" s="8"/>
      <c r="C147" s="8"/>
      <c r="D147" s="8"/>
      <c r="E147" s="9"/>
      <c r="F147" s="8"/>
      <c r="G147" s="9"/>
      <c r="H147" s="9"/>
      <c r="I147" s="8"/>
      <c r="J147" s="8"/>
      <c r="K147" s="3"/>
    </row>
    <row r="148" spans="1:11" ht="13.5" thickBot="1" x14ac:dyDescent="0.25">
      <c r="A148" s="8"/>
      <c r="B148" s="8"/>
      <c r="C148" s="8"/>
      <c r="D148" s="8"/>
      <c r="E148" s="9"/>
      <c r="F148" s="8"/>
      <c r="G148" s="9"/>
      <c r="H148" s="9"/>
      <c r="I148" s="8"/>
      <c r="J148" s="8"/>
      <c r="K148" s="3"/>
    </row>
    <row r="149" spans="1:11" ht="13.5" thickBot="1" x14ac:dyDescent="0.25">
      <c r="A149" s="8"/>
      <c r="B149" s="8"/>
      <c r="C149" s="8"/>
      <c r="D149" s="8"/>
      <c r="E149" s="9"/>
      <c r="F149" s="8"/>
      <c r="G149" s="9"/>
      <c r="H149" s="9"/>
      <c r="I149" s="8"/>
      <c r="J149" s="8"/>
      <c r="K149" s="3"/>
    </row>
    <row r="150" spans="1:11" ht="13.5" thickBot="1" x14ac:dyDescent="0.25">
      <c r="A150" s="8"/>
      <c r="B150" s="8"/>
      <c r="C150" s="8"/>
      <c r="D150" s="8"/>
      <c r="E150" s="9"/>
      <c r="F150" s="8"/>
      <c r="G150" s="9"/>
      <c r="H150" s="9"/>
      <c r="I150" s="8"/>
      <c r="J150" s="8"/>
      <c r="K150" s="3"/>
    </row>
    <row r="151" spans="1:11" ht="13.5" thickBot="1" x14ac:dyDescent="0.25">
      <c r="A151" s="8"/>
      <c r="B151" s="8"/>
      <c r="C151" s="8"/>
      <c r="D151" s="8"/>
      <c r="E151" s="9"/>
      <c r="F151" s="8"/>
      <c r="G151" s="9"/>
      <c r="H151" s="9"/>
      <c r="I151" s="8"/>
      <c r="J151" s="8"/>
      <c r="K151" s="3"/>
    </row>
    <row r="152" spans="1:11" ht="13.5" thickBot="1" x14ac:dyDescent="0.25">
      <c r="A152" s="8"/>
      <c r="B152" s="8"/>
      <c r="C152" s="8"/>
      <c r="D152" s="8"/>
      <c r="E152" s="9"/>
      <c r="F152" s="8"/>
      <c r="G152" s="9"/>
      <c r="H152" s="9"/>
      <c r="I152" s="8"/>
      <c r="J152" s="8"/>
      <c r="K152" s="3"/>
    </row>
    <row r="153" spans="1:11" ht="13.5" thickBot="1" x14ac:dyDescent="0.25">
      <c r="A153" s="8"/>
      <c r="B153" s="8"/>
      <c r="C153" s="8"/>
      <c r="D153" s="8"/>
      <c r="E153" s="9"/>
      <c r="F153" s="8"/>
      <c r="G153" s="9"/>
      <c r="H153" s="9"/>
      <c r="I153" s="8"/>
      <c r="J153" s="8"/>
      <c r="K153" s="3"/>
    </row>
    <row r="154" spans="1:11" ht="13.5" thickBot="1" x14ac:dyDescent="0.25">
      <c r="A154" s="8"/>
      <c r="B154" s="8"/>
      <c r="C154" s="8"/>
      <c r="D154" s="8"/>
      <c r="E154" s="9"/>
      <c r="F154" s="8"/>
      <c r="G154" s="9"/>
      <c r="H154" s="9"/>
      <c r="I154" s="8"/>
      <c r="J154" s="8"/>
      <c r="K154" s="3"/>
    </row>
    <row r="155" spans="1:11" ht="13.5" thickBot="1" x14ac:dyDescent="0.25">
      <c r="A155" s="8"/>
      <c r="B155" s="8"/>
      <c r="C155" s="8"/>
      <c r="D155" s="8"/>
      <c r="E155" s="9"/>
      <c r="F155" s="8"/>
      <c r="G155" s="9"/>
      <c r="H155" s="9"/>
      <c r="I155" s="8"/>
      <c r="J155" s="8"/>
      <c r="K155" s="3"/>
    </row>
    <row r="156" spans="1:11" ht="13.5" thickBot="1" x14ac:dyDescent="0.25">
      <c r="A156" s="8"/>
      <c r="B156" s="8"/>
      <c r="C156" s="8"/>
      <c r="D156" s="8"/>
      <c r="E156" s="9"/>
      <c r="F156" s="8"/>
      <c r="G156" s="9"/>
      <c r="H156" s="9"/>
      <c r="I156" s="8"/>
      <c r="J156" s="8"/>
      <c r="K156" s="3"/>
    </row>
    <row r="157" spans="1:11" ht="13.5" thickBot="1" x14ac:dyDescent="0.25">
      <c r="A157" s="8"/>
      <c r="B157" s="8"/>
      <c r="C157" s="8"/>
      <c r="D157" s="8"/>
      <c r="E157" s="9"/>
      <c r="F157" s="8"/>
      <c r="G157" s="9"/>
      <c r="H157" s="9"/>
      <c r="I157" s="8"/>
      <c r="J157" s="8"/>
      <c r="K157" s="3"/>
    </row>
    <row r="158" spans="1:11" ht="13.5" thickBot="1" x14ac:dyDescent="0.25">
      <c r="A158" s="8"/>
      <c r="B158" s="8"/>
      <c r="C158" s="8"/>
      <c r="D158" s="8"/>
      <c r="E158" s="9"/>
      <c r="F158" s="8"/>
      <c r="G158" s="9"/>
      <c r="H158" s="9"/>
      <c r="I158" s="8"/>
      <c r="J158" s="8"/>
      <c r="K158" s="3"/>
    </row>
    <row r="159" spans="1:11" ht="13.5" thickBot="1" x14ac:dyDescent="0.25">
      <c r="A159" s="8"/>
      <c r="B159" s="8"/>
      <c r="C159" s="8"/>
      <c r="D159" s="8"/>
      <c r="E159" s="9"/>
      <c r="F159" s="8"/>
      <c r="G159" s="9"/>
      <c r="H159" s="9"/>
      <c r="I159" s="8"/>
      <c r="J159" s="8"/>
      <c r="K159" s="3"/>
    </row>
    <row r="160" spans="1:11" ht="13.5" thickBot="1" x14ac:dyDescent="0.25">
      <c r="A160" s="8"/>
      <c r="B160" s="8"/>
      <c r="C160" s="8"/>
      <c r="D160" s="8"/>
      <c r="E160" s="9"/>
      <c r="F160" s="8"/>
      <c r="G160" s="9"/>
      <c r="H160" s="9"/>
      <c r="I160" s="8"/>
      <c r="J160" s="8"/>
      <c r="K160" s="3"/>
    </row>
    <row r="161" spans="1:11" ht="13.5" thickBot="1" x14ac:dyDescent="0.25">
      <c r="A161" s="8"/>
      <c r="B161" s="8"/>
      <c r="C161" s="8"/>
      <c r="D161" s="8"/>
      <c r="E161" s="9"/>
      <c r="F161" s="8"/>
      <c r="G161" s="9"/>
      <c r="H161" s="9"/>
      <c r="I161" s="8"/>
      <c r="J161" s="8"/>
      <c r="K161" s="3"/>
    </row>
    <row r="162" spans="1:11" ht="13.5" thickBot="1" x14ac:dyDescent="0.25">
      <c r="A162" s="8"/>
      <c r="B162" s="8"/>
      <c r="C162" s="8"/>
      <c r="D162" s="8"/>
      <c r="E162" s="9"/>
      <c r="F162" s="8"/>
      <c r="G162" s="9"/>
      <c r="H162" s="9"/>
      <c r="I162" s="8"/>
      <c r="J162" s="8"/>
      <c r="K162" s="3"/>
    </row>
    <row r="163" spans="1:11" ht="13.5" thickBot="1" x14ac:dyDescent="0.25">
      <c r="A163" s="8"/>
      <c r="B163" s="8"/>
      <c r="C163" s="8"/>
      <c r="D163" s="8"/>
      <c r="E163" s="9"/>
      <c r="F163" s="8"/>
      <c r="G163" s="9"/>
      <c r="H163" s="9"/>
      <c r="I163" s="8"/>
      <c r="J163" s="8"/>
      <c r="K163" s="3"/>
    </row>
    <row r="164" spans="1:11" ht="13.5" thickBot="1" x14ac:dyDescent="0.25">
      <c r="A164" s="8"/>
      <c r="B164" s="8"/>
      <c r="C164" s="8"/>
      <c r="D164" s="8"/>
      <c r="E164" s="9"/>
      <c r="F164" s="8"/>
      <c r="G164" s="9"/>
      <c r="H164" s="9"/>
      <c r="I164" s="8"/>
      <c r="J164" s="8"/>
      <c r="K164" s="3"/>
    </row>
    <row r="165" spans="1:11" ht="13.5" thickBot="1" x14ac:dyDescent="0.25">
      <c r="A165" s="8"/>
      <c r="B165" s="8"/>
      <c r="C165" s="8"/>
      <c r="D165" s="8"/>
      <c r="E165" s="9"/>
      <c r="F165" s="8"/>
      <c r="G165" s="9"/>
      <c r="H165" s="9"/>
      <c r="I165" s="8"/>
      <c r="J165" s="8"/>
      <c r="K165" s="3"/>
    </row>
    <row r="166" spans="1:11" ht="13.5" thickBot="1" x14ac:dyDescent="0.25">
      <c r="A166" s="8"/>
      <c r="B166" s="8"/>
      <c r="C166" s="8"/>
      <c r="D166" s="8"/>
      <c r="E166" s="9"/>
      <c r="F166" s="8"/>
      <c r="G166" s="9"/>
      <c r="H166" s="9"/>
      <c r="I166" s="8"/>
      <c r="J166" s="8"/>
      <c r="K166" s="3"/>
    </row>
    <row r="167" spans="1:11" ht="13.5" thickBot="1" x14ac:dyDescent="0.25">
      <c r="A167" s="8"/>
      <c r="B167" s="8"/>
      <c r="C167" s="8"/>
      <c r="D167" s="8"/>
      <c r="E167" s="9"/>
      <c r="F167" s="8"/>
      <c r="G167" s="9"/>
      <c r="H167" s="9"/>
      <c r="I167" s="8"/>
      <c r="J167" s="8"/>
      <c r="K167" s="3"/>
    </row>
    <row r="168" spans="1:11" ht="13.5" thickBot="1" x14ac:dyDescent="0.25">
      <c r="A168" s="8"/>
      <c r="B168" s="8"/>
      <c r="C168" s="8"/>
      <c r="D168" s="8"/>
      <c r="E168" s="9"/>
      <c r="F168" s="8"/>
      <c r="G168" s="9"/>
      <c r="H168" s="9"/>
      <c r="I168" s="8"/>
      <c r="J168" s="8"/>
      <c r="K168" s="3"/>
    </row>
    <row r="169" spans="1:11" ht="13.5" thickBot="1" x14ac:dyDescent="0.25">
      <c r="A169" s="8"/>
      <c r="B169" s="8"/>
      <c r="C169" s="8"/>
      <c r="D169" s="8"/>
      <c r="E169" s="9"/>
      <c r="F169" s="8"/>
      <c r="G169" s="9"/>
      <c r="H169" s="9"/>
      <c r="I169" s="8"/>
      <c r="J169" s="8"/>
      <c r="K169" s="3"/>
    </row>
    <row r="170" spans="1:11" ht="13.5" thickBot="1" x14ac:dyDescent="0.25">
      <c r="A170" s="8"/>
      <c r="B170" s="8"/>
      <c r="C170" s="8"/>
      <c r="D170" s="8"/>
      <c r="E170" s="9"/>
      <c r="F170" s="8"/>
      <c r="G170" s="9"/>
      <c r="H170" s="9"/>
      <c r="I170" s="8"/>
      <c r="J170" s="8"/>
      <c r="K170" s="3"/>
    </row>
    <row r="171" spans="1:11" ht="13.5" thickBot="1" x14ac:dyDescent="0.25">
      <c r="A171" s="8"/>
      <c r="B171" s="8"/>
      <c r="C171" s="8"/>
      <c r="D171" s="8"/>
      <c r="E171" s="9"/>
      <c r="F171" s="8"/>
      <c r="G171" s="9"/>
      <c r="H171" s="9"/>
      <c r="I171" s="8"/>
      <c r="J171" s="8"/>
      <c r="K171" s="3"/>
    </row>
    <row r="172" spans="1:11" ht="13.5" thickBot="1" x14ac:dyDescent="0.25">
      <c r="A172" s="8"/>
      <c r="B172" s="8"/>
      <c r="C172" s="8"/>
      <c r="D172" s="8"/>
      <c r="E172" s="9"/>
      <c r="F172" s="8"/>
      <c r="G172" s="9"/>
      <c r="H172" s="9"/>
      <c r="I172" s="8"/>
      <c r="J172" s="8"/>
      <c r="K172" s="3"/>
    </row>
    <row r="173" spans="1:11" ht="13.5" thickBot="1" x14ac:dyDescent="0.25">
      <c r="A173" s="8"/>
      <c r="B173" s="8"/>
      <c r="C173" s="8"/>
      <c r="D173" s="8"/>
      <c r="E173" s="9"/>
      <c r="F173" s="8"/>
      <c r="G173" s="9"/>
      <c r="H173" s="9"/>
      <c r="I173" s="8"/>
      <c r="J173" s="8"/>
      <c r="K173" s="3"/>
    </row>
    <row r="174" spans="1:11" ht="13.5" thickBot="1" x14ac:dyDescent="0.25">
      <c r="A174" s="8"/>
      <c r="B174" s="8"/>
      <c r="C174" s="8"/>
      <c r="D174" s="8"/>
      <c r="E174" s="9"/>
      <c r="F174" s="8"/>
      <c r="G174" s="9"/>
      <c r="H174" s="9"/>
      <c r="I174" s="8"/>
      <c r="J174" s="8"/>
      <c r="K174" s="3"/>
    </row>
    <row r="175" spans="1:11" ht="13.5" thickBot="1" x14ac:dyDescent="0.25">
      <c r="A175" s="8"/>
      <c r="B175" s="8"/>
      <c r="C175" s="8"/>
      <c r="D175" s="8"/>
      <c r="E175" s="9"/>
      <c r="F175" s="8"/>
      <c r="G175" s="9"/>
      <c r="H175" s="9"/>
      <c r="I175" s="8"/>
      <c r="J175" s="8"/>
      <c r="K175" s="3"/>
    </row>
    <row r="176" spans="1:11" ht="13.5" thickBot="1" x14ac:dyDescent="0.25">
      <c r="A176" s="8"/>
      <c r="B176" s="8"/>
      <c r="C176" s="8"/>
      <c r="D176" s="8"/>
      <c r="E176" s="9"/>
      <c r="F176" s="8"/>
      <c r="G176" s="9"/>
      <c r="H176" s="9"/>
      <c r="I176" s="8"/>
      <c r="J176" s="8"/>
      <c r="K176" s="3"/>
    </row>
    <row r="177" spans="1:11" ht="13.5" thickBot="1" x14ac:dyDescent="0.25">
      <c r="A177" s="8"/>
      <c r="B177" s="8"/>
      <c r="C177" s="8"/>
      <c r="D177" s="8"/>
      <c r="E177" s="9"/>
      <c r="F177" s="8"/>
      <c r="G177" s="9"/>
      <c r="H177" s="9"/>
      <c r="I177" s="8"/>
      <c r="J177" s="8"/>
      <c r="K177" s="3"/>
    </row>
    <row r="178" spans="1:11" ht="13.5" thickBot="1" x14ac:dyDescent="0.25">
      <c r="A178" s="8"/>
      <c r="B178" s="8"/>
      <c r="C178" s="8"/>
      <c r="D178" s="8"/>
      <c r="E178" s="9"/>
      <c r="F178" s="8"/>
      <c r="G178" s="9"/>
      <c r="H178" s="9"/>
      <c r="I178" s="8"/>
      <c r="J178" s="8"/>
      <c r="K178" s="3"/>
    </row>
    <row r="179" spans="1:11" ht="13.5" thickBot="1" x14ac:dyDescent="0.25">
      <c r="A179" s="8"/>
      <c r="B179" s="8"/>
      <c r="C179" s="8"/>
      <c r="D179" s="8"/>
      <c r="E179" s="9"/>
      <c r="F179" s="8"/>
      <c r="G179" s="9"/>
      <c r="H179" s="9"/>
      <c r="I179" s="8"/>
      <c r="J179" s="8"/>
      <c r="K179" s="3"/>
    </row>
    <row r="180" spans="1:11" ht="13.5" thickBot="1" x14ac:dyDescent="0.25">
      <c r="A180" s="8"/>
      <c r="B180" s="8"/>
      <c r="C180" s="8"/>
      <c r="D180" s="8"/>
      <c r="E180" s="9"/>
      <c r="F180" s="8"/>
      <c r="G180" s="9"/>
      <c r="H180" s="9"/>
      <c r="I180" s="8"/>
      <c r="J180" s="8"/>
      <c r="K180" s="3"/>
    </row>
    <row r="181" spans="1:11" ht="13.5" thickBot="1" x14ac:dyDescent="0.25">
      <c r="A181" s="8"/>
      <c r="B181" s="8"/>
      <c r="C181" s="8"/>
      <c r="D181" s="8"/>
      <c r="E181" s="9"/>
      <c r="F181" s="8"/>
      <c r="G181" s="9"/>
      <c r="H181" s="9"/>
      <c r="I181" s="8"/>
      <c r="J181" s="8"/>
      <c r="K181" s="3"/>
    </row>
    <row r="182" spans="1:11" ht="13.5" thickBot="1" x14ac:dyDescent="0.25">
      <c r="A182" s="8"/>
      <c r="B182" s="8"/>
      <c r="C182" s="8"/>
      <c r="D182" s="8"/>
      <c r="E182" s="9"/>
      <c r="F182" s="8"/>
      <c r="G182" s="9"/>
      <c r="H182" s="9"/>
      <c r="I182" s="8"/>
      <c r="J182" s="8"/>
      <c r="K182" s="3"/>
    </row>
    <row r="183" spans="1:11" ht="13.5" thickBot="1" x14ac:dyDescent="0.25">
      <c r="A183" s="8"/>
      <c r="B183" s="8"/>
      <c r="C183" s="8"/>
      <c r="D183" s="8"/>
      <c r="E183" s="9"/>
      <c r="F183" s="8"/>
      <c r="G183" s="9"/>
      <c r="H183" s="9"/>
      <c r="I183" s="8"/>
      <c r="J183" s="8"/>
      <c r="K183" s="3"/>
    </row>
    <row r="184" spans="1:11" ht="13.5" thickBot="1" x14ac:dyDescent="0.25">
      <c r="A184" s="8"/>
      <c r="B184" s="8"/>
      <c r="C184" s="8"/>
      <c r="D184" s="8"/>
      <c r="E184" s="9"/>
      <c r="F184" s="8"/>
      <c r="G184" s="9"/>
      <c r="H184" s="9"/>
      <c r="I184" s="8"/>
      <c r="J184" s="8"/>
      <c r="K184" s="3"/>
    </row>
    <row r="185" spans="1:11" ht="13.5" thickBot="1" x14ac:dyDescent="0.25">
      <c r="A185" s="8"/>
      <c r="B185" s="8"/>
      <c r="C185" s="8"/>
      <c r="D185" s="8"/>
      <c r="E185" s="9"/>
      <c r="F185" s="8"/>
      <c r="G185" s="9"/>
      <c r="H185" s="9"/>
      <c r="I185" s="8"/>
      <c r="J185" s="8"/>
      <c r="K185" s="3"/>
    </row>
    <row r="186" spans="1:11" ht="13.5" thickBot="1" x14ac:dyDescent="0.25">
      <c r="A186" s="8"/>
      <c r="B186" s="8"/>
      <c r="C186" s="8"/>
      <c r="D186" s="8"/>
      <c r="E186" s="9"/>
      <c r="F186" s="8"/>
      <c r="G186" s="9"/>
      <c r="H186" s="9"/>
      <c r="I186" s="8"/>
      <c r="J186" s="8"/>
      <c r="K186" s="3"/>
    </row>
    <row r="187" spans="1:11" ht="13.5" thickBot="1" x14ac:dyDescent="0.25">
      <c r="A187" s="8"/>
      <c r="B187" s="8"/>
      <c r="C187" s="8"/>
      <c r="D187" s="8"/>
      <c r="E187" s="9"/>
      <c r="F187" s="8"/>
      <c r="G187" s="9"/>
      <c r="H187" s="9"/>
      <c r="I187" s="8"/>
      <c r="J187" s="8"/>
      <c r="K187" s="3"/>
    </row>
    <row r="188" spans="1:11" ht="13.5" thickBot="1" x14ac:dyDescent="0.25">
      <c r="A188" s="8"/>
      <c r="B188" s="8"/>
      <c r="C188" s="8"/>
      <c r="D188" s="8"/>
      <c r="E188" s="9"/>
      <c r="F188" s="8"/>
      <c r="G188" s="9"/>
      <c r="H188" s="9"/>
      <c r="I188" s="8"/>
      <c r="J188" s="8"/>
      <c r="K188" s="3"/>
    </row>
    <row r="189" spans="1:11" ht="13.5" thickBot="1" x14ac:dyDescent="0.25">
      <c r="A189" s="8"/>
      <c r="B189" s="8"/>
      <c r="C189" s="8"/>
      <c r="D189" s="8"/>
      <c r="E189" s="9"/>
      <c r="F189" s="8"/>
      <c r="G189" s="9"/>
      <c r="H189" s="9"/>
      <c r="I189" s="8"/>
      <c r="J189" s="8"/>
      <c r="K189" s="3"/>
    </row>
    <row r="190" spans="1:11" ht="13.5" thickBot="1" x14ac:dyDescent="0.25">
      <c r="A190" s="8"/>
      <c r="B190" s="8"/>
      <c r="C190" s="8"/>
      <c r="D190" s="8"/>
      <c r="E190" s="9"/>
      <c r="F190" s="8"/>
      <c r="G190" s="9"/>
      <c r="H190" s="9"/>
      <c r="I190" s="8"/>
      <c r="J190" s="8"/>
      <c r="K190" s="3"/>
    </row>
    <row r="191" spans="1:11" ht="13.5" thickBot="1" x14ac:dyDescent="0.25">
      <c r="A191" s="8"/>
      <c r="B191" s="8"/>
      <c r="C191" s="8"/>
      <c r="D191" s="8"/>
      <c r="E191" s="9"/>
      <c r="F191" s="8"/>
      <c r="G191" s="9"/>
      <c r="H191" s="9"/>
      <c r="I191" s="8"/>
      <c r="J191" s="8"/>
      <c r="K191" s="3"/>
    </row>
    <row r="192" spans="1:11" ht="13.5" thickBot="1" x14ac:dyDescent="0.25">
      <c r="A192" s="8"/>
      <c r="B192" s="8"/>
      <c r="C192" s="8"/>
      <c r="D192" s="8"/>
      <c r="E192" s="9"/>
      <c r="F192" s="8"/>
      <c r="G192" s="9"/>
      <c r="H192" s="9"/>
      <c r="I192" s="8"/>
      <c r="J192" s="8"/>
      <c r="K192" s="3"/>
    </row>
    <row r="193" spans="1:11" ht="13.5" thickBot="1" x14ac:dyDescent="0.25">
      <c r="A193" s="8"/>
      <c r="B193" s="8"/>
      <c r="C193" s="8"/>
      <c r="D193" s="8"/>
      <c r="E193" s="9"/>
      <c r="F193" s="8"/>
      <c r="G193" s="9"/>
      <c r="H193" s="9"/>
      <c r="I193" s="8"/>
      <c r="J193" s="8"/>
      <c r="K193" s="3"/>
    </row>
    <row r="194" spans="1:11" ht="13.5" thickBot="1" x14ac:dyDescent="0.25">
      <c r="A194" s="8"/>
      <c r="B194" s="8"/>
      <c r="C194" s="8"/>
      <c r="D194" s="8"/>
      <c r="E194" s="9"/>
      <c r="F194" s="8"/>
      <c r="G194" s="9"/>
      <c r="H194" s="9"/>
      <c r="I194" s="8"/>
      <c r="J194" s="8"/>
      <c r="K194" s="3"/>
    </row>
    <row r="195" spans="1:11" ht="13.5" thickBot="1" x14ac:dyDescent="0.25">
      <c r="A195" s="8"/>
      <c r="B195" s="8"/>
      <c r="C195" s="8"/>
      <c r="D195" s="8"/>
      <c r="E195" s="9"/>
      <c r="F195" s="8"/>
      <c r="G195" s="9"/>
      <c r="H195" s="9"/>
      <c r="I195" s="8"/>
      <c r="J195" s="8"/>
      <c r="K195" s="3"/>
    </row>
    <row r="196" spans="1:11" ht="13.5" thickBot="1" x14ac:dyDescent="0.25">
      <c r="A196" s="8"/>
      <c r="B196" s="8"/>
      <c r="C196" s="8"/>
      <c r="D196" s="8"/>
      <c r="E196" s="9"/>
      <c r="F196" s="8"/>
      <c r="G196" s="9"/>
      <c r="H196" s="9"/>
      <c r="I196" s="8"/>
      <c r="J196" s="8"/>
      <c r="K196" s="3"/>
    </row>
    <row r="197" spans="1:11" ht="13.5" thickBot="1" x14ac:dyDescent="0.25">
      <c r="A197" s="8"/>
      <c r="B197" s="8"/>
      <c r="C197" s="8"/>
      <c r="D197" s="8"/>
      <c r="E197" s="9"/>
      <c r="F197" s="8"/>
      <c r="G197" s="9"/>
      <c r="H197" s="9"/>
      <c r="I197" s="8"/>
      <c r="J197" s="8"/>
      <c r="K197" s="3"/>
    </row>
    <row r="198" spans="1:11" ht="13.5" thickBot="1" x14ac:dyDescent="0.25">
      <c r="A198" s="8"/>
      <c r="B198" s="8"/>
      <c r="C198" s="8"/>
      <c r="D198" s="8"/>
      <c r="E198" s="9"/>
      <c r="F198" s="10"/>
      <c r="G198" s="9"/>
      <c r="H198" s="9"/>
      <c r="I198" s="8"/>
      <c r="J198" s="8"/>
      <c r="K198" s="3"/>
    </row>
    <row r="199" spans="1:11" ht="13.5" thickBot="1" x14ac:dyDescent="0.25">
      <c r="A199" s="8"/>
      <c r="B199" s="8"/>
      <c r="C199" s="8"/>
      <c r="D199" s="8"/>
      <c r="E199" s="9"/>
      <c r="F199" s="10"/>
      <c r="G199" s="9"/>
      <c r="H199" s="9"/>
      <c r="I199" s="8"/>
      <c r="J199" s="8"/>
      <c r="K199" s="3"/>
    </row>
    <row r="200" spans="1:11" ht="13.5" thickBot="1" x14ac:dyDescent="0.25">
      <c r="A200" s="8"/>
      <c r="B200" s="8"/>
      <c r="C200" s="8"/>
      <c r="D200" s="8"/>
      <c r="E200" s="9"/>
      <c r="F200" s="8"/>
      <c r="G200" s="9"/>
      <c r="H200" s="9"/>
      <c r="I200" s="8"/>
      <c r="J200" s="8"/>
      <c r="K200" s="3"/>
    </row>
    <row r="201" spans="1:11" ht="13.5" thickBot="1" x14ac:dyDescent="0.25">
      <c r="A201" s="8"/>
      <c r="B201" s="8"/>
      <c r="C201" s="8"/>
      <c r="D201" s="8"/>
      <c r="E201" s="9"/>
      <c r="F201" s="8"/>
      <c r="G201" s="9"/>
      <c r="H201" s="9"/>
      <c r="I201" s="8"/>
      <c r="J201" s="8"/>
      <c r="K201" s="3"/>
    </row>
    <row r="202" spans="1:11" ht="13.5" thickBot="1" x14ac:dyDescent="0.25">
      <c r="A202" s="8"/>
      <c r="B202" s="8"/>
      <c r="C202" s="8"/>
      <c r="D202" s="8"/>
      <c r="E202" s="9"/>
      <c r="F202" s="8"/>
      <c r="G202" s="9"/>
      <c r="H202" s="9"/>
      <c r="I202" s="8"/>
      <c r="J202" s="8"/>
      <c r="K202" s="3"/>
    </row>
    <row r="203" spans="1:11" ht="13.5" thickBot="1" x14ac:dyDescent="0.25">
      <c r="A203" s="8"/>
      <c r="B203" s="8"/>
      <c r="C203" s="8"/>
      <c r="D203" s="8"/>
      <c r="E203" s="9"/>
      <c r="F203" s="8"/>
      <c r="G203" s="9"/>
      <c r="H203" s="9"/>
      <c r="I203" s="8"/>
      <c r="J203" s="8"/>
      <c r="K203" s="3"/>
    </row>
    <row r="204" spans="1:11" ht="13.5" thickBot="1" x14ac:dyDescent="0.25">
      <c r="A204" s="8"/>
      <c r="B204" s="8"/>
      <c r="C204" s="8"/>
      <c r="D204" s="8"/>
      <c r="E204" s="9"/>
      <c r="F204" s="8"/>
      <c r="G204" s="9"/>
      <c r="H204" s="9"/>
      <c r="I204" s="8"/>
      <c r="J204" s="8"/>
      <c r="K204" s="3"/>
    </row>
    <row r="205" spans="1:11" ht="13.5" thickBot="1" x14ac:dyDescent="0.25">
      <c r="A205" s="8"/>
      <c r="B205" s="8"/>
      <c r="C205" s="8"/>
      <c r="D205" s="8"/>
      <c r="E205" s="9"/>
      <c r="F205" s="8"/>
      <c r="G205" s="9"/>
      <c r="H205" s="9"/>
      <c r="I205" s="8"/>
      <c r="J205" s="8"/>
      <c r="K205" s="3"/>
    </row>
    <row r="206" spans="1:11" ht="13.5" thickBot="1" x14ac:dyDescent="0.25">
      <c r="A206" s="8"/>
      <c r="B206" s="8"/>
      <c r="C206" s="8"/>
      <c r="D206" s="8"/>
      <c r="E206" s="9"/>
      <c r="F206" s="8"/>
      <c r="G206" s="9"/>
      <c r="H206" s="9"/>
      <c r="I206" s="8"/>
      <c r="J206" s="8"/>
      <c r="K206" s="3"/>
    </row>
    <row r="207" spans="1:11" ht="13.5" thickBot="1" x14ac:dyDescent="0.25">
      <c r="A207" s="8"/>
      <c r="B207" s="8"/>
      <c r="C207" s="8"/>
      <c r="D207" s="8"/>
      <c r="E207" s="9"/>
      <c r="F207" s="8"/>
      <c r="G207" s="9"/>
      <c r="H207" s="9"/>
      <c r="I207" s="8"/>
      <c r="J207" s="8"/>
      <c r="K207" s="3"/>
    </row>
    <row r="208" spans="1:11" ht="13.5" thickBot="1" x14ac:dyDescent="0.25">
      <c r="A208" s="8"/>
      <c r="B208" s="8"/>
      <c r="C208" s="8"/>
      <c r="D208" s="8"/>
      <c r="E208" s="9"/>
      <c r="F208" s="8"/>
      <c r="G208" s="9"/>
      <c r="H208" s="9"/>
      <c r="I208" s="8"/>
      <c r="J208" s="8"/>
      <c r="K208" s="3"/>
    </row>
    <row r="209" spans="1:11" ht="13.5" thickBot="1" x14ac:dyDescent="0.25">
      <c r="A209" s="8"/>
      <c r="B209" s="8"/>
      <c r="C209" s="8"/>
      <c r="D209" s="8"/>
      <c r="E209" s="9"/>
      <c r="F209" s="8"/>
      <c r="G209" s="9"/>
      <c r="H209" s="9"/>
      <c r="I209" s="8"/>
      <c r="J209" s="8"/>
      <c r="K209" s="3"/>
    </row>
    <row r="210" spans="1:11" ht="13.5" thickBot="1" x14ac:dyDescent="0.25">
      <c r="A210" s="8"/>
      <c r="B210" s="8"/>
      <c r="C210" s="8"/>
      <c r="D210" s="8"/>
      <c r="E210" s="9"/>
      <c r="F210" s="8"/>
      <c r="G210" s="9"/>
      <c r="H210" s="9"/>
      <c r="I210" s="8"/>
      <c r="J210" s="8"/>
      <c r="K210" s="3"/>
    </row>
    <row r="211" spans="1:11" ht="13.5" thickBot="1" x14ac:dyDescent="0.25">
      <c r="A211" s="8"/>
      <c r="B211" s="8"/>
      <c r="C211" s="8"/>
      <c r="D211" s="8"/>
      <c r="E211" s="9"/>
      <c r="F211" s="8"/>
      <c r="G211" s="9"/>
      <c r="H211" s="9"/>
      <c r="I211" s="8"/>
      <c r="J211" s="8"/>
      <c r="K211" s="3"/>
    </row>
    <row r="212" spans="1:11" ht="13.5" thickBot="1" x14ac:dyDescent="0.25">
      <c r="A212" s="8"/>
      <c r="B212" s="8"/>
      <c r="C212" s="8"/>
      <c r="D212" s="8"/>
      <c r="E212" s="9"/>
      <c r="F212" s="8"/>
      <c r="G212" s="9"/>
      <c r="H212" s="9"/>
      <c r="I212" s="8"/>
      <c r="J212" s="8"/>
      <c r="K212" s="3"/>
    </row>
    <row r="213" spans="1:11" ht="13.5" thickBot="1" x14ac:dyDescent="0.25">
      <c r="A213" s="8"/>
      <c r="B213" s="8"/>
      <c r="C213" s="8"/>
      <c r="D213" s="8"/>
      <c r="E213" s="9"/>
      <c r="F213" s="8"/>
      <c r="G213" s="9"/>
      <c r="H213" s="9"/>
      <c r="I213" s="8"/>
      <c r="J213" s="8"/>
      <c r="K213" s="3"/>
    </row>
    <row r="214" spans="1:11" ht="13.5" thickBot="1" x14ac:dyDescent="0.25">
      <c r="A214" s="8"/>
      <c r="B214" s="8"/>
      <c r="C214" s="8"/>
      <c r="D214" s="8"/>
      <c r="E214" s="9"/>
      <c r="F214" s="8"/>
      <c r="G214" s="9"/>
      <c r="H214" s="9"/>
      <c r="I214" s="8"/>
      <c r="J214" s="8"/>
      <c r="K214" s="3"/>
    </row>
    <row r="215" spans="1:11" ht="13.5" thickBot="1" x14ac:dyDescent="0.25">
      <c r="A215" s="8"/>
      <c r="B215" s="8"/>
      <c r="C215" s="8"/>
      <c r="D215" s="8"/>
      <c r="E215" s="9"/>
      <c r="F215" s="8"/>
      <c r="G215" s="9"/>
      <c r="H215" s="9"/>
      <c r="I215" s="8"/>
      <c r="J215" s="8"/>
      <c r="K215" s="3"/>
    </row>
    <row r="216" spans="1:11" ht="13.5" thickBot="1" x14ac:dyDescent="0.25">
      <c r="A216" s="8"/>
      <c r="B216" s="8"/>
      <c r="C216" s="8"/>
      <c r="D216" s="8"/>
      <c r="E216" s="9"/>
      <c r="F216" s="8"/>
      <c r="G216" s="9"/>
      <c r="H216" s="9"/>
      <c r="I216" s="8"/>
      <c r="J216" s="8"/>
      <c r="K216" s="3"/>
    </row>
    <row r="217" spans="1:11" ht="13.5" thickBot="1" x14ac:dyDescent="0.25">
      <c r="A217" s="8"/>
      <c r="B217" s="8"/>
      <c r="C217" s="8"/>
      <c r="D217" s="8"/>
      <c r="E217" s="9"/>
      <c r="F217" s="8"/>
      <c r="G217" s="9"/>
      <c r="H217" s="9"/>
      <c r="I217" s="8"/>
      <c r="J217" s="8"/>
      <c r="K217" s="3"/>
    </row>
    <row r="218" spans="1:11" ht="13.5" thickBot="1" x14ac:dyDescent="0.25">
      <c r="A218" s="8"/>
      <c r="B218" s="8"/>
      <c r="C218" s="8"/>
      <c r="D218" s="8"/>
      <c r="E218" s="9"/>
      <c r="F218" s="8"/>
      <c r="G218" s="9"/>
      <c r="H218" s="9"/>
      <c r="I218" s="8"/>
      <c r="J218" s="8"/>
      <c r="K218" s="3"/>
    </row>
    <row r="219" spans="1:11" ht="13.5" thickBot="1" x14ac:dyDescent="0.25">
      <c r="A219" s="8"/>
      <c r="B219" s="8"/>
      <c r="C219" s="8"/>
      <c r="D219" s="8"/>
      <c r="E219" s="9"/>
      <c r="F219" s="8"/>
      <c r="G219" s="9"/>
      <c r="H219" s="9"/>
      <c r="I219" s="8"/>
      <c r="J219" s="8"/>
      <c r="K219" s="3"/>
    </row>
    <row r="220" spans="1:11" ht="13.5" thickBot="1" x14ac:dyDescent="0.25">
      <c r="A220" s="8"/>
      <c r="B220" s="8"/>
      <c r="C220" s="8"/>
      <c r="D220" s="8"/>
      <c r="E220" s="9"/>
      <c r="F220" s="8"/>
      <c r="G220" s="9"/>
      <c r="H220" s="9"/>
      <c r="I220" s="8"/>
      <c r="J220" s="8"/>
      <c r="K220" s="3"/>
    </row>
    <row r="221" spans="1:11" ht="13.5" thickBot="1" x14ac:dyDescent="0.25">
      <c r="A221" s="8"/>
      <c r="B221" s="8"/>
      <c r="C221" s="8"/>
      <c r="D221" s="8"/>
      <c r="E221" s="9"/>
      <c r="F221" s="8"/>
      <c r="G221" s="9"/>
      <c r="H221" s="9"/>
      <c r="I221" s="8"/>
      <c r="J221" s="8"/>
      <c r="K221" s="3"/>
    </row>
    <row r="222" spans="1:11" ht="13.5" thickBot="1" x14ac:dyDescent="0.25">
      <c r="A222" s="8"/>
      <c r="B222" s="8"/>
      <c r="C222" s="8"/>
      <c r="D222" s="8"/>
      <c r="E222" s="9"/>
      <c r="F222" s="8"/>
      <c r="G222" s="9"/>
      <c r="H222" s="9"/>
      <c r="I222" s="8"/>
      <c r="J222" s="8"/>
      <c r="K222" s="3"/>
    </row>
    <row r="223" spans="1:11" ht="13.5" thickBot="1" x14ac:dyDescent="0.25">
      <c r="A223" s="8"/>
      <c r="B223" s="8"/>
      <c r="C223" s="8"/>
      <c r="D223" s="8"/>
      <c r="E223" s="9"/>
      <c r="F223" s="8"/>
      <c r="G223" s="9"/>
      <c r="H223" s="9"/>
      <c r="I223" s="8"/>
      <c r="J223" s="8"/>
      <c r="K223" s="3"/>
    </row>
    <row r="224" spans="1:11" ht="13.5" thickBot="1" x14ac:dyDescent="0.25">
      <c r="A224" s="8"/>
      <c r="B224" s="8"/>
      <c r="C224" s="8"/>
      <c r="D224" s="8"/>
      <c r="E224" s="9"/>
      <c r="F224" s="8"/>
      <c r="G224" s="9"/>
      <c r="H224" s="9"/>
      <c r="I224" s="8"/>
      <c r="J224" s="8"/>
      <c r="K224" s="3"/>
    </row>
    <row r="225" spans="1:11" ht="13.5" thickBot="1" x14ac:dyDescent="0.25">
      <c r="A225" s="8"/>
      <c r="B225" s="8"/>
      <c r="C225" s="8"/>
      <c r="D225" s="8"/>
      <c r="E225" s="9"/>
      <c r="F225" s="8"/>
      <c r="G225" s="9"/>
      <c r="H225" s="9"/>
      <c r="I225" s="8"/>
      <c r="J225" s="8"/>
      <c r="K225" s="3"/>
    </row>
    <row r="226" spans="1:11" ht="13.5" thickBot="1" x14ac:dyDescent="0.25">
      <c r="A226" s="8"/>
      <c r="B226" s="8"/>
      <c r="C226" s="8"/>
      <c r="D226" s="8"/>
      <c r="E226" s="9"/>
      <c r="F226" s="8"/>
      <c r="G226" s="9"/>
      <c r="H226" s="9"/>
      <c r="I226" s="8"/>
      <c r="J226" s="8"/>
      <c r="K226" s="3"/>
    </row>
    <row r="227" spans="1:11" ht="13.5" thickBot="1" x14ac:dyDescent="0.25">
      <c r="A227" s="8"/>
      <c r="B227" s="8"/>
      <c r="C227" s="8"/>
      <c r="D227" s="8"/>
      <c r="E227" s="9"/>
      <c r="F227" s="8"/>
      <c r="G227" s="9"/>
      <c r="H227" s="9"/>
      <c r="I227" s="8"/>
      <c r="J227" s="8"/>
      <c r="K227" s="3"/>
    </row>
    <row r="228" spans="1:11" ht="13.5" thickBot="1" x14ac:dyDescent="0.25">
      <c r="A228" s="8"/>
      <c r="B228" s="8"/>
      <c r="C228" s="8"/>
      <c r="D228" s="8"/>
      <c r="E228" s="9"/>
      <c r="F228" s="8"/>
      <c r="G228" s="9"/>
      <c r="H228" s="9"/>
      <c r="I228" s="8"/>
      <c r="J228" s="8"/>
      <c r="K228" s="3"/>
    </row>
    <row r="229" spans="1:11" ht="13.5" thickBot="1" x14ac:dyDescent="0.25">
      <c r="A229" s="8"/>
      <c r="B229" s="8"/>
      <c r="C229" s="8"/>
      <c r="D229" s="8"/>
      <c r="E229" s="9"/>
      <c r="F229" s="8"/>
      <c r="G229" s="9"/>
      <c r="H229" s="9"/>
      <c r="I229" s="8"/>
      <c r="J229" s="8"/>
      <c r="K229" s="3"/>
    </row>
    <row r="230" spans="1:11" ht="13.5" thickBot="1" x14ac:dyDescent="0.25">
      <c r="A230" s="8"/>
      <c r="B230" s="8"/>
      <c r="C230" s="8"/>
      <c r="D230" s="8"/>
      <c r="E230" s="9"/>
      <c r="F230" s="8"/>
      <c r="G230" s="9"/>
      <c r="H230" s="9"/>
      <c r="I230" s="8"/>
      <c r="J230" s="8"/>
      <c r="K230" s="3"/>
    </row>
    <row r="231" spans="1:11" ht="13.5" thickBot="1" x14ac:dyDescent="0.25">
      <c r="A231" s="8"/>
      <c r="B231" s="8"/>
      <c r="C231" s="8"/>
      <c r="D231" s="8"/>
      <c r="E231" s="9"/>
      <c r="F231" s="8"/>
      <c r="G231" s="9"/>
      <c r="H231" s="9"/>
      <c r="I231" s="8"/>
      <c r="J231" s="8"/>
      <c r="K231" s="3"/>
    </row>
    <row r="232" spans="1:11" ht="13.5" thickBot="1" x14ac:dyDescent="0.25">
      <c r="A232" s="8"/>
      <c r="B232" s="8"/>
      <c r="C232" s="8"/>
      <c r="D232" s="8"/>
      <c r="E232" s="9"/>
      <c r="F232" s="8"/>
      <c r="G232" s="9"/>
      <c r="H232" s="9"/>
      <c r="I232" s="8"/>
      <c r="J232" s="8"/>
      <c r="K232" s="3"/>
    </row>
    <row r="233" spans="1:11" ht="13.5" thickBot="1" x14ac:dyDescent="0.25">
      <c r="A233" s="8"/>
      <c r="B233" s="8"/>
      <c r="C233" s="8"/>
      <c r="D233" s="8"/>
      <c r="E233" s="9"/>
      <c r="F233" s="8"/>
      <c r="G233" s="9"/>
      <c r="H233" s="9"/>
      <c r="I233" s="8"/>
      <c r="J233" s="8"/>
      <c r="K233" s="3"/>
    </row>
    <row r="234" spans="1:11" ht="13.5" thickBot="1" x14ac:dyDescent="0.25">
      <c r="A234" s="8"/>
      <c r="B234" s="8"/>
      <c r="C234" s="8"/>
      <c r="D234" s="8"/>
      <c r="E234" s="9"/>
      <c r="F234" s="8"/>
      <c r="G234" s="9"/>
      <c r="H234" s="9"/>
      <c r="I234" s="8"/>
      <c r="J234" s="8"/>
      <c r="K234" s="3"/>
    </row>
    <row r="235" spans="1:11" ht="13.5" thickBot="1" x14ac:dyDescent="0.25">
      <c r="A235" s="8"/>
      <c r="B235" s="8"/>
      <c r="C235" s="8"/>
      <c r="D235" s="8"/>
      <c r="E235" s="9"/>
      <c r="F235" s="8"/>
      <c r="G235" s="9"/>
      <c r="H235" s="9"/>
      <c r="I235" s="8"/>
      <c r="J235" s="8"/>
      <c r="K235" s="3"/>
    </row>
    <row r="236" spans="1:11" ht="13.5" thickBot="1" x14ac:dyDescent="0.25">
      <c r="A236" s="8"/>
      <c r="B236" s="8"/>
      <c r="C236" s="8"/>
      <c r="D236" s="8"/>
      <c r="E236" s="9"/>
      <c r="F236" s="8"/>
      <c r="G236" s="9"/>
      <c r="H236" s="9"/>
      <c r="I236" s="8"/>
      <c r="J236" s="8"/>
      <c r="K236" s="3"/>
    </row>
    <row r="237" spans="1:11" ht="13.5" thickBot="1" x14ac:dyDescent="0.25">
      <c r="A237" s="8"/>
      <c r="B237" s="8"/>
      <c r="C237" s="8"/>
      <c r="D237" s="8"/>
      <c r="E237" s="9"/>
      <c r="F237" s="8"/>
      <c r="G237" s="9"/>
      <c r="H237" s="9"/>
      <c r="I237" s="8"/>
      <c r="J237" s="8"/>
      <c r="K237" s="3"/>
    </row>
    <row r="238" spans="1:11" ht="13.5" thickBot="1" x14ac:dyDescent="0.25">
      <c r="A238" s="8"/>
      <c r="B238" s="8"/>
      <c r="C238" s="8"/>
      <c r="D238" s="8"/>
      <c r="E238" s="9"/>
      <c r="F238" s="8"/>
      <c r="G238" s="9"/>
      <c r="H238" s="9"/>
      <c r="I238" s="8"/>
      <c r="J238" s="8"/>
      <c r="K238" s="3"/>
    </row>
    <row r="239" spans="1:11" ht="13.5" thickBot="1" x14ac:dyDescent="0.25">
      <c r="A239" s="8"/>
      <c r="B239" s="8"/>
      <c r="C239" s="8"/>
      <c r="D239" s="8"/>
      <c r="E239" s="9"/>
      <c r="F239" s="8"/>
      <c r="G239" s="9"/>
      <c r="H239" s="9"/>
      <c r="I239" s="8"/>
      <c r="J239" s="8"/>
      <c r="K239" s="3"/>
    </row>
    <row r="240" spans="1:11" ht="13.5" thickBot="1" x14ac:dyDescent="0.25">
      <c r="A240" s="8"/>
      <c r="B240" s="8"/>
      <c r="C240" s="8"/>
      <c r="D240" s="8"/>
      <c r="E240" s="9"/>
      <c r="F240" s="8"/>
      <c r="G240" s="9"/>
      <c r="H240" s="9"/>
      <c r="I240" s="8"/>
      <c r="J240" s="8"/>
      <c r="K240" s="3"/>
    </row>
    <row r="241" spans="1:11" ht="13.5" thickBot="1" x14ac:dyDescent="0.25">
      <c r="A241" s="8"/>
      <c r="B241" s="8"/>
      <c r="C241" s="8"/>
      <c r="D241" s="8"/>
      <c r="E241" s="9"/>
      <c r="F241" s="8"/>
      <c r="G241" s="9"/>
      <c r="H241" s="9"/>
      <c r="I241" s="8"/>
      <c r="J241" s="8"/>
      <c r="K241" s="3"/>
    </row>
    <row r="242" spans="1:11" ht="13.5" thickBot="1" x14ac:dyDescent="0.25">
      <c r="A242" s="8"/>
      <c r="B242" s="8"/>
      <c r="C242" s="8"/>
      <c r="D242" s="8"/>
      <c r="E242" s="9"/>
      <c r="F242" s="8"/>
      <c r="G242" s="9"/>
      <c r="H242" s="9"/>
      <c r="I242" s="8"/>
      <c r="J242" s="8"/>
      <c r="K242" s="3"/>
    </row>
    <row r="243" spans="1:11" ht="13.5" thickBot="1" x14ac:dyDescent="0.25">
      <c r="A243" s="8"/>
      <c r="B243" s="8"/>
      <c r="C243" s="8"/>
      <c r="D243" s="8"/>
      <c r="E243" s="9"/>
      <c r="F243" s="8"/>
      <c r="G243" s="9"/>
      <c r="H243" s="9"/>
      <c r="I243" s="8"/>
      <c r="J243" s="8"/>
      <c r="K243" s="3"/>
    </row>
    <row r="244" spans="1:11" ht="13.5" thickBot="1" x14ac:dyDescent="0.25">
      <c r="A244" s="8"/>
      <c r="B244" s="8"/>
      <c r="C244" s="8"/>
      <c r="D244" s="8"/>
      <c r="E244" s="9"/>
      <c r="F244" s="8"/>
      <c r="G244" s="9"/>
      <c r="H244" s="9"/>
      <c r="I244" s="8"/>
      <c r="J244" s="8"/>
      <c r="K244" s="3"/>
    </row>
    <row r="245" spans="1:11" ht="13.5" thickBot="1" x14ac:dyDescent="0.25">
      <c r="A245" s="8"/>
      <c r="B245" s="8"/>
      <c r="C245" s="8"/>
      <c r="D245" s="8"/>
      <c r="E245" s="9"/>
      <c r="F245" s="8"/>
      <c r="G245" s="9"/>
      <c r="H245" s="9"/>
      <c r="I245" s="8"/>
      <c r="J245" s="8"/>
      <c r="K245" s="3"/>
    </row>
    <row r="246" spans="1:11" ht="13.5" thickBot="1" x14ac:dyDescent="0.25">
      <c r="A246" s="8"/>
      <c r="B246" s="8"/>
      <c r="C246" s="8"/>
      <c r="D246" s="8"/>
      <c r="E246" s="9"/>
      <c r="F246" s="8"/>
      <c r="G246" s="9"/>
      <c r="H246" s="9"/>
      <c r="I246" s="8"/>
      <c r="J246" s="8"/>
      <c r="K246" s="3"/>
    </row>
    <row r="247" spans="1:11" ht="13.5" thickBot="1" x14ac:dyDescent="0.25">
      <c r="A247" s="8"/>
      <c r="B247" s="8"/>
      <c r="C247" s="8"/>
      <c r="D247" s="8"/>
      <c r="E247" s="9"/>
      <c r="F247" s="8"/>
      <c r="G247" s="9"/>
      <c r="H247" s="9"/>
      <c r="I247" s="8"/>
      <c r="J247" s="8"/>
      <c r="K247" s="3"/>
    </row>
    <row r="248" spans="1:11" ht="13.5" thickBot="1" x14ac:dyDescent="0.25">
      <c r="A248" s="8"/>
      <c r="B248" s="8"/>
      <c r="C248" s="8"/>
      <c r="D248" s="8"/>
      <c r="E248" s="9"/>
      <c r="F248" s="8"/>
      <c r="G248" s="9"/>
      <c r="H248" s="9"/>
      <c r="I248" s="8"/>
      <c r="J248" s="8"/>
      <c r="K248" s="3"/>
    </row>
    <row r="249" spans="1:11" ht="13.5" thickBot="1" x14ac:dyDescent="0.25">
      <c r="A249" s="8"/>
      <c r="B249" s="8"/>
      <c r="C249" s="8"/>
      <c r="D249" s="8"/>
      <c r="E249" s="9"/>
      <c r="F249" s="8"/>
      <c r="G249" s="9"/>
      <c r="H249" s="9"/>
      <c r="I249" s="8"/>
      <c r="J249" s="8"/>
      <c r="K249" s="3"/>
    </row>
    <row r="250" spans="1:11" ht="13.5" thickBot="1" x14ac:dyDescent="0.25">
      <c r="A250" s="8"/>
      <c r="B250" s="8"/>
      <c r="C250" s="8"/>
      <c r="D250" s="8"/>
      <c r="E250" s="9"/>
      <c r="F250" s="8"/>
      <c r="G250" s="9"/>
      <c r="H250" s="9"/>
      <c r="I250" s="8"/>
      <c r="J250" s="8"/>
      <c r="K250" s="3"/>
    </row>
    <row r="251" spans="1:11" ht="13.5" thickBot="1" x14ac:dyDescent="0.25">
      <c r="A251" s="8"/>
      <c r="B251" s="8"/>
      <c r="C251" s="8"/>
      <c r="D251" s="8"/>
      <c r="E251" s="9"/>
      <c r="F251" s="8"/>
      <c r="G251" s="9"/>
      <c r="H251" s="9"/>
      <c r="I251" s="8"/>
      <c r="J251" s="8"/>
      <c r="K251" s="3"/>
    </row>
    <row r="252" spans="1:11" ht="13.5" thickBot="1" x14ac:dyDescent="0.25">
      <c r="A252" s="8"/>
      <c r="B252" s="8"/>
      <c r="C252" s="8"/>
      <c r="D252" s="8"/>
      <c r="E252" s="9"/>
      <c r="F252" s="8"/>
      <c r="G252" s="9"/>
      <c r="H252" s="9"/>
      <c r="I252" s="8"/>
      <c r="J252" s="8"/>
      <c r="K252" s="3"/>
    </row>
    <row r="253" spans="1:11" ht="13.5" thickBot="1" x14ac:dyDescent="0.25">
      <c r="A253" s="8"/>
      <c r="B253" s="8"/>
      <c r="C253" s="8"/>
      <c r="D253" s="8"/>
      <c r="E253" s="9"/>
      <c r="F253" s="8"/>
      <c r="G253" s="9"/>
      <c r="H253" s="9"/>
      <c r="I253" s="8"/>
      <c r="J253" s="8"/>
      <c r="K253" s="3"/>
    </row>
    <row r="254" spans="1:11" ht="13.5" thickBot="1" x14ac:dyDescent="0.25">
      <c r="A254" s="8"/>
      <c r="B254" s="8"/>
      <c r="C254" s="8"/>
      <c r="D254" s="8"/>
      <c r="E254" s="9"/>
      <c r="F254" s="8"/>
      <c r="G254" s="9"/>
      <c r="H254" s="9"/>
      <c r="I254" s="8"/>
      <c r="J254" s="8"/>
      <c r="K254" s="3"/>
    </row>
    <row r="255" spans="1:11" ht="13.5" thickBot="1" x14ac:dyDescent="0.25">
      <c r="A255" s="8"/>
      <c r="B255" s="8"/>
      <c r="C255" s="8"/>
      <c r="D255" s="8"/>
      <c r="E255" s="9"/>
      <c r="F255" s="8"/>
      <c r="G255" s="9"/>
      <c r="H255" s="9"/>
      <c r="I255" s="8"/>
      <c r="J255" s="8"/>
      <c r="K255" s="3"/>
    </row>
    <row r="256" spans="1:11" ht="13.5" thickBot="1" x14ac:dyDescent="0.25">
      <c r="A256" s="8"/>
      <c r="B256" s="8"/>
      <c r="C256" s="8"/>
      <c r="D256" s="8"/>
      <c r="E256" s="9"/>
      <c r="F256" s="8"/>
      <c r="G256" s="9"/>
      <c r="H256" s="9"/>
      <c r="I256" s="8"/>
      <c r="J256" s="8"/>
      <c r="K256" s="3"/>
    </row>
    <row r="257" spans="1:11" ht="13.5" thickBot="1" x14ac:dyDescent="0.25">
      <c r="A257" s="8"/>
      <c r="B257" s="8"/>
      <c r="C257" s="8"/>
      <c r="D257" s="8"/>
      <c r="E257" s="9"/>
      <c r="F257" s="8"/>
      <c r="G257" s="9"/>
      <c r="H257" s="9"/>
      <c r="I257" s="8"/>
      <c r="J257" s="8"/>
      <c r="K257" s="3"/>
    </row>
    <row r="258" spans="1:11" ht="13.5" thickBot="1" x14ac:dyDescent="0.25">
      <c r="A258" s="8"/>
      <c r="B258" s="8"/>
      <c r="C258" s="8"/>
      <c r="D258" s="8"/>
      <c r="E258" s="9"/>
      <c r="F258" s="8"/>
      <c r="G258" s="9"/>
      <c r="H258" s="9"/>
      <c r="I258" s="8"/>
      <c r="J258" s="8"/>
      <c r="K258" s="3"/>
    </row>
    <row r="259" spans="1:11" ht="13.5" thickBot="1" x14ac:dyDescent="0.25">
      <c r="A259" s="8"/>
      <c r="B259" s="8"/>
      <c r="C259" s="8"/>
      <c r="D259" s="8"/>
      <c r="E259" s="9"/>
      <c r="F259" s="8"/>
      <c r="G259" s="9"/>
      <c r="H259" s="9"/>
      <c r="I259" s="8"/>
      <c r="J259" s="8"/>
      <c r="K259" s="3"/>
    </row>
    <row r="260" spans="1:11" ht="13.5" thickBot="1" x14ac:dyDescent="0.25">
      <c r="A260" s="8"/>
      <c r="B260" s="8"/>
      <c r="C260" s="8"/>
      <c r="D260" s="8"/>
      <c r="E260" s="9"/>
      <c r="F260" s="8"/>
      <c r="G260" s="9"/>
      <c r="H260" s="9"/>
      <c r="I260" s="8"/>
      <c r="J260" s="8"/>
      <c r="K260" s="3"/>
    </row>
    <row r="261" spans="1:11" ht="13.5" thickBot="1" x14ac:dyDescent="0.25">
      <c r="A261" s="8"/>
      <c r="B261" s="8"/>
      <c r="C261" s="8"/>
      <c r="D261" s="8"/>
      <c r="E261" s="9"/>
      <c r="F261" s="8"/>
      <c r="G261" s="9"/>
      <c r="H261" s="9"/>
      <c r="I261" s="8"/>
      <c r="J261" s="8"/>
      <c r="K261" s="3"/>
    </row>
    <row r="262" spans="1:11" ht="13.5" thickBot="1" x14ac:dyDescent="0.25">
      <c r="A262" s="8"/>
      <c r="B262" s="8"/>
      <c r="C262" s="8"/>
      <c r="D262" s="8"/>
      <c r="E262" s="9"/>
      <c r="F262" s="8"/>
      <c r="G262" s="9"/>
      <c r="H262" s="9"/>
      <c r="I262" s="8"/>
      <c r="J262" s="8"/>
      <c r="K262" s="3"/>
    </row>
    <row r="263" spans="1:11" ht="13.5" thickBot="1" x14ac:dyDescent="0.25">
      <c r="A263" s="8"/>
      <c r="B263" s="8"/>
      <c r="C263" s="8"/>
      <c r="D263" s="8"/>
      <c r="E263" s="9"/>
      <c r="F263" s="8"/>
      <c r="G263" s="9"/>
      <c r="H263" s="9"/>
      <c r="I263" s="8"/>
      <c r="J263" s="8"/>
      <c r="K263" s="3"/>
    </row>
    <row r="264" spans="1:11" ht="13.5" thickBot="1" x14ac:dyDescent="0.25">
      <c r="A264" s="8"/>
      <c r="B264" s="8"/>
      <c r="C264" s="8"/>
      <c r="D264" s="8"/>
      <c r="E264" s="9"/>
      <c r="F264" s="8"/>
      <c r="G264" s="9"/>
      <c r="H264" s="9"/>
      <c r="I264" s="8"/>
      <c r="J264" s="8"/>
      <c r="K264" s="3"/>
    </row>
    <row r="265" spans="1:11" ht="13.5" thickBot="1" x14ac:dyDescent="0.25">
      <c r="A265" s="8"/>
      <c r="B265" s="8"/>
      <c r="C265" s="8"/>
      <c r="D265" s="8"/>
      <c r="E265" s="9"/>
      <c r="F265" s="8"/>
      <c r="G265" s="9"/>
      <c r="H265" s="9"/>
      <c r="I265" s="8"/>
      <c r="J265" s="8"/>
      <c r="K265" s="3"/>
    </row>
    <row r="266" spans="1:11" ht="13.5" thickBot="1" x14ac:dyDescent="0.25">
      <c r="A266" s="8"/>
      <c r="B266" s="8"/>
      <c r="C266" s="8"/>
      <c r="D266" s="8"/>
      <c r="E266" s="9"/>
      <c r="F266" s="8"/>
      <c r="G266" s="9"/>
      <c r="H266" s="9"/>
      <c r="I266" s="8"/>
      <c r="J266" s="8"/>
      <c r="K266" s="3"/>
    </row>
    <row r="267" spans="1:11" ht="13.5" thickBot="1" x14ac:dyDescent="0.25">
      <c r="A267" s="8"/>
      <c r="B267" s="8"/>
      <c r="C267" s="8"/>
      <c r="D267" s="8"/>
      <c r="E267" s="9"/>
      <c r="F267" s="8"/>
      <c r="G267" s="9"/>
      <c r="H267" s="9"/>
      <c r="I267" s="8"/>
      <c r="J267" s="8"/>
      <c r="K267" s="3"/>
    </row>
    <row r="268" spans="1:11" ht="13.5" thickBot="1" x14ac:dyDescent="0.25">
      <c r="A268" s="8"/>
      <c r="B268" s="8"/>
      <c r="C268" s="8"/>
      <c r="D268" s="8"/>
      <c r="E268" s="9"/>
      <c r="F268" s="8"/>
      <c r="G268" s="9"/>
      <c r="H268" s="9"/>
      <c r="I268" s="8"/>
      <c r="J268" s="8"/>
      <c r="K268" s="3"/>
    </row>
    <row r="269" spans="1:11" ht="13.5" thickBot="1" x14ac:dyDescent="0.25">
      <c r="A269" s="8"/>
      <c r="B269" s="8"/>
      <c r="C269" s="8"/>
      <c r="D269" s="8"/>
      <c r="E269" s="9"/>
      <c r="F269" s="8"/>
      <c r="G269" s="9"/>
      <c r="H269" s="9"/>
      <c r="I269" s="8"/>
      <c r="J269" s="8"/>
      <c r="K269" s="3"/>
    </row>
    <row r="270" spans="1:11" ht="13.5" thickBot="1" x14ac:dyDescent="0.25">
      <c r="A270" s="8"/>
      <c r="B270" s="8"/>
      <c r="C270" s="8"/>
      <c r="D270" s="8"/>
      <c r="E270" s="9"/>
      <c r="F270" s="8"/>
      <c r="G270" s="9"/>
      <c r="H270" s="9"/>
      <c r="I270" s="8"/>
      <c r="J270" s="8"/>
      <c r="K270" s="3"/>
    </row>
    <row r="271" spans="1:11" ht="13.5" thickBot="1" x14ac:dyDescent="0.25">
      <c r="A271" s="8"/>
      <c r="B271" s="8"/>
      <c r="C271" s="8"/>
      <c r="D271" s="8"/>
      <c r="E271" s="9"/>
      <c r="F271" s="8"/>
      <c r="G271" s="9"/>
      <c r="H271" s="9"/>
      <c r="I271" s="8"/>
      <c r="J271" s="8"/>
      <c r="K271" s="3"/>
    </row>
    <row r="272" spans="1:11" ht="13.5" thickBot="1" x14ac:dyDescent="0.25">
      <c r="A272" s="8"/>
      <c r="B272" s="8"/>
      <c r="C272" s="8"/>
      <c r="D272" s="8"/>
      <c r="E272" s="9"/>
      <c r="F272" s="8"/>
      <c r="G272" s="9"/>
      <c r="H272" s="9"/>
      <c r="I272" s="8"/>
      <c r="J272" s="8"/>
      <c r="K272" s="3"/>
    </row>
    <row r="273" spans="1:11" ht="13.5" thickBot="1" x14ac:dyDescent="0.25">
      <c r="A273" s="8"/>
      <c r="B273" s="8"/>
      <c r="C273" s="8"/>
      <c r="D273" s="8"/>
      <c r="E273" s="9"/>
      <c r="F273" s="8"/>
      <c r="G273" s="9"/>
      <c r="H273" s="9"/>
      <c r="I273" s="8"/>
      <c r="J273" s="8"/>
      <c r="K273" s="3"/>
    </row>
    <row r="274" spans="1:11" ht="13.5" thickBot="1" x14ac:dyDescent="0.25">
      <c r="A274" s="8"/>
      <c r="B274" s="8"/>
      <c r="C274" s="8"/>
      <c r="D274" s="8"/>
      <c r="E274" s="9"/>
      <c r="F274" s="8"/>
      <c r="G274" s="9"/>
      <c r="H274" s="9"/>
      <c r="I274" s="8"/>
      <c r="J274" s="8"/>
      <c r="K274" s="3"/>
    </row>
    <row r="275" spans="1:11" ht="13.5" thickBot="1" x14ac:dyDescent="0.25">
      <c r="A275" s="8"/>
      <c r="B275" s="8"/>
      <c r="C275" s="8"/>
      <c r="D275" s="8"/>
      <c r="E275" s="9"/>
      <c r="F275" s="8"/>
      <c r="G275" s="9"/>
      <c r="H275" s="9"/>
      <c r="I275" s="8"/>
      <c r="J275" s="8"/>
      <c r="K275" s="3"/>
    </row>
    <row r="276" spans="1:11" ht="13.5" thickBot="1" x14ac:dyDescent="0.25">
      <c r="A276" s="8"/>
      <c r="B276" s="8"/>
      <c r="C276" s="8"/>
      <c r="D276" s="8"/>
      <c r="E276" s="9"/>
      <c r="F276" s="8"/>
      <c r="G276" s="9"/>
      <c r="H276" s="9"/>
      <c r="I276" s="8"/>
      <c r="J276" s="8"/>
      <c r="K276" s="3"/>
    </row>
    <row r="277" spans="1:11" ht="13.5" thickBot="1" x14ac:dyDescent="0.25">
      <c r="A277" s="8"/>
      <c r="B277" s="8"/>
      <c r="C277" s="8"/>
      <c r="D277" s="8"/>
      <c r="E277" s="9"/>
      <c r="F277" s="8"/>
      <c r="G277" s="9"/>
      <c r="H277" s="9"/>
      <c r="I277" s="8"/>
      <c r="J277" s="8"/>
      <c r="K277" s="3"/>
    </row>
    <row r="278" spans="1:11" ht="13.5" thickBot="1" x14ac:dyDescent="0.25">
      <c r="A278" s="8"/>
      <c r="B278" s="8"/>
      <c r="C278" s="8"/>
      <c r="D278" s="8"/>
      <c r="E278" s="9"/>
      <c r="F278" s="8"/>
      <c r="G278" s="9"/>
      <c r="H278" s="9"/>
      <c r="I278" s="8"/>
      <c r="J278" s="8"/>
      <c r="K278" s="3"/>
    </row>
    <row r="279" spans="1:11" ht="13.5" thickBot="1" x14ac:dyDescent="0.25">
      <c r="A279" s="8"/>
      <c r="B279" s="8"/>
      <c r="C279" s="8"/>
      <c r="D279" s="8"/>
      <c r="E279" s="9"/>
      <c r="F279" s="8"/>
      <c r="G279" s="9"/>
      <c r="H279" s="9"/>
      <c r="I279" s="8"/>
      <c r="J279" s="8"/>
      <c r="K279" s="3"/>
    </row>
    <row r="280" spans="1:11" ht="13.5" thickBot="1" x14ac:dyDescent="0.25">
      <c r="A280" s="8"/>
      <c r="B280" s="8"/>
      <c r="C280" s="8"/>
      <c r="D280" s="8"/>
      <c r="E280" s="9"/>
      <c r="F280" s="8"/>
      <c r="G280" s="9"/>
      <c r="H280" s="9"/>
      <c r="I280" s="8"/>
      <c r="J280" s="8"/>
      <c r="K280" s="3"/>
    </row>
    <row r="281" spans="1:11" ht="13.5" thickBot="1" x14ac:dyDescent="0.25">
      <c r="A281" s="8"/>
      <c r="B281" s="8"/>
      <c r="C281" s="8"/>
      <c r="D281" s="8"/>
      <c r="E281" s="9"/>
      <c r="F281" s="8"/>
      <c r="G281" s="9"/>
      <c r="H281" s="9"/>
      <c r="I281" s="8"/>
      <c r="J281" s="8"/>
      <c r="K281" s="3"/>
    </row>
    <row r="282" spans="1:11" ht="13.5" thickBot="1" x14ac:dyDescent="0.25">
      <c r="A282" s="8"/>
      <c r="B282" s="8"/>
      <c r="C282" s="8"/>
      <c r="D282" s="8"/>
      <c r="E282" s="9"/>
      <c r="F282" s="8"/>
      <c r="G282" s="9"/>
      <c r="H282" s="9"/>
      <c r="I282" s="8"/>
      <c r="J282" s="8"/>
      <c r="K282" s="3"/>
    </row>
    <row r="283" spans="1:11" ht="13.5" thickBot="1" x14ac:dyDescent="0.25">
      <c r="A283" s="8"/>
      <c r="B283" s="8"/>
      <c r="C283" s="8"/>
      <c r="D283" s="8"/>
      <c r="E283" s="9"/>
      <c r="F283" s="8"/>
      <c r="G283" s="9"/>
      <c r="H283" s="9"/>
      <c r="I283" s="8"/>
      <c r="J283" s="8"/>
      <c r="K283" s="3"/>
    </row>
    <row r="284" spans="1:11" ht="13.5" thickBot="1" x14ac:dyDescent="0.25">
      <c r="A284" s="3"/>
      <c r="B284" s="3"/>
      <c r="C284" s="3"/>
      <c r="D284" s="3"/>
      <c r="E284" s="16"/>
      <c r="F284" s="3"/>
      <c r="G284" s="4"/>
      <c r="H284" s="4"/>
      <c r="I284" s="3"/>
      <c r="J284" s="3"/>
      <c r="K284" s="3"/>
    </row>
    <row r="285" spans="1:11" ht="13.5" thickBot="1" x14ac:dyDescent="0.25">
      <c r="A285" s="3"/>
      <c r="B285" s="3"/>
      <c r="C285" s="3"/>
      <c r="D285" s="3"/>
      <c r="E285" s="16"/>
      <c r="F285" s="3"/>
      <c r="G285" s="4"/>
      <c r="H285" s="4"/>
      <c r="I285" s="3"/>
      <c r="J285" s="3"/>
      <c r="K285" s="3"/>
    </row>
    <row r="286" spans="1:11" ht="13.5" thickBot="1" x14ac:dyDescent="0.25">
      <c r="A286" s="3"/>
      <c r="B286" s="3"/>
      <c r="C286" s="3"/>
      <c r="D286" s="3"/>
      <c r="E286" s="16"/>
      <c r="F286" s="3"/>
      <c r="G286" s="4"/>
      <c r="H286" s="4"/>
      <c r="I286" s="3"/>
      <c r="J286" s="3"/>
      <c r="K286" s="3"/>
    </row>
    <row r="287" spans="1:11" ht="13.5" thickBot="1" x14ac:dyDescent="0.25">
      <c r="A287" s="3"/>
      <c r="B287" s="3"/>
      <c r="C287" s="3"/>
      <c r="D287" s="3"/>
      <c r="E287" s="16"/>
      <c r="F287" s="3"/>
      <c r="G287" s="4"/>
      <c r="H287" s="4"/>
      <c r="I287" s="3"/>
      <c r="J287" s="3"/>
      <c r="K287" s="3"/>
    </row>
    <row r="288" spans="1:11" ht="13.5" thickBot="1" x14ac:dyDescent="0.25">
      <c r="A288" s="3"/>
      <c r="B288" s="3"/>
      <c r="C288" s="3"/>
      <c r="D288" s="3"/>
      <c r="E288" s="16"/>
      <c r="F288" s="3"/>
      <c r="G288" s="4"/>
      <c r="H288" s="4"/>
      <c r="I288" s="3"/>
      <c r="J288" s="3"/>
      <c r="K288" s="3"/>
    </row>
    <row r="289" spans="1:11" ht="13.5" thickBot="1" x14ac:dyDescent="0.25">
      <c r="A289" s="3"/>
      <c r="B289" s="3"/>
      <c r="C289" s="3"/>
      <c r="D289" s="3"/>
      <c r="E289" s="16"/>
      <c r="F289" s="3"/>
      <c r="G289" s="4"/>
      <c r="H289" s="4"/>
      <c r="I289" s="3"/>
      <c r="J289" s="3"/>
      <c r="K289" s="3"/>
    </row>
    <row r="290" spans="1:11" ht="13.5" thickBot="1" x14ac:dyDescent="0.25">
      <c r="A290" s="3"/>
      <c r="B290" s="3"/>
      <c r="C290" s="3"/>
      <c r="D290" s="3"/>
      <c r="E290" s="16"/>
      <c r="F290" s="3"/>
      <c r="G290" s="4"/>
      <c r="H290" s="4"/>
      <c r="I290" s="3"/>
      <c r="J290" s="3"/>
      <c r="K290" s="3"/>
    </row>
    <row r="291" spans="1:11" ht="13.5" thickBot="1" x14ac:dyDescent="0.25">
      <c r="A291" s="3"/>
      <c r="B291" s="3"/>
      <c r="C291" s="3"/>
      <c r="D291" s="3"/>
      <c r="E291" s="16"/>
      <c r="F291" s="3"/>
      <c r="G291" s="4"/>
      <c r="H291" s="4"/>
      <c r="I291" s="3"/>
      <c r="J291" s="3"/>
      <c r="K291" s="3"/>
    </row>
    <row r="292" spans="1:11" ht="13.5" thickBot="1" x14ac:dyDescent="0.25">
      <c r="A292" s="3"/>
      <c r="B292" s="3"/>
      <c r="C292" s="3"/>
      <c r="D292" s="3"/>
      <c r="E292" s="16"/>
      <c r="F292" s="3"/>
      <c r="G292" s="4"/>
      <c r="H292" s="4"/>
      <c r="I292" s="3"/>
      <c r="J292" s="3"/>
      <c r="K292" s="3"/>
    </row>
    <row r="293" spans="1:11" ht="13.5" thickBot="1" x14ac:dyDescent="0.25">
      <c r="A293" s="3"/>
      <c r="B293" s="3"/>
      <c r="C293" s="3"/>
      <c r="D293" s="3"/>
      <c r="E293" s="16"/>
      <c r="F293" s="3"/>
      <c r="G293" s="4"/>
      <c r="H293" s="4"/>
      <c r="I293" s="3"/>
      <c r="J293" s="3"/>
      <c r="K293" s="3"/>
    </row>
    <row r="294" spans="1:11" ht="13.5" thickBot="1" x14ac:dyDescent="0.25">
      <c r="A294" s="3"/>
      <c r="B294" s="3"/>
      <c r="C294" s="3"/>
      <c r="D294" s="3"/>
      <c r="E294" s="16"/>
      <c r="F294" s="3"/>
      <c r="G294" s="4"/>
      <c r="H294" s="4"/>
      <c r="I294" s="3"/>
      <c r="J294" s="3"/>
      <c r="K294" s="3"/>
    </row>
    <row r="295" spans="1:11" ht="13.5" thickBot="1" x14ac:dyDescent="0.25">
      <c r="A295" s="3"/>
      <c r="B295" s="3"/>
      <c r="C295" s="3"/>
      <c r="D295" s="3"/>
      <c r="E295" s="16"/>
      <c r="F295" s="3"/>
      <c r="G295" s="4"/>
      <c r="H295" s="4"/>
      <c r="I295" s="3"/>
      <c r="J295" s="3"/>
      <c r="K295" s="3"/>
    </row>
    <row r="296" spans="1:11" ht="13.5" thickBot="1" x14ac:dyDescent="0.25">
      <c r="A296" s="3"/>
      <c r="B296" s="3"/>
      <c r="C296" s="3"/>
      <c r="D296" s="3"/>
      <c r="E296" s="16"/>
      <c r="F296" s="3"/>
      <c r="G296" s="4"/>
      <c r="H296" s="4"/>
      <c r="I296" s="3"/>
      <c r="J296" s="3"/>
      <c r="K296" s="3"/>
    </row>
    <row r="297" spans="1:11" ht="13.5" thickBot="1" x14ac:dyDescent="0.25">
      <c r="A297" s="3"/>
      <c r="B297" s="3"/>
      <c r="C297" s="3"/>
      <c r="D297" s="3"/>
      <c r="E297" s="16"/>
      <c r="F297" s="3"/>
      <c r="G297" s="4"/>
      <c r="H297" s="4"/>
      <c r="I297" s="3"/>
      <c r="J297" s="3"/>
      <c r="K297" s="3"/>
    </row>
    <row r="298" spans="1:11" ht="13.5" thickBot="1" x14ac:dyDescent="0.25">
      <c r="A298" s="3"/>
      <c r="B298" s="3"/>
      <c r="C298" s="3"/>
      <c r="D298" s="3"/>
      <c r="E298" s="16"/>
      <c r="F298" s="3"/>
      <c r="G298" s="4"/>
      <c r="H298" s="4"/>
      <c r="I298" s="3"/>
      <c r="J298" s="3"/>
      <c r="K298" s="3"/>
    </row>
    <row r="299" spans="1:11" ht="13.5" thickBot="1" x14ac:dyDescent="0.25">
      <c r="A299" s="3"/>
      <c r="B299" s="3"/>
      <c r="C299" s="3"/>
      <c r="D299" s="3"/>
      <c r="E299" s="16"/>
      <c r="F299" s="3"/>
      <c r="G299" s="4"/>
      <c r="H299" s="4"/>
      <c r="I299" s="3"/>
      <c r="J299" s="3"/>
      <c r="K299" s="3"/>
    </row>
    <row r="300" spans="1:11" ht="13.5" thickBot="1" x14ac:dyDescent="0.25">
      <c r="A300" s="3"/>
      <c r="B300" s="3"/>
      <c r="C300" s="3"/>
      <c r="D300" s="3"/>
      <c r="E300" s="16"/>
      <c r="F300" s="3"/>
      <c r="G300" s="4"/>
      <c r="H300" s="4"/>
      <c r="I300" s="3"/>
      <c r="J300" s="3"/>
      <c r="K300" s="3"/>
    </row>
    <row r="301" spans="1:11" ht="13.5" thickBot="1" x14ac:dyDescent="0.25">
      <c r="A301" s="3"/>
      <c r="B301" s="3"/>
      <c r="C301" s="3"/>
      <c r="D301" s="3"/>
      <c r="E301" s="16"/>
      <c r="F301" s="3"/>
      <c r="G301" s="4"/>
      <c r="H301" s="4"/>
      <c r="I301" s="3"/>
      <c r="J301" s="3"/>
      <c r="K301" s="3"/>
    </row>
    <row r="302" spans="1:11" ht="13.5" thickBot="1" x14ac:dyDescent="0.25">
      <c r="A302" s="3"/>
      <c r="B302" s="3"/>
      <c r="C302" s="3"/>
      <c r="D302" s="3"/>
      <c r="E302" s="16"/>
      <c r="F302" s="3"/>
      <c r="G302" s="4"/>
      <c r="H302" s="4"/>
      <c r="I302" s="3"/>
      <c r="J302" s="3"/>
      <c r="K302" s="3"/>
    </row>
    <row r="303" spans="1:11" ht="13.5" thickBot="1" x14ac:dyDescent="0.25">
      <c r="A303" s="3"/>
      <c r="B303" s="3"/>
      <c r="C303" s="3"/>
      <c r="D303" s="3"/>
      <c r="E303" s="16"/>
      <c r="F303" s="3"/>
      <c r="G303" s="4"/>
      <c r="H303" s="4"/>
      <c r="I303" s="3"/>
      <c r="J303" s="3"/>
      <c r="K303" s="3"/>
    </row>
    <row r="304" spans="1:11" ht="13.5" thickBot="1" x14ac:dyDescent="0.25">
      <c r="A304" s="3"/>
      <c r="B304" s="3"/>
      <c r="C304" s="3"/>
      <c r="D304" s="3"/>
      <c r="E304" s="16"/>
      <c r="F304" s="3"/>
      <c r="G304" s="4"/>
      <c r="H304" s="4"/>
      <c r="I304" s="3"/>
      <c r="J304" s="3"/>
      <c r="K304" s="3"/>
    </row>
    <row r="305" spans="1:11" ht="13.5" thickBot="1" x14ac:dyDescent="0.25">
      <c r="A305" s="3"/>
      <c r="B305" s="3"/>
      <c r="C305" s="3"/>
      <c r="D305" s="3"/>
      <c r="E305" s="16"/>
      <c r="F305" s="3"/>
      <c r="G305" s="4"/>
      <c r="H305" s="4"/>
      <c r="I305" s="3"/>
      <c r="J305" s="3"/>
      <c r="K305" s="3"/>
    </row>
    <row r="306" spans="1:11" ht="13.5" thickBot="1" x14ac:dyDescent="0.25">
      <c r="A306" s="3"/>
      <c r="B306" s="3"/>
      <c r="C306" s="3"/>
      <c r="D306" s="3"/>
      <c r="E306" s="16"/>
      <c r="F306" s="3"/>
      <c r="G306" s="4"/>
      <c r="H306" s="4"/>
      <c r="I306" s="3"/>
      <c r="J306" s="3"/>
      <c r="K306" s="3"/>
    </row>
    <row r="307" spans="1:11" ht="13.5" thickBot="1" x14ac:dyDescent="0.25">
      <c r="A307" s="3"/>
      <c r="B307" s="3"/>
      <c r="C307" s="3"/>
      <c r="D307" s="3"/>
      <c r="E307" s="16"/>
      <c r="F307" s="3"/>
      <c r="G307" s="4"/>
      <c r="H307" s="4"/>
      <c r="I307" s="3"/>
      <c r="J307" s="3"/>
      <c r="K307" s="3"/>
    </row>
    <row r="308" spans="1:11" ht="13.5" thickBot="1" x14ac:dyDescent="0.25">
      <c r="A308" s="3"/>
      <c r="B308" s="3"/>
      <c r="C308" s="3"/>
      <c r="D308" s="3"/>
      <c r="E308" s="16"/>
      <c r="F308" s="3"/>
      <c r="G308" s="4"/>
      <c r="H308" s="4"/>
      <c r="I308" s="3"/>
      <c r="J308" s="3"/>
      <c r="K308" s="3"/>
    </row>
    <row r="309" spans="1:11" ht="13.5" thickBot="1" x14ac:dyDescent="0.25">
      <c r="A309" s="3"/>
      <c r="B309" s="3"/>
      <c r="C309" s="3"/>
      <c r="D309" s="3"/>
      <c r="E309" s="16"/>
      <c r="F309" s="3"/>
      <c r="G309" s="4"/>
      <c r="H309" s="4"/>
      <c r="I309" s="3"/>
      <c r="J309" s="3"/>
      <c r="K309" s="3"/>
    </row>
    <row r="310" spans="1:11" ht="13.5" thickBot="1" x14ac:dyDescent="0.25">
      <c r="A310" s="3"/>
      <c r="B310" s="3"/>
      <c r="C310" s="3"/>
      <c r="D310" s="3"/>
      <c r="E310" s="16"/>
      <c r="F310" s="3"/>
      <c r="G310" s="4"/>
      <c r="H310" s="4"/>
      <c r="I310" s="3"/>
      <c r="J310" s="3"/>
      <c r="K310" s="3"/>
    </row>
    <row r="311" spans="1:11" ht="13.5" thickBot="1" x14ac:dyDescent="0.25">
      <c r="A311" s="3"/>
      <c r="B311" s="3"/>
      <c r="C311" s="3"/>
      <c r="D311" s="3"/>
      <c r="E311" s="16"/>
      <c r="F311" s="3"/>
      <c r="G311" s="4"/>
      <c r="H311" s="4"/>
      <c r="I311" s="3"/>
      <c r="J311" s="3"/>
      <c r="K311" s="3"/>
    </row>
    <row r="312" spans="1:11" ht="13.5" thickBot="1" x14ac:dyDescent="0.25">
      <c r="A312" s="3"/>
      <c r="B312" s="3"/>
      <c r="C312" s="3"/>
      <c r="D312" s="3"/>
      <c r="E312" s="16"/>
      <c r="F312" s="3"/>
      <c r="G312" s="4"/>
      <c r="H312" s="4"/>
      <c r="I312" s="3"/>
      <c r="J312" s="3"/>
      <c r="K312" s="3"/>
    </row>
    <row r="313" spans="1:11" ht="13.5" thickBot="1" x14ac:dyDescent="0.25">
      <c r="A313" s="3"/>
      <c r="B313" s="3"/>
      <c r="C313" s="3"/>
      <c r="D313" s="3"/>
      <c r="E313" s="16"/>
      <c r="F313" s="3"/>
      <c r="G313" s="4"/>
      <c r="H313" s="4"/>
      <c r="I313" s="3"/>
      <c r="J313" s="3"/>
      <c r="K313" s="3"/>
    </row>
    <row r="314" spans="1:11" ht="13.5" thickBot="1" x14ac:dyDescent="0.25">
      <c r="A314" s="3"/>
      <c r="B314" s="3"/>
      <c r="C314" s="3"/>
      <c r="D314" s="3"/>
      <c r="E314" s="16"/>
      <c r="F314" s="3"/>
      <c r="G314" s="4"/>
      <c r="H314" s="4"/>
      <c r="I314" s="3"/>
      <c r="J314" s="3"/>
      <c r="K314" s="3"/>
    </row>
    <row r="315" spans="1:11" ht="13.5" thickBot="1" x14ac:dyDescent="0.25">
      <c r="A315" s="3"/>
      <c r="B315" s="3"/>
      <c r="C315" s="3"/>
      <c r="D315" s="3"/>
      <c r="E315" s="16"/>
      <c r="F315" s="3"/>
      <c r="G315" s="4"/>
      <c r="H315" s="4"/>
      <c r="I315" s="3"/>
      <c r="J315" s="3"/>
      <c r="K315" s="3"/>
    </row>
    <row r="316" spans="1:11" ht="13.5" thickBot="1" x14ac:dyDescent="0.25">
      <c r="A316" s="3"/>
      <c r="B316" s="3"/>
      <c r="C316" s="3"/>
      <c r="D316" s="3"/>
      <c r="E316" s="16"/>
      <c r="F316" s="3"/>
      <c r="G316" s="4"/>
      <c r="H316" s="4"/>
      <c r="I316" s="3"/>
      <c r="J316" s="3"/>
      <c r="K316" s="3"/>
    </row>
    <row r="317" spans="1:11" ht="13.5" thickBot="1" x14ac:dyDescent="0.25">
      <c r="A317" s="3"/>
      <c r="B317" s="3"/>
      <c r="C317" s="3"/>
      <c r="D317" s="3"/>
      <c r="E317" s="16"/>
      <c r="F317" s="3"/>
      <c r="G317" s="4"/>
      <c r="H317" s="4"/>
      <c r="I317" s="3"/>
      <c r="J317" s="3"/>
      <c r="K317" s="3"/>
    </row>
    <row r="318" spans="1:11" ht="13.5" thickBot="1" x14ac:dyDescent="0.25">
      <c r="A318" s="3"/>
      <c r="B318" s="3"/>
      <c r="C318" s="3"/>
      <c r="D318" s="3"/>
      <c r="E318" s="16"/>
      <c r="F318" s="3"/>
      <c r="G318" s="4"/>
      <c r="H318" s="4"/>
      <c r="I318" s="3"/>
      <c r="J318" s="3"/>
      <c r="K318" s="3"/>
    </row>
    <row r="319" spans="1:11" ht="13.5" thickBot="1" x14ac:dyDescent="0.25">
      <c r="A319" s="3"/>
      <c r="B319" s="3"/>
      <c r="C319" s="3"/>
      <c r="D319" s="3"/>
      <c r="E319" s="16"/>
      <c r="F319" s="3"/>
      <c r="G319" s="4"/>
      <c r="H319" s="4"/>
      <c r="I319" s="3"/>
      <c r="J319" s="3"/>
      <c r="K319" s="3"/>
    </row>
    <row r="320" spans="1:11" ht="13.5" thickBot="1" x14ac:dyDescent="0.25">
      <c r="A320" s="3"/>
      <c r="B320" s="3"/>
      <c r="C320" s="3"/>
      <c r="D320" s="3"/>
      <c r="E320" s="16"/>
      <c r="F320" s="3"/>
      <c r="G320" s="4"/>
      <c r="H320" s="4"/>
      <c r="I320" s="3"/>
      <c r="J320" s="3"/>
      <c r="K320" s="3"/>
    </row>
    <row r="321" spans="1:11" ht="13.5" thickBot="1" x14ac:dyDescent="0.25">
      <c r="A321" s="3"/>
      <c r="B321" s="3"/>
      <c r="C321" s="3"/>
      <c r="D321" s="3"/>
      <c r="E321" s="16"/>
      <c r="F321" s="3"/>
      <c r="G321" s="4"/>
      <c r="H321" s="4"/>
      <c r="I321" s="3"/>
      <c r="J321" s="3"/>
      <c r="K321" s="3"/>
    </row>
    <row r="322" spans="1:11" ht="13.5" thickBot="1" x14ac:dyDescent="0.25">
      <c r="A322" s="3"/>
      <c r="B322" s="3"/>
      <c r="C322" s="3"/>
      <c r="D322" s="3"/>
      <c r="E322" s="16"/>
      <c r="F322" s="3"/>
      <c r="G322" s="4"/>
      <c r="H322" s="4"/>
      <c r="I322" s="3"/>
      <c r="J322" s="3"/>
      <c r="K322" s="3"/>
    </row>
    <row r="323" spans="1:11" ht="13.5" thickBot="1" x14ac:dyDescent="0.25">
      <c r="A323" s="3"/>
      <c r="B323" s="3"/>
      <c r="C323" s="3"/>
      <c r="D323" s="3"/>
      <c r="E323" s="16"/>
      <c r="F323" s="3"/>
      <c r="G323" s="4"/>
      <c r="H323" s="4"/>
      <c r="I323" s="3"/>
      <c r="J323" s="3"/>
      <c r="K323" s="3"/>
    </row>
    <row r="324" spans="1:11" ht="13.5" thickBot="1" x14ac:dyDescent="0.25">
      <c r="A324" s="3"/>
      <c r="B324" s="3"/>
      <c r="C324" s="3"/>
      <c r="D324" s="3"/>
      <c r="E324" s="16"/>
      <c r="F324" s="3"/>
      <c r="G324" s="4"/>
      <c r="H324" s="4"/>
      <c r="I324" s="3"/>
      <c r="J324" s="3"/>
      <c r="K324" s="3"/>
    </row>
    <row r="325" spans="1:11" ht="13.5" thickBot="1" x14ac:dyDescent="0.25">
      <c r="A325" s="3"/>
      <c r="B325" s="3"/>
      <c r="C325" s="3"/>
      <c r="D325" s="3"/>
      <c r="E325" s="16"/>
      <c r="F325" s="3"/>
      <c r="G325" s="4"/>
      <c r="H325" s="4"/>
      <c r="I325" s="3"/>
      <c r="J325" s="3"/>
      <c r="K325" s="3"/>
    </row>
    <row r="326" spans="1:11" ht="13.5" thickBot="1" x14ac:dyDescent="0.25">
      <c r="A326" s="3"/>
      <c r="B326" s="3"/>
      <c r="C326" s="3"/>
      <c r="D326" s="3"/>
      <c r="E326" s="16"/>
      <c r="F326" s="3"/>
      <c r="G326" s="4"/>
      <c r="H326" s="4"/>
      <c r="I326" s="3"/>
      <c r="J326" s="3"/>
      <c r="K326" s="3"/>
    </row>
    <row r="327" spans="1:11" ht="13.5" thickBot="1" x14ac:dyDescent="0.25">
      <c r="A327" s="3"/>
      <c r="B327" s="3"/>
      <c r="C327" s="3"/>
      <c r="D327" s="3"/>
      <c r="E327" s="16"/>
      <c r="F327" s="3"/>
      <c r="G327" s="4"/>
      <c r="H327" s="4"/>
      <c r="I327" s="3"/>
      <c r="J327" s="3"/>
      <c r="K327" s="3"/>
    </row>
    <row r="328" spans="1:11" ht="13.5" thickBot="1" x14ac:dyDescent="0.25">
      <c r="A328" s="3"/>
      <c r="B328" s="3"/>
      <c r="C328" s="3"/>
      <c r="D328" s="3"/>
      <c r="E328" s="16"/>
      <c r="F328" s="3"/>
      <c r="G328" s="4"/>
      <c r="H328" s="4"/>
      <c r="I328" s="3"/>
      <c r="J328" s="3"/>
      <c r="K328" s="3"/>
    </row>
    <row r="329" spans="1:11" ht="13.5" thickBot="1" x14ac:dyDescent="0.25">
      <c r="A329" s="3"/>
      <c r="B329" s="3"/>
      <c r="C329" s="3"/>
      <c r="D329" s="3"/>
      <c r="E329" s="16"/>
      <c r="F329" s="3"/>
      <c r="G329" s="4"/>
      <c r="H329" s="4"/>
      <c r="I329" s="3"/>
      <c r="J329" s="3"/>
      <c r="K329" s="3"/>
    </row>
    <row r="330" spans="1:11" ht="13.5" thickBot="1" x14ac:dyDescent="0.25">
      <c r="A330" s="3"/>
      <c r="B330" s="3"/>
      <c r="C330" s="3"/>
      <c r="D330" s="3"/>
      <c r="E330" s="16"/>
      <c r="F330" s="3"/>
      <c r="G330" s="4"/>
      <c r="H330" s="4"/>
      <c r="I330" s="3"/>
      <c r="J330" s="3"/>
      <c r="K330" s="3"/>
    </row>
    <row r="331" spans="1:11" ht="13.5" thickBot="1" x14ac:dyDescent="0.25">
      <c r="A331" s="3"/>
      <c r="B331" s="3"/>
      <c r="C331" s="3"/>
      <c r="D331" s="3"/>
      <c r="E331" s="16"/>
      <c r="F331" s="3"/>
      <c r="G331" s="4"/>
      <c r="H331" s="4"/>
      <c r="I331" s="3"/>
      <c r="J331" s="3"/>
      <c r="K331" s="3"/>
    </row>
    <row r="332" spans="1:11" ht="13.5" thickBot="1" x14ac:dyDescent="0.25">
      <c r="A332" s="3"/>
      <c r="B332" s="3"/>
      <c r="C332" s="3"/>
      <c r="D332" s="3"/>
      <c r="E332" s="16"/>
      <c r="F332" s="3"/>
      <c r="G332" s="4"/>
      <c r="H332" s="4"/>
      <c r="I332" s="3"/>
      <c r="J332" s="3"/>
      <c r="K332" s="3"/>
    </row>
    <row r="333" spans="1:11" ht="13.5" thickBot="1" x14ac:dyDescent="0.25">
      <c r="A333" s="3"/>
      <c r="B333" s="3"/>
      <c r="C333" s="3"/>
      <c r="D333" s="3"/>
      <c r="E333" s="16"/>
      <c r="F333" s="3"/>
      <c r="G333" s="4"/>
      <c r="H333" s="4"/>
      <c r="I333" s="3"/>
      <c r="J333" s="3"/>
      <c r="K333" s="3"/>
    </row>
    <row r="334" spans="1:11" ht="13.5" thickBot="1" x14ac:dyDescent="0.25">
      <c r="A334" s="3"/>
      <c r="B334" s="3"/>
      <c r="C334" s="3"/>
      <c r="D334" s="3"/>
      <c r="E334" s="16"/>
      <c r="F334" s="3"/>
      <c r="G334" s="4"/>
      <c r="H334" s="4"/>
      <c r="I334" s="3"/>
      <c r="J334" s="3"/>
      <c r="K334" s="3"/>
    </row>
    <row r="335" spans="1:11" ht="13.5" thickBot="1" x14ac:dyDescent="0.25">
      <c r="A335" s="3"/>
      <c r="B335" s="3"/>
      <c r="C335" s="3"/>
      <c r="D335" s="3"/>
      <c r="E335" s="16"/>
      <c r="F335" s="3"/>
      <c r="G335" s="4"/>
      <c r="H335" s="4"/>
      <c r="I335" s="3"/>
      <c r="J335" s="3"/>
      <c r="K335" s="3"/>
    </row>
    <row r="336" spans="1:11" ht="13.5" thickBot="1" x14ac:dyDescent="0.25">
      <c r="A336" s="3"/>
      <c r="B336" s="3"/>
      <c r="C336" s="3"/>
      <c r="D336" s="3"/>
      <c r="E336" s="16"/>
      <c r="F336" s="3"/>
      <c r="G336" s="4"/>
      <c r="H336" s="4"/>
      <c r="I336" s="3"/>
      <c r="J336" s="3"/>
      <c r="K336" s="3"/>
    </row>
    <row r="337" spans="1:11" ht="13.5" thickBot="1" x14ac:dyDescent="0.25">
      <c r="A337" s="3"/>
      <c r="B337" s="3"/>
      <c r="C337" s="3"/>
      <c r="D337" s="3"/>
      <c r="E337" s="16"/>
      <c r="F337" s="3"/>
      <c r="G337" s="4"/>
      <c r="H337" s="4"/>
      <c r="I337" s="3"/>
      <c r="J337" s="3"/>
      <c r="K337" s="3"/>
    </row>
    <row r="338" spans="1:11" ht="13.5" thickBot="1" x14ac:dyDescent="0.25">
      <c r="A338" s="3"/>
      <c r="B338" s="3"/>
      <c r="C338" s="3"/>
      <c r="D338" s="3"/>
      <c r="E338" s="16"/>
      <c r="F338" s="3"/>
      <c r="G338" s="4"/>
      <c r="H338" s="4"/>
      <c r="I338" s="3"/>
      <c r="J338" s="3"/>
      <c r="K338" s="3"/>
    </row>
    <row r="339" spans="1:11" ht="13.5" thickBot="1" x14ac:dyDescent="0.25">
      <c r="A339" s="3"/>
      <c r="B339" s="3"/>
      <c r="C339" s="3"/>
      <c r="D339" s="3"/>
      <c r="E339" s="16"/>
      <c r="F339" s="3"/>
      <c r="G339" s="4"/>
      <c r="H339" s="4"/>
      <c r="I339" s="3"/>
      <c r="J339" s="3"/>
      <c r="K339" s="3"/>
    </row>
    <row r="340" spans="1:11" ht="13.5" thickBot="1" x14ac:dyDescent="0.25">
      <c r="A340" s="3"/>
      <c r="B340" s="3"/>
      <c r="C340" s="3"/>
      <c r="D340" s="3"/>
      <c r="E340" s="16"/>
      <c r="F340" s="3"/>
      <c r="G340" s="4"/>
      <c r="H340" s="4"/>
      <c r="I340" s="3"/>
      <c r="J340" s="3"/>
      <c r="K340" s="3"/>
    </row>
    <row r="341" spans="1:11" ht="13.5" thickBot="1" x14ac:dyDescent="0.25">
      <c r="A341" s="3"/>
      <c r="B341" s="3"/>
      <c r="C341" s="3"/>
      <c r="D341" s="3"/>
      <c r="E341" s="16"/>
      <c r="F341" s="3"/>
      <c r="G341" s="4"/>
      <c r="H341" s="4"/>
      <c r="I341" s="3"/>
      <c r="J341" s="3"/>
      <c r="K341" s="3"/>
    </row>
    <row r="342" spans="1:11" ht="13.5" thickBot="1" x14ac:dyDescent="0.25">
      <c r="A342" s="3"/>
      <c r="B342" s="3"/>
      <c r="C342" s="3"/>
      <c r="D342" s="3"/>
      <c r="E342" s="16"/>
      <c r="F342" s="5"/>
      <c r="G342" s="4"/>
      <c r="H342" s="4"/>
      <c r="I342" s="3"/>
      <c r="J342" s="3"/>
      <c r="K342" s="3"/>
    </row>
    <row r="343" spans="1:11" ht="13.5" thickBot="1" x14ac:dyDescent="0.25">
      <c r="A343" s="3"/>
      <c r="B343" s="3"/>
      <c r="C343" s="3"/>
      <c r="D343" s="3"/>
      <c r="E343" s="16"/>
      <c r="F343" s="3"/>
      <c r="G343" s="4"/>
      <c r="H343" s="4"/>
      <c r="I343" s="3"/>
      <c r="J343" s="3"/>
      <c r="K343" s="3"/>
    </row>
    <row r="344" spans="1:11" ht="13.5" thickBot="1" x14ac:dyDescent="0.25">
      <c r="A344" s="3"/>
      <c r="B344" s="3"/>
      <c r="C344" s="3"/>
      <c r="D344" s="3"/>
      <c r="E344" s="16"/>
      <c r="F344" s="3"/>
      <c r="G344" s="4"/>
      <c r="H344" s="4"/>
      <c r="I344" s="3"/>
      <c r="J344" s="3"/>
      <c r="K344" s="3"/>
    </row>
    <row r="345" spans="1:11" ht="13.5" thickBot="1" x14ac:dyDescent="0.25">
      <c r="A345" s="3"/>
      <c r="B345" s="3"/>
      <c r="C345" s="3"/>
      <c r="D345" s="3"/>
      <c r="E345" s="16"/>
      <c r="F345" s="3"/>
      <c r="G345" s="4"/>
      <c r="H345" s="4"/>
      <c r="I345" s="3"/>
      <c r="J345" s="3"/>
      <c r="K345" s="3"/>
    </row>
    <row r="346" spans="1:11" ht="13.5" thickBot="1" x14ac:dyDescent="0.25">
      <c r="A346" s="3"/>
      <c r="B346" s="3"/>
      <c r="C346" s="3"/>
      <c r="D346" s="3"/>
      <c r="E346" s="16"/>
      <c r="F346" s="3"/>
      <c r="G346" s="4"/>
      <c r="H346" s="4"/>
      <c r="I346" s="3"/>
      <c r="J346" s="3"/>
      <c r="K346" s="3"/>
    </row>
    <row r="347" spans="1:11" ht="13.5" thickBot="1" x14ac:dyDescent="0.25">
      <c r="A347" s="3"/>
      <c r="B347" s="3"/>
      <c r="C347" s="3"/>
      <c r="D347" s="3"/>
      <c r="E347" s="16"/>
      <c r="F347" s="3"/>
      <c r="G347" s="4"/>
      <c r="H347" s="4"/>
      <c r="I347" s="3"/>
      <c r="J347" s="3"/>
      <c r="K347" s="3"/>
    </row>
    <row r="348" spans="1:11" ht="13.5" thickBot="1" x14ac:dyDescent="0.25">
      <c r="A348" s="3"/>
      <c r="B348" s="3"/>
      <c r="C348" s="3"/>
      <c r="D348" s="3"/>
      <c r="E348" s="16"/>
      <c r="F348" s="3"/>
      <c r="G348" s="4"/>
      <c r="H348" s="4"/>
      <c r="I348" s="3"/>
      <c r="J348" s="3"/>
      <c r="K348" s="3"/>
    </row>
    <row r="349" spans="1:11" ht="13.5" thickBot="1" x14ac:dyDescent="0.25">
      <c r="A349" s="3"/>
      <c r="B349" s="3"/>
      <c r="C349" s="3"/>
      <c r="D349" s="3"/>
      <c r="E349" s="16"/>
      <c r="F349" s="3"/>
      <c r="G349" s="4"/>
      <c r="H349" s="4"/>
      <c r="I349" s="3"/>
      <c r="J349" s="3"/>
      <c r="K349" s="3"/>
    </row>
    <row r="350" spans="1:11" ht="13.5" thickBot="1" x14ac:dyDescent="0.25">
      <c r="A350" s="3"/>
      <c r="B350" s="3"/>
      <c r="C350" s="3"/>
      <c r="D350" s="3"/>
      <c r="E350" s="16"/>
      <c r="F350" s="3"/>
      <c r="G350" s="4"/>
      <c r="H350" s="4"/>
      <c r="I350" s="3"/>
      <c r="J350" s="3"/>
      <c r="K350" s="3"/>
    </row>
    <row r="351" spans="1:11" ht="13.5" thickBot="1" x14ac:dyDescent="0.25">
      <c r="A351" s="3"/>
      <c r="B351" s="3"/>
      <c r="C351" s="3"/>
      <c r="D351" s="3"/>
      <c r="E351" s="16"/>
      <c r="F351" s="3"/>
      <c r="G351" s="4"/>
      <c r="H351" s="4"/>
      <c r="I351" s="3"/>
      <c r="J351" s="3"/>
      <c r="K351" s="3"/>
    </row>
    <row r="352" spans="1:11" ht="13.5" thickBot="1" x14ac:dyDescent="0.25">
      <c r="A352" s="3"/>
      <c r="B352" s="3"/>
      <c r="C352" s="3"/>
      <c r="D352" s="3"/>
      <c r="E352" s="16"/>
      <c r="F352" s="3"/>
      <c r="G352" s="4"/>
      <c r="H352" s="4"/>
      <c r="I352" s="3"/>
      <c r="J352" s="3"/>
      <c r="K352" s="3"/>
    </row>
    <row r="353" spans="1:11" ht="13.5" thickBot="1" x14ac:dyDescent="0.25">
      <c r="A353" s="3"/>
      <c r="B353" s="3"/>
      <c r="C353" s="3"/>
      <c r="D353" s="3"/>
      <c r="E353" s="16"/>
      <c r="F353" s="3"/>
      <c r="G353" s="4"/>
      <c r="H353" s="4"/>
      <c r="I353" s="3"/>
      <c r="J353" s="3"/>
      <c r="K353" s="3"/>
    </row>
    <row r="354" spans="1:11" ht="13.5" thickBot="1" x14ac:dyDescent="0.25">
      <c r="A354" s="3"/>
      <c r="B354" s="3"/>
      <c r="C354" s="3"/>
      <c r="D354" s="3"/>
      <c r="E354" s="16"/>
      <c r="F354" s="3"/>
      <c r="G354" s="4"/>
      <c r="H354" s="4"/>
      <c r="I354" s="3"/>
      <c r="J354" s="3"/>
      <c r="K354" s="3"/>
    </row>
    <row r="355" spans="1:11" ht="13.5" thickBot="1" x14ac:dyDescent="0.25">
      <c r="A355" s="3"/>
      <c r="B355" s="3"/>
      <c r="C355" s="3"/>
      <c r="D355" s="3"/>
      <c r="E355" s="16"/>
      <c r="F355" s="3"/>
      <c r="G355" s="4"/>
      <c r="H355" s="4"/>
      <c r="I355" s="3"/>
      <c r="J355" s="3"/>
      <c r="K355" s="3"/>
    </row>
    <row r="356" spans="1:11" ht="13.5" thickBot="1" x14ac:dyDescent="0.25">
      <c r="A356" s="3"/>
      <c r="B356" s="3"/>
      <c r="C356" s="3"/>
      <c r="D356" s="3"/>
      <c r="E356" s="16"/>
      <c r="F356" s="3"/>
      <c r="G356" s="4"/>
      <c r="H356" s="4"/>
      <c r="I356" s="3"/>
      <c r="J356" s="3"/>
      <c r="K356" s="3"/>
    </row>
    <row r="357" spans="1:11" ht="13.5" thickBot="1" x14ac:dyDescent="0.25">
      <c r="A357" s="3"/>
      <c r="B357" s="3"/>
      <c r="C357" s="3"/>
      <c r="D357" s="3"/>
      <c r="E357" s="16"/>
      <c r="F357" s="3"/>
      <c r="G357" s="4"/>
      <c r="H357" s="4"/>
      <c r="I357" s="3"/>
      <c r="J357" s="3"/>
      <c r="K357" s="3"/>
    </row>
    <row r="358" spans="1:11" ht="13.5" thickBot="1" x14ac:dyDescent="0.25">
      <c r="A358" s="3"/>
      <c r="B358" s="3"/>
      <c r="C358" s="3"/>
      <c r="D358" s="3"/>
      <c r="E358" s="16"/>
      <c r="F358" s="3"/>
      <c r="G358" s="4"/>
      <c r="H358" s="4"/>
      <c r="I358" s="3"/>
      <c r="J358" s="3"/>
      <c r="K358" s="3"/>
    </row>
    <row r="359" spans="1:11" ht="13.5" thickBot="1" x14ac:dyDescent="0.25">
      <c r="A359" s="3"/>
      <c r="B359" s="3"/>
      <c r="C359" s="3"/>
      <c r="D359" s="3"/>
      <c r="E359" s="16"/>
      <c r="F359" s="3"/>
      <c r="G359" s="4"/>
      <c r="H359" s="4"/>
      <c r="I359" s="3"/>
      <c r="J359" s="3"/>
      <c r="K359" s="3"/>
    </row>
    <row r="360" spans="1:11" ht="13.5" thickBot="1" x14ac:dyDescent="0.25">
      <c r="A360" s="3"/>
      <c r="B360" s="3"/>
      <c r="C360" s="3"/>
      <c r="D360" s="3"/>
      <c r="E360" s="16"/>
      <c r="F360" s="3"/>
      <c r="G360" s="4"/>
      <c r="H360" s="4"/>
      <c r="I360" s="3"/>
      <c r="J360" s="3"/>
      <c r="K360" s="3"/>
    </row>
    <row r="361" spans="1:11" ht="13.5" thickBot="1" x14ac:dyDescent="0.25">
      <c r="A361" s="3"/>
      <c r="B361" s="3"/>
      <c r="C361" s="3"/>
      <c r="D361" s="3"/>
      <c r="E361" s="16"/>
      <c r="F361" s="3"/>
      <c r="G361" s="4"/>
      <c r="H361" s="4"/>
      <c r="I361" s="3"/>
      <c r="J361" s="3"/>
      <c r="K361" s="3"/>
    </row>
    <row r="362" spans="1:11" ht="13.5" thickBot="1" x14ac:dyDescent="0.25">
      <c r="A362" s="3"/>
      <c r="B362" s="3"/>
      <c r="C362" s="3"/>
      <c r="D362" s="3"/>
      <c r="E362" s="16"/>
      <c r="F362" s="3"/>
      <c r="G362" s="4"/>
      <c r="H362" s="4"/>
      <c r="I362" s="3"/>
      <c r="J362" s="3"/>
      <c r="K362" s="3"/>
    </row>
    <row r="363" spans="1:11" ht="13.5" thickBot="1" x14ac:dyDescent="0.25">
      <c r="A363" s="3"/>
      <c r="B363" s="3"/>
      <c r="C363" s="3"/>
      <c r="D363" s="3"/>
      <c r="E363" s="16"/>
      <c r="F363" s="3"/>
      <c r="G363" s="4"/>
      <c r="H363" s="4"/>
      <c r="I363" s="3"/>
      <c r="J363" s="3"/>
      <c r="K363" s="3"/>
    </row>
    <row r="364" spans="1:11" ht="13.5" thickBot="1" x14ac:dyDescent="0.25">
      <c r="A364" s="3"/>
      <c r="B364" s="3"/>
      <c r="C364" s="3"/>
      <c r="D364" s="3"/>
      <c r="E364" s="16"/>
      <c r="F364" s="3"/>
      <c r="G364" s="4"/>
      <c r="H364" s="4"/>
      <c r="I364" s="3"/>
      <c r="J364" s="3"/>
      <c r="K364" s="3"/>
    </row>
    <row r="365" spans="1:11" ht="13.5" thickBot="1" x14ac:dyDescent="0.25">
      <c r="A365" s="3"/>
      <c r="B365" s="3"/>
      <c r="C365" s="3"/>
      <c r="D365" s="3"/>
      <c r="E365" s="16"/>
      <c r="F365" s="3"/>
      <c r="G365" s="4"/>
      <c r="H365" s="4"/>
      <c r="I365" s="3"/>
      <c r="J365" s="3"/>
      <c r="K365" s="3"/>
    </row>
    <row r="366" spans="1:11" ht="13.5" thickBot="1" x14ac:dyDescent="0.25">
      <c r="A366" s="3"/>
      <c r="B366" s="3"/>
      <c r="C366" s="3"/>
      <c r="D366" s="3"/>
      <c r="E366" s="16"/>
      <c r="F366" s="3"/>
      <c r="G366" s="4"/>
      <c r="H366" s="4"/>
      <c r="I366" s="3"/>
      <c r="J366" s="3"/>
      <c r="K366" s="3"/>
    </row>
    <row r="367" spans="1:11" ht="13.5" thickBot="1" x14ac:dyDescent="0.25">
      <c r="A367" s="3"/>
      <c r="B367" s="3"/>
      <c r="C367" s="3"/>
      <c r="D367" s="3"/>
      <c r="E367" s="16"/>
      <c r="F367" s="3"/>
      <c r="G367" s="4"/>
      <c r="H367" s="4"/>
      <c r="I367" s="3"/>
      <c r="J367" s="3"/>
      <c r="K367" s="3"/>
    </row>
    <row r="368" spans="1:11" ht="13.5" thickBot="1" x14ac:dyDescent="0.25">
      <c r="A368" s="3"/>
      <c r="B368" s="3"/>
      <c r="C368" s="3"/>
      <c r="D368" s="3"/>
      <c r="E368" s="16"/>
      <c r="F368" s="3"/>
      <c r="G368" s="4"/>
      <c r="H368" s="4"/>
      <c r="I368" s="3"/>
      <c r="J368" s="3"/>
      <c r="K368" s="3"/>
    </row>
    <row r="369" spans="1:11" ht="13.5" thickBot="1" x14ac:dyDescent="0.25">
      <c r="A369" s="3"/>
      <c r="B369" s="3"/>
      <c r="C369" s="3"/>
      <c r="D369" s="3"/>
      <c r="E369" s="16"/>
      <c r="F369" s="3"/>
      <c r="G369" s="4"/>
      <c r="H369" s="4"/>
      <c r="I369" s="3"/>
      <c r="J369" s="3"/>
      <c r="K369" s="3"/>
    </row>
    <row r="370" spans="1:11" ht="13.5" thickBot="1" x14ac:dyDescent="0.25">
      <c r="A370" s="3"/>
      <c r="B370" s="3"/>
      <c r="C370" s="3"/>
      <c r="D370" s="3"/>
      <c r="E370" s="16"/>
      <c r="F370" s="3"/>
      <c r="G370" s="4"/>
      <c r="H370" s="4"/>
      <c r="I370" s="3"/>
      <c r="J370" s="3"/>
      <c r="K370" s="3"/>
    </row>
    <row r="371" spans="1:11" ht="13.5" thickBot="1" x14ac:dyDescent="0.25">
      <c r="A371" s="3"/>
      <c r="B371" s="3"/>
      <c r="C371" s="3"/>
      <c r="D371" s="3"/>
      <c r="E371" s="16"/>
      <c r="F371" s="3"/>
      <c r="G371" s="4"/>
      <c r="H371" s="4"/>
      <c r="I371" s="3"/>
      <c r="J371" s="3"/>
      <c r="K371" s="3"/>
    </row>
    <row r="372" spans="1:11" ht="13.5" thickBot="1" x14ac:dyDescent="0.25">
      <c r="A372" s="3"/>
      <c r="B372" s="3"/>
      <c r="C372" s="3"/>
      <c r="D372" s="3"/>
      <c r="E372" s="16"/>
      <c r="F372" s="3"/>
      <c r="G372" s="4"/>
      <c r="H372" s="4"/>
      <c r="I372" s="3"/>
      <c r="J372" s="3"/>
      <c r="K372" s="3"/>
    </row>
    <row r="373" spans="1:11" ht="13.5" thickBot="1" x14ac:dyDescent="0.25">
      <c r="A373" s="3"/>
      <c r="B373" s="3"/>
      <c r="C373" s="3"/>
      <c r="D373" s="3"/>
      <c r="E373" s="16"/>
      <c r="F373" s="3"/>
      <c r="G373" s="4"/>
      <c r="H373" s="4"/>
      <c r="I373" s="3"/>
      <c r="J373" s="3"/>
      <c r="K373" s="3"/>
    </row>
    <row r="374" spans="1:11" ht="13.5" thickBot="1" x14ac:dyDescent="0.25">
      <c r="A374" s="3"/>
      <c r="B374" s="3"/>
      <c r="C374" s="3"/>
      <c r="D374" s="3"/>
      <c r="E374" s="16"/>
      <c r="F374" s="3"/>
      <c r="G374" s="4"/>
      <c r="H374" s="4"/>
      <c r="I374" s="3"/>
      <c r="J374" s="3"/>
      <c r="K374" s="3"/>
    </row>
    <row r="375" spans="1:11" ht="13.5" thickBot="1" x14ac:dyDescent="0.25">
      <c r="A375" s="3"/>
      <c r="B375" s="3"/>
      <c r="C375" s="3"/>
      <c r="D375" s="3"/>
      <c r="E375" s="16"/>
      <c r="F375" s="3"/>
      <c r="G375" s="4"/>
      <c r="H375" s="4"/>
      <c r="I375" s="3"/>
      <c r="J375" s="3"/>
      <c r="K375" s="3"/>
    </row>
    <row r="376" spans="1:11" ht="13.5" thickBot="1" x14ac:dyDescent="0.25">
      <c r="A376" s="3"/>
      <c r="B376" s="3"/>
      <c r="C376" s="3"/>
      <c r="D376" s="3"/>
      <c r="E376" s="16"/>
      <c r="F376" s="3"/>
      <c r="G376" s="4"/>
      <c r="H376" s="4"/>
      <c r="I376" s="3"/>
      <c r="J376" s="3"/>
      <c r="K376" s="3"/>
    </row>
    <row r="377" spans="1:11" ht="13.5" thickBot="1" x14ac:dyDescent="0.25">
      <c r="A377" s="3"/>
      <c r="B377" s="3"/>
      <c r="C377" s="3"/>
      <c r="D377" s="3"/>
      <c r="E377" s="16"/>
      <c r="F377" s="3"/>
      <c r="G377" s="4"/>
      <c r="H377" s="4"/>
      <c r="I377" s="3"/>
      <c r="J377" s="3"/>
      <c r="K377" s="3"/>
    </row>
    <row r="378" spans="1:11" ht="13.5" thickBot="1" x14ac:dyDescent="0.25">
      <c r="A378" s="3"/>
      <c r="B378" s="3"/>
      <c r="C378" s="3"/>
      <c r="D378" s="3"/>
      <c r="E378" s="16"/>
      <c r="F378" s="3"/>
      <c r="G378" s="4"/>
      <c r="H378" s="4"/>
      <c r="I378" s="3"/>
      <c r="J378" s="3"/>
      <c r="K378" s="3"/>
    </row>
    <row r="379" spans="1:11" ht="13.5" thickBot="1" x14ac:dyDescent="0.25">
      <c r="A379" s="3"/>
      <c r="B379" s="3"/>
      <c r="C379" s="3"/>
      <c r="D379" s="3"/>
      <c r="E379" s="16"/>
      <c r="F379" s="3"/>
      <c r="G379" s="4"/>
      <c r="H379" s="4"/>
      <c r="I379" s="3"/>
      <c r="J379" s="3"/>
      <c r="K379" s="3"/>
    </row>
    <row r="380" spans="1:11" ht="13.5" thickBot="1" x14ac:dyDescent="0.25">
      <c r="A380" s="3"/>
      <c r="B380" s="3"/>
      <c r="C380" s="3"/>
      <c r="D380" s="3"/>
      <c r="E380" s="16"/>
      <c r="F380" s="3"/>
      <c r="G380" s="4"/>
      <c r="H380" s="4"/>
      <c r="I380" s="3"/>
      <c r="J380" s="3"/>
      <c r="K380" s="3"/>
    </row>
    <row r="381" spans="1:11" ht="13.5" thickBot="1" x14ac:dyDescent="0.25">
      <c r="A381" s="3"/>
      <c r="B381" s="3"/>
      <c r="C381" s="3"/>
      <c r="D381" s="3"/>
      <c r="E381" s="16"/>
      <c r="F381" s="3"/>
      <c r="G381" s="4"/>
      <c r="H381" s="4"/>
      <c r="I381" s="3"/>
      <c r="J381" s="3"/>
      <c r="K381" s="3"/>
    </row>
    <row r="382" spans="1:11" ht="13.5" thickBot="1" x14ac:dyDescent="0.25">
      <c r="A382" s="3"/>
      <c r="B382" s="3"/>
      <c r="C382" s="3"/>
      <c r="D382" s="3"/>
      <c r="E382" s="16"/>
      <c r="F382" s="5"/>
      <c r="G382" s="4"/>
      <c r="H382" s="4"/>
      <c r="I382" s="3"/>
      <c r="J382" s="3"/>
      <c r="K382" s="3"/>
    </row>
    <row r="383" spans="1:11" ht="13.5" thickBot="1" x14ac:dyDescent="0.25">
      <c r="A383" s="3"/>
      <c r="B383" s="3"/>
      <c r="C383" s="3"/>
      <c r="D383" s="3"/>
      <c r="E383" s="16"/>
      <c r="F383" s="3"/>
      <c r="G383" s="4"/>
      <c r="H383" s="4"/>
      <c r="I383" s="3"/>
      <c r="J383" s="3"/>
      <c r="K383" s="3"/>
    </row>
    <row r="384" spans="1:11" ht="13.5" thickBot="1" x14ac:dyDescent="0.25">
      <c r="A384" s="3"/>
      <c r="B384" s="3"/>
      <c r="C384" s="3"/>
      <c r="D384" s="3"/>
      <c r="E384" s="16"/>
      <c r="F384" s="3"/>
      <c r="G384" s="4"/>
      <c r="H384" s="4"/>
      <c r="I384" s="3"/>
      <c r="J384" s="3"/>
      <c r="K384" s="3"/>
    </row>
    <row r="385" spans="1:11" ht="13.5" thickBot="1" x14ac:dyDescent="0.25">
      <c r="A385" s="3"/>
      <c r="B385" s="3"/>
      <c r="C385" s="3"/>
      <c r="D385" s="3"/>
      <c r="E385" s="16"/>
      <c r="F385" s="3"/>
      <c r="G385" s="4"/>
      <c r="H385" s="4"/>
      <c r="I385" s="3"/>
      <c r="J385" s="3"/>
      <c r="K385" s="3"/>
    </row>
    <row r="386" spans="1:11" ht="13.5" thickBot="1" x14ac:dyDescent="0.25">
      <c r="A386" s="3"/>
      <c r="B386" s="3"/>
      <c r="C386" s="3"/>
      <c r="D386" s="3"/>
      <c r="E386" s="16"/>
      <c r="F386" s="3"/>
      <c r="G386" s="4"/>
      <c r="H386" s="4"/>
      <c r="I386" s="3"/>
      <c r="J386" s="3"/>
      <c r="K386" s="3"/>
    </row>
    <row r="387" spans="1:11" ht="13.5" thickBot="1" x14ac:dyDescent="0.25">
      <c r="A387" s="3"/>
      <c r="B387" s="3"/>
      <c r="C387" s="3"/>
      <c r="D387" s="3"/>
      <c r="E387" s="16"/>
      <c r="F387" s="3"/>
      <c r="G387" s="4"/>
      <c r="H387" s="4"/>
      <c r="I387" s="3"/>
      <c r="J387" s="3"/>
      <c r="K387" s="3"/>
    </row>
    <row r="388" spans="1:11" ht="13.5" thickBot="1" x14ac:dyDescent="0.25">
      <c r="A388" s="3"/>
      <c r="B388" s="3"/>
      <c r="C388" s="3"/>
      <c r="D388" s="3"/>
      <c r="E388" s="16"/>
      <c r="F388" s="5"/>
      <c r="G388" s="4"/>
      <c r="H388" s="4"/>
      <c r="I388" s="3"/>
      <c r="J388" s="3"/>
      <c r="K388" s="3"/>
    </row>
    <row r="389" spans="1:11" ht="13.5" thickBot="1" x14ac:dyDescent="0.25">
      <c r="A389" s="3"/>
      <c r="B389" s="3"/>
      <c r="C389" s="3"/>
      <c r="D389" s="3"/>
      <c r="E389" s="16"/>
      <c r="F389" s="5"/>
      <c r="G389" s="4"/>
      <c r="H389" s="4"/>
      <c r="I389" s="3"/>
      <c r="J389" s="3"/>
      <c r="K389" s="3"/>
    </row>
    <row r="390" spans="1:11" ht="13.5" thickBot="1" x14ac:dyDescent="0.25">
      <c r="A390" s="3"/>
      <c r="B390" s="3"/>
      <c r="C390" s="3"/>
      <c r="D390" s="3"/>
      <c r="E390" s="16"/>
      <c r="F390" s="3"/>
      <c r="G390" s="4"/>
      <c r="H390" s="4"/>
      <c r="I390" s="3"/>
      <c r="J390" s="3"/>
      <c r="K390" s="3"/>
    </row>
    <row r="391" spans="1:11" ht="13.5" thickBot="1" x14ac:dyDescent="0.25">
      <c r="A391" s="3"/>
      <c r="B391" s="3"/>
      <c r="C391" s="3"/>
      <c r="D391" s="3"/>
      <c r="E391" s="16"/>
      <c r="F391" s="3"/>
      <c r="G391" s="4"/>
      <c r="H391" s="4"/>
      <c r="I391" s="3"/>
      <c r="J391" s="3"/>
      <c r="K391" s="3"/>
    </row>
    <row r="392" spans="1:11" ht="13.5" thickBot="1" x14ac:dyDescent="0.25">
      <c r="A392" s="3"/>
      <c r="B392" s="3"/>
      <c r="C392" s="3"/>
      <c r="D392" s="3"/>
      <c r="E392" s="16"/>
      <c r="F392" s="3"/>
      <c r="G392" s="4"/>
      <c r="H392" s="4"/>
      <c r="I392" s="3"/>
      <c r="J392" s="3"/>
      <c r="K392" s="3"/>
    </row>
    <row r="393" spans="1:11" ht="13.5" thickBot="1" x14ac:dyDescent="0.25">
      <c r="A393" s="3"/>
      <c r="B393" s="3"/>
      <c r="C393" s="3"/>
      <c r="D393" s="3"/>
      <c r="E393" s="16"/>
      <c r="F393" s="3"/>
      <c r="G393" s="4"/>
      <c r="H393" s="4"/>
      <c r="I393" s="3"/>
      <c r="J393" s="3"/>
      <c r="K393" s="3"/>
    </row>
    <row r="394" spans="1:11" ht="13.5" thickBot="1" x14ac:dyDescent="0.25">
      <c r="A394" s="3"/>
      <c r="B394" s="3"/>
      <c r="C394" s="3"/>
      <c r="D394" s="3"/>
      <c r="E394" s="16"/>
      <c r="F394" s="3"/>
      <c r="G394" s="4"/>
      <c r="H394" s="4"/>
      <c r="I394" s="3"/>
      <c r="J394" s="3"/>
      <c r="K394" s="3"/>
    </row>
    <row r="395" spans="1:11" ht="13.5" thickBot="1" x14ac:dyDescent="0.25">
      <c r="A395" s="3"/>
      <c r="B395" s="3"/>
      <c r="C395" s="3"/>
      <c r="D395" s="3"/>
      <c r="E395" s="16"/>
      <c r="F395" s="3"/>
      <c r="G395" s="4"/>
      <c r="H395" s="4"/>
      <c r="I395" s="3"/>
      <c r="J395" s="3"/>
      <c r="K395" s="3"/>
    </row>
    <row r="396" spans="1:11" ht="13.5" thickBot="1" x14ac:dyDescent="0.25">
      <c r="A396" s="3"/>
      <c r="B396" s="3"/>
      <c r="C396" s="3"/>
      <c r="D396" s="3"/>
      <c r="E396" s="16"/>
      <c r="F396" s="3"/>
      <c r="G396" s="4"/>
      <c r="H396" s="4"/>
      <c r="I396" s="3"/>
      <c r="J396" s="3"/>
      <c r="K396" s="3"/>
    </row>
    <row r="397" spans="1:11" ht="13.5" thickBot="1" x14ac:dyDescent="0.25">
      <c r="A397" s="3"/>
      <c r="B397" s="3"/>
      <c r="C397" s="3"/>
      <c r="D397" s="3"/>
      <c r="E397" s="16"/>
      <c r="F397" s="3"/>
      <c r="G397" s="4"/>
      <c r="H397" s="4"/>
      <c r="I397" s="3"/>
      <c r="J397" s="3"/>
      <c r="K397" s="3"/>
    </row>
    <row r="398" spans="1:11" ht="13.5" thickBot="1" x14ac:dyDescent="0.25">
      <c r="A398" s="3"/>
      <c r="B398" s="3"/>
      <c r="C398" s="3"/>
      <c r="D398" s="3"/>
      <c r="E398" s="16"/>
      <c r="F398" s="3"/>
      <c r="G398" s="4"/>
      <c r="H398" s="4"/>
      <c r="I398" s="3"/>
      <c r="J398" s="3"/>
      <c r="K398" s="3"/>
    </row>
    <row r="399" spans="1:11" ht="13.5" thickBot="1" x14ac:dyDescent="0.25">
      <c r="A399" s="3"/>
      <c r="B399" s="3"/>
      <c r="C399" s="3"/>
      <c r="D399" s="3"/>
      <c r="E399" s="16"/>
      <c r="F399" s="3"/>
      <c r="G399" s="4"/>
      <c r="H399" s="4"/>
      <c r="I399" s="3"/>
      <c r="J399" s="3"/>
      <c r="K399" s="3"/>
    </row>
    <row r="400" spans="1:11" ht="13.5" thickBot="1" x14ac:dyDescent="0.25">
      <c r="A400" s="3"/>
      <c r="B400" s="3"/>
      <c r="C400" s="3"/>
      <c r="D400" s="3"/>
      <c r="E400" s="16"/>
      <c r="F400" s="3"/>
      <c r="G400" s="4"/>
      <c r="H400" s="4"/>
      <c r="I400" s="3"/>
      <c r="J400" s="3"/>
      <c r="K400" s="3"/>
    </row>
    <row r="401" spans="1:11" ht="13.5" thickBot="1" x14ac:dyDescent="0.25">
      <c r="A401" s="3"/>
      <c r="B401" s="3"/>
      <c r="C401" s="3"/>
      <c r="D401" s="3"/>
      <c r="E401" s="16"/>
      <c r="F401" s="5"/>
      <c r="G401" s="4"/>
      <c r="H401" s="4"/>
      <c r="I401" s="3"/>
      <c r="J401" s="3"/>
      <c r="K401" s="3"/>
    </row>
    <row r="402" spans="1:11" ht="13.5" thickBot="1" x14ac:dyDescent="0.25">
      <c r="A402" s="3"/>
      <c r="B402" s="3"/>
      <c r="C402" s="3"/>
      <c r="D402" s="3"/>
      <c r="E402" s="16"/>
      <c r="F402" s="3"/>
      <c r="G402" s="4"/>
      <c r="H402" s="4"/>
      <c r="I402" s="3"/>
      <c r="J402" s="3"/>
      <c r="K402" s="3"/>
    </row>
    <row r="403" spans="1:11" ht="13.5" thickBot="1" x14ac:dyDescent="0.25">
      <c r="A403" s="3"/>
      <c r="B403" s="3"/>
      <c r="C403" s="3"/>
      <c r="D403" s="3"/>
      <c r="E403" s="16"/>
      <c r="F403" s="3"/>
      <c r="G403" s="4"/>
      <c r="H403" s="4"/>
      <c r="I403" s="3"/>
      <c r="J403" s="3"/>
      <c r="K403" s="3"/>
    </row>
    <row r="404" spans="1:11" ht="13.5" thickBot="1" x14ac:dyDescent="0.25">
      <c r="A404" s="3"/>
      <c r="B404" s="3"/>
      <c r="C404" s="3"/>
      <c r="D404" s="3"/>
      <c r="E404" s="16"/>
      <c r="F404" s="3"/>
      <c r="G404" s="4"/>
      <c r="H404" s="4"/>
      <c r="I404" s="3"/>
      <c r="J404" s="3"/>
      <c r="K404" s="3"/>
    </row>
    <row r="405" spans="1:11" ht="13.5" thickBot="1" x14ac:dyDescent="0.25">
      <c r="A405" s="3"/>
      <c r="B405" s="3"/>
      <c r="C405" s="3"/>
      <c r="D405" s="3"/>
      <c r="E405" s="16"/>
      <c r="F405" s="3"/>
      <c r="G405" s="4"/>
      <c r="H405" s="4"/>
      <c r="I405" s="3"/>
      <c r="J405" s="3"/>
      <c r="K405" s="3"/>
    </row>
    <row r="406" spans="1:11" ht="13.5" thickBot="1" x14ac:dyDescent="0.25">
      <c r="A406" s="3"/>
      <c r="B406" s="3"/>
      <c r="C406" s="3"/>
      <c r="D406" s="3"/>
      <c r="E406" s="16"/>
      <c r="F406" s="3"/>
      <c r="G406" s="4"/>
      <c r="H406" s="4"/>
      <c r="I406" s="3"/>
      <c r="J406" s="3"/>
      <c r="K406" s="3"/>
    </row>
    <row r="407" spans="1:11" ht="13.5" thickBot="1" x14ac:dyDescent="0.25">
      <c r="A407" s="3"/>
      <c r="B407" s="3"/>
      <c r="C407" s="3"/>
      <c r="D407" s="3"/>
      <c r="E407" s="16"/>
      <c r="F407" s="3"/>
      <c r="G407" s="4"/>
      <c r="H407" s="4"/>
      <c r="I407" s="3"/>
      <c r="J407" s="3"/>
      <c r="K407" s="3"/>
    </row>
    <row r="408" spans="1:11" ht="13.5" thickBot="1" x14ac:dyDescent="0.25">
      <c r="A408" s="3"/>
      <c r="B408" s="3"/>
      <c r="C408" s="3"/>
      <c r="D408" s="3"/>
      <c r="E408" s="16"/>
      <c r="F408" s="3"/>
      <c r="G408" s="4"/>
      <c r="H408" s="4"/>
      <c r="I408" s="3"/>
      <c r="J408" s="3"/>
      <c r="K408" s="3"/>
    </row>
    <row r="409" spans="1:11" ht="13.5" thickBot="1" x14ac:dyDescent="0.25">
      <c r="A409" s="3"/>
      <c r="B409" s="3"/>
      <c r="C409" s="3"/>
      <c r="D409" s="3"/>
      <c r="E409" s="16"/>
      <c r="F409" s="3"/>
      <c r="G409" s="4"/>
      <c r="H409" s="4"/>
      <c r="I409" s="3"/>
      <c r="J409" s="3"/>
      <c r="K409" s="3"/>
    </row>
    <row r="410" spans="1:11" ht="13.5" thickBot="1" x14ac:dyDescent="0.25">
      <c r="A410" s="3"/>
      <c r="B410" s="3"/>
      <c r="C410" s="3"/>
      <c r="D410" s="3"/>
      <c r="E410" s="16"/>
      <c r="F410" s="3"/>
      <c r="G410" s="4"/>
      <c r="H410" s="4"/>
      <c r="I410" s="3"/>
      <c r="J410" s="3"/>
      <c r="K410" s="3"/>
    </row>
    <row r="411" spans="1:11" ht="13.5" thickBot="1" x14ac:dyDescent="0.25">
      <c r="A411" s="3"/>
      <c r="B411" s="3"/>
      <c r="C411" s="3"/>
      <c r="D411" s="3"/>
      <c r="E411" s="16"/>
      <c r="F411" s="3"/>
      <c r="G411" s="4"/>
      <c r="H411" s="4"/>
      <c r="I411" s="3"/>
      <c r="J411" s="3"/>
      <c r="K411" s="3"/>
    </row>
    <row r="412" spans="1:11" ht="13.5" thickBot="1" x14ac:dyDescent="0.25">
      <c r="A412" s="3"/>
      <c r="B412" s="3"/>
      <c r="C412" s="3"/>
      <c r="D412" s="3"/>
      <c r="E412" s="16"/>
      <c r="F412" s="3"/>
      <c r="G412" s="4"/>
      <c r="H412" s="4"/>
      <c r="I412" s="3"/>
      <c r="J412" s="3"/>
      <c r="K412" s="3"/>
    </row>
    <row r="413" spans="1:11" ht="13.5" thickBot="1" x14ac:dyDescent="0.25">
      <c r="A413" s="3"/>
      <c r="B413" s="3"/>
      <c r="C413" s="3"/>
      <c r="D413" s="3"/>
      <c r="E413" s="16"/>
      <c r="F413" s="3"/>
      <c r="G413" s="4"/>
      <c r="H413" s="4"/>
      <c r="I413" s="3"/>
      <c r="J413" s="3"/>
      <c r="K413" s="3"/>
    </row>
    <row r="414" spans="1:11" ht="13.5" thickBot="1" x14ac:dyDescent="0.25">
      <c r="A414" s="3"/>
      <c r="B414" s="3"/>
      <c r="C414" s="3"/>
      <c r="D414" s="3"/>
      <c r="E414" s="16"/>
      <c r="F414" s="3"/>
      <c r="G414" s="4"/>
      <c r="H414" s="4"/>
      <c r="I414" s="3"/>
      <c r="J414" s="3"/>
      <c r="K414" s="3"/>
    </row>
    <row r="415" spans="1:11" ht="13.5" thickBot="1" x14ac:dyDescent="0.25">
      <c r="A415" s="3"/>
      <c r="B415" s="3"/>
      <c r="C415" s="3"/>
      <c r="D415" s="3"/>
      <c r="E415" s="16"/>
      <c r="F415" s="3"/>
      <c r="G415" s="4"/>
      <c r="H415" s="4"/>
      <c r="I415" s="3"/>
      <c r="J415" s="3"/>
      <c r="K415" s="3"/>
    </row>
    <row r="416" spans="1:11" ht="13.5" thickBot="1" x14ac:dyDescent="0.25">
      <c r="A416" s="3"/>
      <c r="B416" s="3"/>
      <c r="C416" s="3"/>
      <c r="D416" s="3"/>
      <c r="E416" s="16"/>
      <c r="F416" s="3"/>
      <c r="G416" s="4"/>
      <c r="H416" s="4"/>
      <c r="I416" s="3"/>
      <c r="J416" s="3"/>
      <c r="K416" s="3"/>
    </row>
    <row r="417" spans="1:11" ht="13.5" thickBot="1" x14ac:dyDescent="0.25">
      <c r="A417" s="3"/>
      <c r="B417" s="3"/>
      <c r="C417" s="3"/>
      <c r="D417" s="3"/>
      <c r="E417" s="16"/>
      <c r="F417" s="3"/>
      <c r="G417" s="4"/>
      <c r="H417" s="4"/>
      <c r="I417" s="3"/>
      <c r="J417" s="3"/>
      <c r="K417" s="3"/>
    </row>
    <row r="418" spans="1:11" ht="13.5" thickBot="1" x14ac:dyDescent="0.25">
      <c r="A418" s="3"/>
      <c r="B418" s="3"/>
      <c r="C418" s="3"/>
      <c r="D418" s="3"/>
      <c r="E418" s="16"/>
      <c r="F418" s="3"/>
      <c r="G418" s="4"/>
      <c r="H418" s="4"/>
      <c r="I418" s="3"/>
      <c r="J418" s="3"/>
      <c r="K418" s="3"/>
    </row>
    <row r="419" spans="1:11" ht="13.5" thickBot="1" x14ac:dyDescent="0.25">
      <c r="A419" s="3"/>
      <c r="B419" s="3"/>
      <c r="C419" s="3"/>
      <c r="D419" s="3"/>
      <c r="E419" s="16"/>
      <c r="F419" s="3"/>
      <c r="G419" s="4"/>
      <c r="H419" s="4"/>
      <c r="I419" s="3"/>
      <c r="J419" s="3"/>
      <c r="K419" s="3"/>
    </row>
    <row r="420" spans="1:11" ht="13.5" thickBot="1" x14ac:dyDescent="0.25">
      <c r="A420" s="3"/>
      <c r="B420" s="3"/>
      <c r="C420" s="3"/>
      <c r="D420" s="3"/>
      <c r="E420" s="16"/>
      <c r="F420" s="3"/>
      <c r="G420" s="4"/>
      <c r="H420" s="4"/>
      <c r="I420" s="3"/>
      <c r="J420" s="3"/>
      <c r="K420" s="3"/>
    </row>
    <row r="421" spans="1:11" ht="13.5" thickBot="1" x14ac:dyDescent="0.25">
      <c r="A421" s="3"/>
      <c r="B421" s="3"/>
      <c r="C421" s="3"/>
      <c r="D421" s="3"/>
      <c r="E421" s="16"/>
      <c r="F421" s="3"/>
      <c r="G421" s="4"/>
      <c r="H421" s="4"/>
      <c r="I421" s="3"/>
      <c r="J421" s="3"/>
      <c r="K421" s="3"/>
    </row>
    <row r="422" spans="1:11" ht="13.5" thickBot="1" x14ac:dyDescent="0.25">
      <c r="A422" s="3"/>
      <c r="B422" s="3"/>
      <c r="C422" s="3"/>
      <c r="D422" s="3"/>
      <c r="E422" s="16"/>
      <c r="F422" s="3"/>
      <c r="G422" s="4"/>
      <c r="H422" s="4"/>
      <c r="I422" s="3"/>
      <c r="J422" s="3"/>
      <c r="K422" s="3"/>
    </row>
    <row r="423" spans="1:11" ht="13.5" thickBot="1" x14ac:dyDescent="0.25">
      <c r="A423" s="3"/>
      <c r="B423" s="3"/>
      <c r="C423" s="3"/>
      <c r="D423" s="3"/>
      <c r="E423" s="16"/>
      <c r="F423" s="3"/>
      <c r="G423" s="4"/>
      <c r="H423" s="4"/>
      <c r="I423" s="3"/>
      <c r="J423" s="3"/>
      <c r="K423" s="3"/>
    </row>
    <row r="424" spans="1:11" ht="13.5" thickBot="1" x14ac:dyDescent="0.25">
      <c r="A424" s="3"/>
      <c r="B424" s="3"/>
      <c r="C424" s="3"/>
      <c r="D424" s="3"/>
      <c r="E424" s="16"/>
      <c r="F424" s="3"/>
      <c r="G424" s="4"/>
      <c r="H424" s="4"/>
      <c r="I424" s="3"/>
      <c r="J424" s="3"/>
      <c r="K424" s="3"/>
    </row>
    <row r="425" spans="1:11" ht="13.5" thickBot="1" x14ac:dyDescent="0.25">
      <c r="A425" s="3"/>
      <c r="B425" s="3"/>
      <c r="C425" s="3"/>
      <c r="D425" s="3"/>
      <c r="E425" s="16"/>
      <c r="F425" s="3"/>
      <c r="G425" s="4"/>
      <c r="H425" s="4"/>
      <c r="I425" s="3"/>
      <c r="J425" s="3"/>
      <c r="K425" s="3"/>
    </row>
    <row r="426" spans="1:11" ht="13.5" thickBot="1" x14ac:dyDescent="0.25">
      <c r="A426" s="3"/>
      <c r="B426" s="3"/>
      <c r="C426" s="3"/>
      <c r="D426" s="3"/>
      <c r="E426" s="16"/>
      <c r="F426" s="3"/>
      <c r="G426" s="4"/>
      <c r="H426" s="4"/>
      <c r="I426" s="3"/>
      <c r="J426" s="3"/>
      <c r="K426" s="3"/>
    </row>
    <row r="427" spans="1:11" ht="13.5" thickBot="1" x14ac:dyDescent="0.25">
      <c r="A427" s="3"/>
      <c r="B427" s="3"/>
      <c r="C427" s="3"/>
      <c r="D427" s="3"/>
      <c r="E427" s="16"/>
      <c r="F427" s="3"/>
      <c r="G427" s="4"/>
      <c r="H427" s="4"/>
      <c r="I427" s="3"/>
      <c r="J427" s="3"/>
      <c r="K427" s="3"/>
    </row>
    <row r="428" spans="1:11" ht="13.5" thickBot="1" x14ac:dyDescent="0.25">
      <c r="A428" s="3"/>
      <c r="B428" s="3"/>
      <c r="C428" s="3"/>
      <c r="D428" s="3"/>
      <c r="E428" s="16"/>
      <c r="F428" s="3"/>
      <c r="G428" s="4"/>
      <c r="H428" s="4"/>
      <c r="I428" s="3"/>
      <c r="J428" s="3"/>
      <c r="K428" s="3"/>
    </row>
    <row r="429" spans="1:11" ht="13.5" thickBot="1" x14ac:dyDescent="0.25">
      <c r="A429" s="3"/>
      <c r="B429" s="3"/>
      <c r="C429" s="3"/>
      <c r="D429" s="3"/>
      <c r="E429" s="16"/>
      <c r="F429" s="3"/>
      <c r="G429" s="4"/>
      <c r="H429" s="4"/>
      <c r="I429" s="3"/>
      <c r="J429" s="3"/>
      <c r="K429" s="3"/>
    </row>
    <row r="430" spans="1:11" ht="13.5" thickBot="1" x14ac:dyDescent="0.25">
      <c r="A430" s="3"/>
      <c r="B430" s="3"/>
      <c r="C430" s="3"/>
      <c r="D430" s="3"/>
      <c r="E430" s="16"/>
      <c r="F430" s="3"/>
      <c r="G430" s="4"/>
      <c r="H430" s="4"/>
      <c r="I430" s="3"/>
      <c r="J430" s="3"/>
      <c r="K430" s="3"/>
    </row>
    <row r="431" spans="1:11" ht="13.5" thickBot="1" x14ac:dyDescent="0.25">
      <c r="A431" s="3"/>
      <c r="B431" s="3"/>
      <c r="C431" s="3"/>
      <c r="D431" s="3"/>
      <c r="E431" s="16"/>
      <c r="F431" s="3"/>
      <c r="G431" s="4"/>
      <c r="H431" s="4"/>
      <c r="I431" s="3"/>
      <c r="J431" s="3"/>
      <c r="K431" s="3"/>
    </row>
    <row r="432" spans="1:11" ht="13.5" thickBot="1" x14ac:dyDescent="0.25">
      <c r="A432" s="3"/>
      <c r="B432" s="3"/>
      <c r="C432" s="3"/>
      <c r="D432" s="3"/>
      <c r="E432" s="16"/>
      <c r="F432" s="3"/>
      <c r="G432" s="4"/>
      <c r="H432" s="4"/>
      <c r="I432" s="3"/>
      <c r="J432" s="3"/>
      <c r="K432" s="3"/>
    </row>
    <row r="433" spans="1:11" ht="13.5" thickBot="1" x14ac:dyDescent="0.25">
      <c r="A433" s="3"/>
      <c r="B433" s="3"/>
      <c r="C433" s="3"/>
      <c r="D433" s="3"/>
      <c r="E433" s="16"/>
      <c r="F433" s="3"/>
      <c r="G433" s="4"/>
      <c r="H433" s="4"/>
      <c r="I433" s="3"/>
      <c r="J433" s="3"/>
      <c r="K433" s="3"/>
    </row>
    <row r="434" spans="1:11" ht="13.5" thickBot="1" x14ac:dyDescent="0.25">
      <c r="A434" s="3"/>
      <c r="B434" s="3"/>
      <c r="C434" s="3"/>
      <c r="D434" s="3"/>
      <c r="E434" s="16"/>
      <c r="F434" s="3"/>
      <c r="G434" s="4"/>
      <c r="H434" s="4"/>
      <c r="I434" s="3"/>
      <c r="J434" s="3"/>
      <c r="K434" s="3"/>
    </row>
    <row r="435" spans="1:11" ht="13.5" thickBot="1" x14ac:dyDescent="0.25">
      <c r="A435" s="3"/>
      <c r="B435" s="3"/>
      <c r="C435" s="3"/>
      <c r="D435" s="3"/>
      <c r="E435" s="16"/>
      <c r="F435" s="3"/>
      <c r="G435" s="4"/>
      <c r="H435" s="4"/>
      <c r="I435" s="3"/>
      <c r="J435" s="3"/>
      <c r="K435" s="3"/>
    </row>
    <row r="436" spans="1:11" ht="13.5" thickBot="1" x14ac:dyDescent="0.25">
      <c r="A436" s="3"/>
      <c r="B436" s="3"/>
      <c r="C436" s="3"/>
      <c r="D436" s="3"/>
      <c r="E436" s="16"/>
      <c r="F436" s="3"/>
      <c r="G436" s="4"/>
      <c r="H436" s="4"/>
      <c r="I436" s="3"/>
      <c r="J436" s="3"/>
      <c r="K436" s="3"/>
    </row>
    <row r="437" spans="1:11" ht="13.5" thickBot="1" x14ac:dyDescent="0.25">
      <c r="A437" s="3"/>
      <c r="B437" s="3"/>
      <c r="C437" s="3"/>
      <c r="D437" s="3"/>
      <c r="E437" s="16"/>
      <c r="F437" s="3"/>
      <c r="G437" s="4"/>
      <c r="H437" s="4"/>
      <c r="I437" s="3"/>
      <c r="J437" s="3"/>
      <c r="K437" s="3"/>
    </row>
    <row r="438" spans="1:11" ht="13.5" thickBot="1" x14ac:dyDescent="0.25">
      <c r="A438" s="3"/>
      <c r="B438" s="3"/>
      <c r="C438" s="3"/>
      <c r="D438" s="3"/>
      <c r="E438" s="16"/>
      <c r="F438" s="3"/>
      <c r="G438" s="4"/>
      <c r="H438" s="4"/>
      <c r="I438" s="3"/>
      <c r="J438" s="3"/>
      <c r="K438" s="3"/>
    </row>
    <row r="439" spans="1:11" ht="13.5" thickBot="1" x14ac:dyDescent="0.25">
      <c r="A439" s="3"/>
      <c r="B439" s="3"/>
      <c r="C439" s="3"/>
      <c r="D439" s="3"/>
      <c r="E439" s="16"/>
      <c r="F439" s="3"/>
      <c r="G439" s="4"/>
      <c r="H439" s="4"/>
      <c r="I439" s="3"/>
      <c r="J439" s="3"/>
      <c r="K439" s="3"/>
    </row>
    <row r="440" spans="1:11" ht="13.5" thickBot="1" x14ac:dyDescent="0.25">
      <c r="A440" s="3"/>
      <c r="B440" s="3"/>
      <c r="C440" s="3"/>
      <c r="D440" s="3"/>
      <c r="E440" s="16"/>
      <c r="F440" s="3"/>
      <c r="G440" s="4"/>
      <c r="H440" s="4"/>
      <c r="I440" s="3"/>
      <c r="J440" s="3"/>
      <c r="K440" s="3"/>
    </row>
    <row r="441" spans="1:11" ht="13.5" thickBot="1" x14ac:dyDescent="0.25">
      <c r="A441" s="3"/>
      <c r="B441" s="3"/>
      <c r="C441" s="3"/>
      <c r="D441" s="3"/>
      <c r="E441" s="16"/>
      <c r="F441" s="3"/>
      <c r="G441" s="4"/>
      <c r="H441" s="4"/>
      <c r="I441" s="3"/>
      <c r="J441" s="3"/>
      <c r="K441" s="3"/>
    </row>
    <row r="442" spans="1:11" ht="13.5" thickBot="1" x14ac:dyDescent="0.25">
      <c r="A442" s="3"/>
      <c r="B442" s="3"/>
      <c r="C442" s="3"/>
      <c r="D442" s="3"/>
      <c r="E442" s="16"/>
      <c r="F442" s="3"/>
      <c r="G442" s="4"/>
      <c r="H442" s="4"/>
      <c r="I442" s="3"/>
      <c r="J442" s="3"/>
      <c r="K442" s="3"/>
    </row>
    <row r="443" spans="1:11" ht="13.5" thickBot="1" x14ac:dyDescent="0.25">
      <c r="A443" s="3"/>
      <c r="B443" s="3"/>
      <c r="C443" s="3"/>
      <c r="D443" s="3"/>
      <c r="E443" s="16"/>
      <c r="F443" s="3"/>
      <c r="G443" s="4"/>
      <c r="H443" s="4"/>
      <c r="I443" s="3"/>
      <c r="J443" s="3"/>
      <c r="K443" s="3"/>
    </row>
    <row r="444" spans="1:11" ht="13.5" thickBot="1" x14ac:dyDescent="0.25">
      <c r="A444" s="3"/>
      <c r="B444" s="3"/>
      <c r="C444" s="3"/>
      <c r="D444" s="3"/>
      <c r="E444" s="16"/>
      <c r="F444" s="3"/>
      <c r="G444" s="4"/>
      <c r="H444" s="4"/>
      <c r="I444" s="3"/>
      <c r="J444" s="3"/>
      <c r="K444" s="3"/>
    </row>
    <row r="445" spans="1:11" ht="13.5" thickBot="1" x14ac:dyDescent="0.25">
      <c r="A445" s="3"/>
      <c r="B445" s="3"/>
      <c r="C445" s="3"/>
      <c r="D445" s="3"/>
      <c r="E445" s="16"/>
      <c r="F445" s="3"/>
      <c r="G445" s="4"/>
      <c r="H445" s="4"/>
      <c r="I445" s="3"/>
      <c r="J445" s="3"/>
      <c r="K445" s="3"/>
    </row>
    <row r="446" spans="1:11" ht="13.5" thickBot="1" x14ac:dyDescent="0.25">
      <c r="A446" s="3"/>
      <c r="B446" s="3"/>
      <c r="C446" s="3"/>
      <c r="D446" s="3"/>
      <c r="E446" s="16"/>
      <c r="F446" s="3"/>
      <c r="G446" s="4"/>
      <c r="H446" s="4"/>
      <c r="I446" s="3"/>
      <c r="J446" s="3"/>
      <c r="K446" s="3"/>
    </row>
    <row r="447" spans="1:11" ht="13.5" thickBot="1" x14ac:dyDescent="0.25">
      <c r="A447" s="3"/>
      <c r="B447" s="3"/>
      <c r="C447" s="3"/>
      <c r="D447" s="3"/>
      <c r="E447" s="16"/>
      <c r="F447" s="3"/>
      <c r="G447" s="4"/>
      <c r="H447" s="4"/>
      <c r="I447" s="3"/>
      <c r="J447" s="3"/>
      <c r="K447" s="3"/>
    </row>
    <row r="448" spans="1:11" ht="13.5" thickBot="1" x14ac:dyDescent="0.25">
      <c r="A448" s="3"/>
      <c r="B448" s="3"/>
      <c r="C448" s="3"/>
      <c r="D448" s="3"/>
      <c r="E448" s="16"/>
      <c r="F448" s="3"/>
      <c r="G448" s="4"/>
      <c r="H448" s="4"/>
      <c r="I448" s="3"/>
      <c r="J448" s="3"/>
      <c r="K448" s="3"/>
    </row>
    <row r="449" spans="1:11" ht="13.5" thickBot="1" x14ac:dyDescent="0.25">
      <c r="A449" s="3"/>
      <c r="B449" s="3"/>
      <c r="C449" s="3"/>
      <c r="D449" s="3"/>
      <c r="E449" s="16"/>
      <c r="F449" s="3"/>
      <c r="G449" s="4"/>
      <c r="H449" s="4"/>
      <c r="I449" s="3"/>
      <c r="J449" s="3"/>
      <c r="K449" s="3"/>
    </row>
    <row r="450" spans="1:11" ht="13.5" thickBot="1" x14ac:dyDescent="0.25">
      <c r="A450" s="3"/>
      <c r="B450" s="3"/>
      <c r="C450" s="3"/>
      <c r="D450" s="3"/>
      <c r="E450" s="16"/>
      <c r="F450" s="3"/>
      <c r="G450" s="4"/>
      <c r="H450" s="4"/>
      <c r="I450" s="3"/>
      <c r="J450" s="3"/>
      <c r="K450" s="3"/>
    </row>
    <row r="451" spans="1:11" ht="13.5" thickBot="1" x14ac:dyDescent="0.25">
      <c r="A451" s="3"/>
      <c r="B451" s="3"/>
      <c r="C451" s="3"/>
      <c r="D451" s="3"/>
      <c r="E451" s="16"/>
      <c r="F451" s="3"/>
      <c r="G451" s="4"/>
      <c r="H451" s="4"/>
      <c r="I451" s="3"/>
      <c r="J451" s="3"/>
      <c r="K451" s="3"/>
    </row>
    <row r="452" spans="1:11" ht="13.5" thickBot="1" x14ac:dyDescent="0.25">
      <c r="A452" s="3"/>
      <c r="B452" s="3"/>
      <c r="C452" s="3"/>
      <c r="D452" s="3"/>
      <c r="E452" s="16"/>
      <c r="F452" s="3"/>
      <c r="G452" s="4"/>
      <c r="H452" s="4"/>
      <c r="I452" s="3"/>
      <c r="J452" s="3"/>
      <c r="K452" s="3"/>
    </row>
    <row r="453" spans="1:11" ht="13.5" thickBot="1" x14ac:dyDescent="0.25">
      <c r="A453" s="3"/>
      <c r="B453" s="3"/>
      <c r="C453" s="3"/>
      <c r="D453" s="3"/>
      <c r="E453" s="16"/>
      <c r="F453" s="3"/>
      <c r="G453" s="4"/>
      <c r="H453" s="4"/>
      <c r="I453" s="3"/>
      <c r="J453" s="3"/>
      <c r="K453" s="3"/>
    </row>
    <row r="454" spans="1:11" ht="13.5" thickBot="1" x14ac:dyDescent="0.25">
      <c r="A454" s="3"/>
      <c r="B454" s="3"/>
      <c r="C454" s="3"/>
      <c r="D454" s="3"/>
      <c r="E454" s="16"/>
      <c r="F454" s="3"/>
      <c r="G454" s="4"/>
      <c r="H454" s="4"/>
      <c r="I454" s="3"/>
      <c r="J454" s="3"/>
      <c r="K454" s="3"/>
    </row>
    <row r="455" spans="1:11" ht="13.5" thickBot="1" x14ac:dyDescent="0.25">
      <c r="A455" s="3"/>
      <c r="B455" s="3"/>
      <c r="C455" s="3"/>
      <c r="D455" s="3"/>
      <c r="E455" s="16"/>
      <c r="F455" s="3"/>
      <c r="G455" s="4"/>
      <c r="H455" s="4"/>
      <c r="I455" s="3"/>
      <c r="J455" s="3"/>
      <c r="K455" s="3"/>
    </row>
    <row r="456" spans="1:11" ht="13.5" thickBot="1" x14ac:dyDescent="0.25">
      <c r="A456" s="3"/>
      <c r="B456" s="3"/>
      <c r="C456" s="3"/>
      <c r="D456" s="3"/>
      <c r="E456" s="16"/>
      <c r="F456" s="3"/>
      <c r="G456" s="4"/>
      <c r="H456" s="4"/>
      <c r="I456" s="3"/>
      <c r="J456" s="3"/>
      <c r="K456" s="3"/>
    </row>
    <row r="457" spans="1:11" ht="13.5" thickBot="1" x14ac:dyDescent="0.25">
      <c r="A457" s="3"/>
      <c r="B457" s="3"/>
      <c r="C457" s="3"/>
      <c r="D457" s="3"/>
      <c r="E457" s="16"/>
      <c r="F457" s="3"/>
      <c r="G457" s="4"/>
      <c r="H457" s="4"/>
      <c r="I457" s="3"/>
      <c r="J457" s="3"/>
      <c r="K457" s="3"/>
    </row>
    <row r="458" spans="1:11" ht="13.5" thickBot="1" x14ac:dyDescent="0.25">
      <c r="A458" s="3"/>
      <c r="B458" s="3"/>
      <c r="C458" s="3"/>
      <c r="D458" s="3"/>
      <c r="E458" s="16"/>
      <c r="F458" s="3"/>
      <c r="G458" s="4"/>
      <c r="H458" s="4"/>
      <c r="I458" s="3"/>
      <c r="J458" s="3"/>
      <c r="K458" s="3"/>
    </row>
    <row r="459" spans="1:11" ht="13.5" thickBot="1" x14ac:dyDescent="0.25">
      <c r="A459" s="3"/>
      <c r="B459" s="3"/>
      <c r="C459" s="3"/>
      <c r="D459" s="3"/>
      <c r="E459" s="16"/>
      <c r="F459" s="3"/>
      <c r="G459" s="4"/>
      <c r="H459" s="4"/>
      <c r="I459" s="3"/>
      <c r="J459" s="3"/>
      <c r="K459" s="3"/>
    </row>
    <row r="460" spans="1:11" ht="13.5" thickBot="1" x14ac:dyDescent="0.25">
      <c r="A460" s="3"/>
      <c r="B460" s="3"/>
      <c r="C460" s="3"/>
      <c r="D460" s="3"/>
      <c r="E460" s="16"/>
      <c r="F460" s="3"/>
      <c r="G460" s="4"/>
      <c r="H460" s="4"/>
      <c r="I460" s="3"/>
      <c r="J460" s="3"/>
      <c r="K460" s="3"/>
    </row>
    <row r="461" spans="1:11" ht="13.5" thickBot="1" x14ac:dyDescent="0.25">
      <c r="A461" s="3"/>
      <c r="B461" s="3"/>
      <c r="C461" s="3"/>
      <c r="D461" s="3"/>
      <c r="E461" s="16"/>
      <c r="F461" s="3"/>
      <c r="G461" s="4"/>
      <c r="H461" s="4"/>
      <c r="I461" s="3"/>
      <c r="J461" s="3"/>
      <c r="K461" s="3"/>
    </row>
    <row r="462" spans="1:11" ht="13.5" thickBot="1" x14ac:dyDescent="0.25">
      <c r="A462" s="3"/>
      <c r="B462" s="3"/>
      <c r="C462" s="3"/>
      <c r="D462" s="3"/>
      <c r="E462" s="16"/>
      <c r="F462" s="3"/>
      <c r="G462" s="4"/>
      <c r="H462" s="4"/>
      <c r="I462" s="3"/>
      <c r="J462" s="3"/>
      <c r="K462" s="3"/>
    </row>
    <row r="463" spans="1:11" ht="13.5" thickBot="1" x14ac:dyDescent="0.25">
      <c r="A463" s="3"/>
      <c r="B463" s="3"/>
      <c r="C463" s="3"/>
      <c r="D463" s="3"/>
      <c r="E463" s="16"/>
      <c r="F463" s="3"/>
      <c r="G463" s="4"/>
      <c r="H463" s="4"/>
      <c r="I463" s="3"/>
      <c r="J463" s="3"/>
      <c r="K463" s="3"/>
    </row>
    <row r="464" spans="1:11" ht="13.5" thickBot="1" x14ac:dyDescent="0.25">
      <c r="A464" s="3"/>
      <c r="B464" s="3"/>
      <c r="C464" s="3"/>
      <c r="D464" s="3"/>
      <c r="E464" s="16"/>
      <c r="F464" s="3"/>
      <c r="G464" s="4"/>
      <c r="H464" s="4"/>
      <c r="I464" s="3"/>
      <c r="J464" s="3"/>
      <c r="K464" s="3"/>
    </row>
  </sheetData>
  <sortState xmlns:xlrd2="http://schemas.microsoft.com/office/spreadsheetml/2017/richdata2" ref="A2:K15">
    <sortCondition ref="E2:E1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F28" sqref="F28"/>
    </sheetView>
  </sheetViews>
  <sheetFormatPr defaultRowHeight="12.75" x14ac:dyDescent="0.2"/>
  <cols>
    <col min="1" max="1" width="29.28515625" bestFit="1" customWidth="1"/>
    <col min="2" max="2" width="13.42578125" bestFit="1" customWidth="1"/>
    <col min="3" max="3" width="10.42578125" style="6" bestFit="1" customWidth="1"/>
    <col min="4" max="4" width="14.7109375" style="6" bestFit="1" customWidth="1"/>
    <col min="5" max="5" width="23" bestFit="1" customWidth="1"/>
    <col min="6" max="6" width="40.7109375" bestFit="1" customWidth="1"/>
    <col min="7" max="7" width="23.28515625" bestFit="1" customWidth="1"/>
    <col min="8" max="8" width="7" bestFit="1" customWidth="1"/>
    <col min="9" max="9" width="12.42578125" bestFit="1" customWidth="1"/>
  </cols>
  <sheetData>
    <row r="1" spans="1:9" ht="13.5" thickBot="1" x14ac:dyDescent="0.25">
      <c r="A1" s="7" t="s">
        <v>6</v>
      </c>
      <c r="B1" s="7" t="s">
        <v>5</v>
      </c>
      <c r="C1" s="7" t="s">
        <v>20</v>
      </c>
      <c r="D1" s="7" t="s">
        <v>18</v>
      </c>
      <c r="E1" s="7" t="s">
        <v>14</v>
      </c>
      <c r="F1" s="7" t="s">
        <v>16</v>
      </c>
      <c r="G1" s="7" t="s">
        <v>17</v>
      </c>
      <c r="H1" s="7" t="s">
        <v>21</v>
      </c>
      <c r="I1" s="7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Recap Hours</vt:lpstr>
      <vt:lpstr>Data</vt:lpstr>
      <vt:lpstr>term</vt:lpstr>
      <vt:lpstr>11.27.22</vt:lpstr>
      <vt:lpstr>12.04.22</vt:lpstr>
      <vt:lpstr>12.08.22</vt:lpstr>
      <vt:lpstr>12.11.22</vt:lpstr>
      <vt:lpstr>12.17.22</vt:lpstr>
      <vt:lpstr>12.18.22</vt:lpstr>
      <vt:lpstr>12.25.22</vt:lpstr>
      <vt:lpstr>Terminated</vt:lpstr>
      <vt:lpstr>New Hire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Piszyk</dc:creator>
  <cp:lastModifiedBy>Perla Alcala</cp:lastModifiedBy>
  <cp:lastPrinted>2016-11-28T17:54:33Z</cp:lastPrinted>
  <dcterms:created xsi:type="dcterms:W3CDTF">2015-10-05T20:26:53Z</dcterms:created>
  <dcterms:modified xsi:type="dcterms:W3CDTF">2026-01-05T18:51:58Z</dcterms:modified>
</cp:coreProperties>
</file>